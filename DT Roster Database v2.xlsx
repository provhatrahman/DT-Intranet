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Info" sheetId="1" r:id="rId5"/>
    <sheet state="visible" name="Stats" sheetId="2" r:id="rId6"/>
    <sheet state="visible" name="Booking Responses" sheetId="3" r:id="rId7"/>
    <sheet state="visible" name="Talent Search" sheetId="4" r:id="rId8"/>
    <sheet state="hidden" name="AB_TF" sheetId="5" r:id="rId9"/>
    <sheet state="hidden" name="RI_TF" sheetId="6" r:id="rId10"/>
  </sheets>
  <definedNames>
    <definedName hidden="1" localSheetId="0" name="_xlnm._FilterDatabase">'Roster Info'!$A$1:$U$275</definedName>
    <definedName hidden="1" localSheetId="0" name="Z_EB1C237C_E71F_4B74_84F4_9042CEB8B96C_.wvu.FilterData">'Roster Info'!$A$1:$U$275</definedName>
  </definedNames>
  <calcPr/>
  <customWorkbookViews>
    <customWorkbookView activeSheetId="0" maximized="1" windowHeight="0" windowWidth="0" guid="{EB1C237C-E71F-4B74-84F4-9042CEB8B96C}" name="Filter 1"/>
  </customWorkbookViews>
</workbook>
</file>

<file path=xl/sharedStrings.xml><?xml version="1.0" encoding="utf-8"?>
<sst xmlns="http://schemas.openxmlformats.org/spreadsheetml/2006/main" count="1671" uniqueCount="1051">
  <si>
    <t xml:space="preserve">Daytimers Talent Search </t>
  </si>
  <si>
    <t>Unique ID</t>
  </si>
  <si>
    <t>Artist name</t>
  </si>
  <si>
    <t xml:space="preserve">Please fill out the fields below to return suitable creatives in their fields  </t>
  </si>
  <si>
    <t>Preferred Name</t>
  </si>
  <si>
    <t>Preferred Pronouns</t>
  </si>
  <si>
    <t>Heritage</t>
  </si>
  <si>
    <t>Location</t>
  </si>
  <si>
    <t>Outside of UK (If applicable)</t>
  </si>
  <si>
    <t>Type of Act</t>
  </si>
  <si>
    <t>Genre</t>
  </si>
  <si>
    <t>LOCATION</t>
  </si>
  <si>
    <t>Contact Details</t>
  </si>
  <si>
    <t>Instagram</t>
  </si>
  <si>
    <t>London</t>
  </si>
  <si>
    <t>Soundcloud</t>
  </si>
  <si>
    <t>TikTok</t>
  </si>
  <si>
    <t>Any other social media</t>
  </si>
  <si>
    <t>Link to Previous Work</t>
  </si>
  <si>
    <t>Most Recent Date Booked</t>
  </si>
  <si>
    <t>CREATIVE DISCIPLINE (E.G. DJ, PRODUCER ETC.)</t>
  </si>
  <si>
    <t>DJ</t>
  </si>
  <si>
    <t>Event Name</t>
  </si>
  <si>
    <t>Small Gigs booked for</t>
  </si>
  <si>
    <t>Medium Gigs booked for</t>
  </si>
  <si>
    <t>Large Gigs booked for</t>
  </si>
  <si>
    <t>Gig Score (S =1, M =2 , L=3)</t>
  </si>
  <si>
    <t>MAXIMUM AMOUNT OF TIMES BOOKED. (PLEASE INPUT 0 TO FIND CREATIVES NEVER BEFORE BOOKED BY DAYTIMERS)</t>
  </si>
  <si>
    <t xml:space="preserve"> </t>
  </si>
  <si>
    <t>Zar</t>
  </si>
  <si>
    <t>Arun Dhanjal</t>
  </si>
  <si>
    <t>he/him</t>
  </si>
  <si>
    <t>DJ, Live Act</t>
  </si>
  <si>
    <t>Multi genre</t>
  </si>
  <si>
    <t>adjzar@gmail.com</t>
  </si>
  <si>
    <t>https://linktr.ee/ajdzar</t>
  </si>
  <si>
    <t>https://www.mixcloud.com/NoBoundariesLDN_/zar-no-boundaries-guest-mix-001/</t>
  </si>
  <si>
    <t>Saadaan</t>
  </si>
  <si>
    <t>Saadaan Afghan</t>
  </si>
  <si>
    <t>He/Him</t>
  </si>
  <si>
    <t>London, Coventry</t>
  </si>
  <si>
    <t>140, Dubstep, Left Field Bass, 2-step/ukg, Hip Hop, Techno, Electro (sometimes House)</t>
  </si>
  <si>
    <t>saadko@outlook.com</t>
  </si>
  <si>
    <t>https://www.instagram.com/saadaan__________/</t>
  </si>
  <si>
    <t>"saadaan.bandcamp.com 
waveplate.systems"</t>
  </si>
  <si>
    <t>Michael Diamond</t>
  </si>
  <si>
    <t>London, Oxford</t>
  </si>
  <si>
    <t>Electronic, Jazz</t>
  </si>
  <si>
    <t>diamond.sounduk@gmail.com</t>
  </si>
  <si>
    <t>https://www.instagram.com/diamond.sound/</t>
  </si>
  <si>
    <t>https://soundcloud.com/michaeldiamonduk</t>
  </si>
  <si>
    <t>https://linktr.ee/diamond.sound</t>
  </si>
  <si>
    <t>Sita Shah</t>
  </si>
  <si>
    <t>Techno, Hardcore, Breaks, Desi, Bootlegs</t>
  </si>
  <si>
    <t>sitashahsworld@gmail.com</t>
  </si>
  <si>
    <t>https://www.instagram.com/shahmbles/</t>
  </si>
  <si>
    <t>soundcloud.com/sitashahdj</t>
  </si>
  <si>
    <t>https://linktr.ee/Sitashah</t>
  </si>
  <si>
    <t>Rainmann</t>
  </si>
  <si>
    <t>Ral Daryanani</t>
  </si>
  <si>
    <t>Tech House, Rap, Hip Hop, Deep House, House</t>
  </si>
  <si>
    <t>rainmann@tuta.io</t>
  </si>
  <si>
    <t>https://soundcloud.com/rainm4nn</t>
  </si>
  <si>
    <t>https://linktr.ee/rainmann</t>
  </si>
  <si>
    <t>Somatic</t>
  </si>
  <si>
    <t>Somin Griffin-Dave</t>
  </si>
  <si>
    <t>Bristol</t>
  </si>
  <si>
    <t>DnB, Jungle, Breakbeat, Garage, IDM, Experimental, Various other 4x4 genres, (Classic) Afrobeat, a touch of bossa and various other things</t>
  </si>
  <si>
    <t>somin.somatic@gmail.com</t>
  </si>
  <si>
    <t>https://www.instagram.com/somin.somatic/</t>
  </si>
  <si>
    <t>https://soundcloud.com/somingriffin-dave</t>
  </si>
  <si>
    <t>https://linktr.ee/somin_somatic</t>
  </si>
  <si>
    <t>Freshta</t>
  </si>
  <si>
    <t>Freshta Ebrahim</t>
  </si>
  <si>
    <t>Grime, Dubstep, Leftfield Bass, Breaks, Hard Drum</t>
  </si>
  <si>
    <t>freshtainfo@gmail.com</t>
  </si>
  <si>
    <t>https://www.instagram.com/_freshta/</t>
  </si>
  <si>
    <t>https://soundcloud.com/freshtadj</t>
  </si>
  <si>
    <t>http://linktr.ee/_freshta</t>
  </si>
  <si>
    <t>Most Booked Artists (Overall)</t>
  </si>
  <si>
    <t>Top:</t>
  </si>
  <si>
    <t>Rank</t>
  </si>
  <si>
    <t>GoldTooth</t>
  </si>
  <si>
    <t>Jaedan Gowthaman</t>
  </si>
  <si>
    <t>"Grime, Dubstep, UK Funky, Garage, Drill, SA House, afrohouse, kuduro. Also specialise in vinyl sets.</t>
  </si>
  <si>
    <t>dj@goldtooth.uk</t>
  </si>
  <si>
    <t>https://www.instagram.com/_goldtooth_/</t>
  </si>
  <si>
    <t>http://soundcloud.com/goldtooth_dj</t>
  </si>
  <si>
    <t>https://linktr.ee/DJGoldTooth</t>
  </si>
  <si>
    <t>Temujin</t>
  </si>
  <si>
    <t>Roop</t>
  </si>
  <si>
    <t>UK underground dance - Bass, Techno, Breaks, Garage, Jungle, Dubstep, Grime (heavy on the percs and dub)</t>
  </si>
  <si>
    <t xml:space="preserve">temujin.ldn@gmail.com </t>
  </si>
  <si>
    <t>https://www.instagram.com/temujin_ldn/</t>
  </si>
  <si>
    <t>http://soundcloud.com/temujin-ldn</t>
  </si>
  <si>
    <t>https://www.flowcode.com/page/temujin.ldn</t>
  </si>
  <si>
    <t>Saachi</t>
  </si>
  <si>
    <t>House (sometimes electro &amp; Ghettotech)</t>
  </si>
  <si>
    <t>djsaachi@hotmail.com</t>
  </si>
  <si>
    <t>https://www.instagram.com/saachi_versaachi/</t>
  </si>
  <si>
    <t>Most Recently Booked</t>
  </si>
  <si>
    <t>https://soundcloud.com/saachi-bains</t>
  </si>
  <si>
    <t>https://lnk.bio/Saachi</t>
  </si>
  <si>
    <t>Kishan</t>
  </si>
  <si>
    <t>Kishan Thakrar</t>
  </si>
  <si>
    <t>UKG, House, Hip Hop/Afrobeat, 140, Jungle, DnB etc</t>
  </si>
  <si>
    <t>music@kishan.co.uk</t>
  </si>
  <si>
    <t>https://www.instagram.com/kishanthakrar/</t>
  </si>
  <si>
    <t>https://soundcloud.com/kishanthakrar</t>
  </si>
  <si>
    <t>https://www.liinks.co/kishan</t>
  </si>
  <si>
    <t>DJ PRIYA</t>
  </si>
  <si>
    <t>Priya Majhail</t>
  </si>
  <si>
    <t>London, Brighton</t>
  </si>
  <si>
    <t>Reggaeton, Bashment, Dancehall, Funky</t>
  </si>
  <si>
    <t>majpri95@gmail.com</t>
  </si>
  <si>
    <t>https://www.instagram.com/deejaypri/</t>
  </si>
  <si>
    <t>https://soundcloud.com/deejaypriya</t>
  </si>
  <si>
    <t>https://linktr.ee/Deejaypri</t>
  </si>
  <si>
    <t>Most Booked Artists (Time Frame)</t>
  </si>
  <si>
    <t>Time Frame (Months):</t>
  </si>
  <si>
    <t>Qwirk</t>
  </si>
  <si>
    <t>Simaran Patel</t>
  </si>
  <si>
    <t>Manchester</t>
  </si>
  <si>
    <t>Dubstep, Grime, Garage, Breakbeat, DnB, Footwork, Trap, Jungle</t>
  </si>
  <si>
    <t>qwirkdubstep@gmail.com</t>
  </si>
  <si>
    <t>https://www.instagram.com/qwirkbass/</t>
  </si>
  <si>
    <t>https://soundcloud.com/qwirkk</t>
  </si>
  <si>
    <t>https://www.tiktok.com/@qwirkbass</t>
  </si>
  <si>
    <t>linktr.ee/qwirk</t>
  </si>
  <si>
    <t>Rohan Rakhit</t>
  </si>
  <si>
    <t>Multi-genre</t>
  </si>
  <si>
    <t>rohan@daytimers.org</t>
  </si>
  <si>
    <t>https://www.instagram.com/rohan_rakhit/</t>
  </si>
  <si>
    <t>https://soundcloud.com/rohan_rakhit</t>
  </si>
  <si>
    <t>https://linktr.ee/rohan.rakhit</t>
  </si>
  <si>
    <t>Jaskkkkkkk</t>
  </si>
  <si>
    <t>Jaskaran Notta</t>
  </si>
  <si>
    <t>Birmingham</t>
  </si>
  <si>
    <t>Electro, Ghetto, Italo, breakbeat, chugg (sometimes garage, disco)</t>
  </si>
  <si>
    <t>jaskaran.notta97@gmail.com</t>
  </si>
  <si>
    <t>https://www.instagram.com/_jaskkkkkkk/</t>
  </si>
  <si>
    <t>https://soundcloud.com/jaskkkkkkk?ref=clipboard&amp;p=i&amp;c=1&amp;utm_source=clipboard&amp;utm_medium=text&amp;utm_campaign=social_sharing</t>
  </si>
  <si>
    <t>https://refugeworldwide.com/radio/daytimers-4th-feb-2022</t>
  </si>
  <si>
    <t>King Monday</t>
  </si>
  <si>
    <t>Sherwyn Appadu</t>
  </si>
  <si>
    <t>Pop, Psychedelic, Sega, UK Dance, Experimental, Electronic</t>
  </si>
  <si>
    <t>kxmonday@hotmail.com</t>
  </si>
  <si>
    <t>https://soundcloud.com/kingxmonday</t>
  </si>
  <si>
    <t>https://ffm.to/kingmonday</t>
  </si>
  <si>
    <t>Todays Date</t>
  </si>
  <si>
    <t>A year ago</t>
  </si>
  <si>
    <t>Mandle</t>
  </si>
  <si>
    <t>Debesh Mandal</t>
  </si>
  <si>
    <t>London, Manchester</t>
  </si>
  <si>
    <t>House, Techno, Breaks, Jungle, Disco</t>
  </si>
  <si>
    <t>mandle.demain@gmail.com</t>
  </si>
  <si>
    <t>https://soundcloud.com/djmandle</t>
  </si>
  <si>
    <t>manj</t>
  </si>
  <si>
    <t>info@manj.uk</t>
  </si>
  <si>
    <t>REA</t>
  </si>
  <si>
    <t>Rea Chawhan</t>
  </si>
  <si>
    <t>London, Bristol</t>
  </si>
  <si>
    <t>Madrid</t>
  </si>
  <si>
    <t>Dnb, Breaks/Footwork, UKG, UK Dubstep</t>
  </si>
  <si>
    <t>reamusicuk@gmail.com</t>
  </si>
  <si>
    <t>https://www.instagram.com/reamusicuk/</t>
  </si>
  <si>
    <t>https://soundcloud.com/readnb</t>
  </si>
  <si>
    <t>Sepoys</t>
  </si>
  <si>
    <t>Rohit Tandon</t>
  </si>
  <si>
    <t>Vancouver, Canada</t>
  </si>
  <si>
    <t>Liquid DnB/ Jungle</t>
  </si>
  <si>
    <t>basspradesh@gmail.com</t>
  </si>
  <si>
    <t>https://soundcloud.com/sepoys</t>
  </si>
  <si>
    <t>Provhat</t>
  </si>
  <si>
    <t>Provhat Rahman</t>
  </si>
  <si>
    <t>UK Bass</t>
  </si>
  <si>
    <t>provhat@daytimers.org</t>
  </si>
  <si>
    <t>-</t>
  </si>
  <si>
    <t>Mera Bhai</t>
  </si>
  <si>
    <t xml:space="preserve">Kavhan Karthik </t>
  </si>
  <si>
    <t>Detroit + Italo House + Disco,  Acid House, Techno, Breaks, Funk, UKG, Global Riddims. Vinyl only sets include - strictly UKG, 70s-80s Bollywood disco, world/int'l psych/funk/disco</t>
  </si>
  <si>
    <t>merabhaiiimusic@gmail.com</t>
  </si>
  <si>
    <t>https://linktr.ee/merabhaiii</t>
  </si>
  <si>
    <t>Izzi</t>
  </si>
  <si>
    <t>Izzi Dickson</t>
  </si>
  <si>
    <t>London, Cambridge</t>
  </si>
  <si>
    <t>UK bass, breaks, leftfield techno, hard drum, electro, jungle, footwork</t>
  </si>
  <si>
    <t>izzi.dickson@gmail.com</t>
  </si>
  <si>
    <t>https://soundcloud.app.goo.gl/aXWw6FdyUhNKSXZi6</t>
  </si>
  <si>
    <t>Sunayah</t>
  </si>
  <si>
    <t>Sunayah Arshad</t>
  </si>
  <si>
    <t>house, amapiano, baile funk, uk funky, RnB</t>
  </si>
  <si>
    <t>sunayah.arshad@gmail.com</t>
  </si>
  <si>
    <t>https://www.instagram.com/sunayah._/?hl=en</t>
  </si>
  <si>
    <t>https://soundcloud.com/sunayah</t>
  </si>
  <si>
    <t>Triqi</t>
  </si>
  <si>
    <t>Iqra Nowshari</t>
  </si>
  <si>
    <t>Berlin, Germany</t>
  </si>
  <si>
    <t>house, breaks, electro, techno, disco, soul, funk</t>
  </si>
  <si>
    <t>imadfromlove@gmail.com</t>
  </si>
  <si>
    <t>https://www.instagram.com/triqitrix/?hl=en</t>
  </si>
  <si>
    <t>https://soundcloud.com/triqi030</t>
  </si>
  <si>
    <t>KRMA</t>
  </si>
  <si>
    <t>Kush Varma</t>
  </si>
  <si>
    <t>Los Angeles, USA</t>
  </si>
  <si>
    <t xml:space="preserve">Electronic, trap, dnb, bass </t>
  </si>
  <si>
    <t>krmabeats@gmail.com</t>
  </si>
  <si>
    <t>https://www.instagram.com/krma.music/</t>
  </si>
  <si>
    <t>https://soundcloud.com/krmabeats</t>
  </si>
  <si>
    <t>https://linktr.ee/krma.music</t>
  </si>
  <si>
    <t>Solar Plexus</t>
  </si>
  <si>
    <t>Rahul Dhulipala</t>
  </si>
  <si>
    <t>London, Cardiff, Swansea</t>
  </si>
  <si>
    <t>ukg / uk dubstep / grime / breaks / 160 / jungle</t>
  </si>
  <si>
    <t>https://www.instagram.com/djsolarplexus/?hl=en-gb</t>
  </si>
  <si>
    <t>https://soundcloud.com/djsolarplexus?ref=clipboard&amp;p=i&amp;c=1&amp;si=DA130D71E4104EB5BE04BC096A497BAF&amp;utm_source=clipboard&amp;utm_medium=text&amp;utm_campaign=social_sharing</t>
  </si>
  <si>
    <t>Basra</t>
  </si>
  <si>
    <t>Harry Basra</t>
  </si>
  <si>
    <t>DnB</t>
  </si>
  <si>
    <t>Harrybasra1@gmail.com</t>
  </si>
  <si>
    <t>https://soundcloud.com/hazbro/tracks</t>
  </si>
  <si>
    <t>G33</t>
  </si>
  <si>
    <t>Gaia Ahuja</t>
  </si>
  <si>
    <t>London, Liverpool</t>
  </si>
  <si>
    <t>UKG, UK funky, grime, bass, dancehall</t>
  </si>
  <si>
    <t>gaiaahuja7@hotmail.com</t>
  </si>
  <si>
    <t>www.instagram.com/gaia_ia/</t>
  </si>
  <si>
    <t>https://soundcloud.com/gggeethreethree</t>
  </si>
  <si>
    <t>https://soundcloud.com/gggeethreethree/bbc-asian-network-pure-spice-guest-mix</t>
  </si>
  <si>
    <t>Himay</t>
  </si>
  <si>
    <t>Mumbai, India</t>
  </si>
  <si>
    <t>House, Breaks, Electronic</t>
  </si>
  <si>
    <t>Himay.kumbhani89@gmail.com</t>
  </si>
  <si>
    <t>https://www.instagram.com/heeemay/</t>
  </si>
  <si>
    <t>https://soundcloud.com/heeemay</t>
  </si>
  <si>
    <t>Shortsell</t>
  </si>
  <si>
    <t>Apoorv Khanna</t>
  </si>
  <si>
    <t>Techno, Garage, Genre Agnostic</t>
  </si>
  <si>
    <t>https://www.instagram.com/shortsell.wav/</t>
  </si>
  <si>
    <t>https://soundcloud.com/djshortsell</t>
  </si>
  <si>
    <t>https://www.mixcloud.com/djshortsell/</t>
  </si>
  <si>
    <t>IYRE</t>
  </si>
  <si>
    <t>Sasith Gamage</t>
  </si>
  <si>
    <t>Colombo, Sri Lanka</t>
  </si>
  <si>
    <t>leah@theboom.live</t>
  </si>
  <si>
    <t>https://www.instagram.com/iyre_dnb/</t>
  </si>
  <si>
    <t>https://soundcloud.com/iyrednb</t>
  </si>
  <si>
    <t>https://linktr.ee/IYREdnb</t>
  </si>
  <si>
    <t>Jayhaan</t>
  </si>
  <si>
    <t>Jehan Bhesania</t>
  </si>
  <si>
    <t>Asian Underground / Open Format / Jersey Club / Trap</t>
  </si>
  <si>
    <t>contactjayhan@gmail.com</t>
  </si>
  <si>
    <t>https://www.instagram.com/jayhaanofficial/</t>
  </si>
  <si>
    <t>https://soundcloud.com/jayhaanofficial</t>
  </si>
  <si>
    <t>https://ghelo.biglink.to/jayhaan</t>
  </si>
  <si>
    <t>Iti</t>
  </si>
  <si>
    <t>Itrat (Iti) Memon</t>
  </si>
  <si>
    <t>Brisbane, Australia</t>
  </si>
  <si>
    <t>UK Funky, Breaks, Electro, Garage, 2-step, ambient</t>
  </si>
  <si>
    <t>iti@affix.management</t>
  </si>
  <si>
    <t>https://www.instagram.com/iti______/</t>
  </si>
  <si>
    <t>https://soundcloud.com/iti_mqn</t>
  </si>
  <si>
    <t>https://linktr.ee/iti_</t>
  </si>
  <si>
    <t>Snad</t>
  </si>
  <si>
    <t>Shyam Anand</t>
  </si>
  <si>
    <t>Philadelphia, USA/Berlin, Germany</t>
  </si>
  <si>
    <t>house, garage (New York, New Jersey and UK), good tech house</t>
  </si>
  <si>
    <t>snadbad@gmail.com</t>
  </si>
  <si>
    <t>https://www.instagram.com/snadmusic/</t>
  </si>
  <si>
    <t>https://soundcloud.com/snad</t>
  </si>
  <si>
    <t>https://linktr.ee/snad</t>
  </si>
  <si>
    <t>Gasing</t>
  </si>
  <si>
    <t>Akhilan Singam</t>
  </si>
  <si>
    <t xml:space="preserve">House, Techno, Garage, Grime, Jungle </t>
  </si>
  <si>
    <t>akhilan2512@gmail.com</t>
  </si>
  <si>
    <t>www.instagram.com/gasingraised/</t>
  </si>
  <si>
    <t>https://soundcloud.com/gasingraised</t>
  </si>
  <si>
    <t>https://www.mixcloud.com/gasingraised/</t>
  </si>
  <si>
    <t>Kai Kaspar</t>
  </si>
  <si>
    <t>Raj Chandrarajah</t>
  </si>
  <si>
    <t>Glasgow</t>
  </si>
  <si>
    <t>House, electro &amp; acid</t>
  </si>
  <si>
    <t>https://soundcloud.com/clydebuiltradio/kai-kasper-7221</t>
  </si>
  <si>
    <t>Full Motion Disaster</t>
  </si>
  <si>
    <t>Aniket Dabholkar</t>
  </si>
  <si>
    <t>Ghettotech, Breaks, Electro, House, Hard Dance</t>
  </si>
  <si>
    <t>fullmotiondisaster@gmail.com</t>
  </si>
  <si>
    <t>https://www.instagram.com/fullmotiondisaster/</t>
  </si>
  <si>
    <t>https://soundcloud.com/full-motion-disaster</t>
  </si>
  <si>
    <t>Cardamami</t>
  </si>
  <si>
    <t>Anisa Jackson</t>
  </si>
  <si>
    <t>New York, USA</t>
  </si>
  <si>
    <t>All</t>
  </si>
  <si>
    <t>djcardamami@gmail.com</t>
  </si>
  <si>
    <t>https://www.instagram.com/djcardamami/</t>
  </si>
  <si>
    <t>https://soundcloud.com/cardamami</t>
  </si>
  <si>
    <t>GoodMostlyBad</t>
  </si>
  <si>
    <t>Mehar Bedi</t>
  </si>
  <si>
    <t>Doha, Qatar</t>
  </si>
  <si>
    <t>ASS CLAPS ONLY (Hiphop,Afrobeats, Amapiano,UKG,Bass,Dancehall,Trap etc)</t>
  </si>
  <si>
    <t>mehar.bedi@gmail.com</t>
  </si>
  <si>
    <t>https://www.instagram.com/goodmostlybad__/</t>
  </si>
  <si>
    <t>https://soundcloud.com/goodmostlybad</t>
  </si>
  <si>
    <t>Liyo / RISE / JDS</t>
  </si>
  <si>
    <t>Josh de Silva</t>
  </si>
  <si>
    <t>Techno, Dubstep, Jungle, Garage, Electro etc etc</t>
  </si>
  <si>
    <t>josh@onehouse.com</t>
  </si>
  <si>
    <t>https://www.instagram.com/j___d___s___/</t>
  </si>
  <si>
    <t>Darama</t>
  </si>
  <si>
    <t>Dhillon Chhabra</t>
  </si>
  <si>
    <t>London, Manchester, Leeds</t>
  </si>
  <si>
    <t>UK Bass, anything percussive, Grime, Drill, House,Techno, UK Funky, UKG, Disco</t>
  </si>
  <si>
    <t>darama@daytimers.org</t>
  </si>
  <si>
    <t>https://www.instagram.com/daramadj/</t>
  </si>
  <si>
    <t>https://soundcloud.com/daramadj</t>
  </si>
  <si>
    <t>Ash Lovecraft</t>
  </si>
  <si>
    <t>Kashif Majeed</t>
  </si>
  <si>
    <t>Toronto, Canada</t>
  </si>
  <si>
    <t>Moombahton/Dancehall</t>
  </si>
  <si>
    <t>ashlovecraftmusic@gmail.com</t>
  </si>
  <si>
    <t>https://www.instagram.com/ashlovecraft/</t>
  </si>
  <si>
    <t>https://www.youtube.com/watch?v=JhsZSmVNGPw</t>
  </si>
  <si>
    <t>Adnan.Afghani</t>
  </si>
  <si>
    <t>Adnan</t>
  </si>
  <si>
    <t>"140/160 (techno/breaks/idm/dubstep) +experimental"</t>
  </si>
  <si>
    <t>https://soundcloud.com/daytimers_uk/adnan-afghani-disoriented-rhythms</t>
  </si>
  <si>
    <t>https://linktr.ee/adnan1198?fbclid=IwAR1RFFnK-rK7SohrsOqfXMyTqflU4LM_MhHgXmHq3o3qZ4QmW9sHmiT9kKk</t>
  </si>
  <si>
    <t>Dushume</t>
  </si>
  <si>
    <t>Dr Amit Dinesh Patel</t>
  </si>
  <si>
    <t>Leicester</t>
  </si>
  <si>
    <t>Noise, Experimental Sound, Glitch, Electroacoustic music, Sound Art, Live Electronics</t>
  </si>
  <si>
    <t>djdushume@gmail.com</t>
  </si>
  <si>
    <t>http://www.instagram.com/dushume</t>
  </si>
  <si>
    <t>https://soundcloud.com/dushume</t>
  </si>
  <si>
    <t>Ghosty</t>
  </si>
  <si>
    <t>Nik Sahdev</t>
  </si>
  <si>
    <t>Liverpool</t>
  </si>
  <si>
    <t>Jungle, DnB</t>
  </si>
  <si>
    <t xml:space="preserve">Dnbghosty@gmail.com </t>
  </si>
  <si>
    <t>Www.Instagram.com/Nik.ghosty</t>
  </si>
  <si>
    <t>https://soundcloud.app.goo.gl/jvRkYtRdQbaamWh8A</t>
  </si>
  <si>
    <t>ORDERLY ROOM</t>
  </si>
  <si>
    <t>Dani Wijesinghe</t>
  </si>
  <si>
    <t>bass music, deconstructed club, hard drum, techno, noise, industril</t>
  </si>
  <si>
    <t>wijesinghedani@gmail.com</t>
  </si>
  <si>
    <t>https://www.instagram.com/acertainknot/</t>
  </si>
  <si>
    <t>https://soundcloud.com/orderly-room</t>
  </si>
  <si>
    <t>JAY TAPES</t>
  </si>
  <si>
    <t>Vijay Patel</t>
  </si>
  <si>
    <t>House, Techno, Electro, Breaks, Dubstep, Footwork, Reggaeton /Baile, Jungle, etc</t>
  </si>
  <si>
    <t>jaytapesmusic@gmail.com</t>
  </si>
  <si>
    <t>https://www.instagram.com/jay.tapes/</t>
  </si>
  <si>
    <t>https://soundcloud.com/jaytapes</t>
  </si>
  <si>
    <t>https://www.tiktok.com/@jaytapes</t>
  </si>
  <si>
    <t>https://linktr.ee/jaytapes</t>
  </si>
  <si>
    <t>https://www.mixcloud.com/jaytapesmusic/</t>
  </si>
  <si>
    <t>élan vital</t>
  </si>
  <si>
    <t>Pranam Mavahalli</t>
  </si>
  <si>
    <t>Breaks/electronic/jungle/beats</t>
  </si>
  <si>
    <t>elanvitalbeats@gmail.com</t>
  </si>
  <si>
    <t>https://www.instagram.com/elanvitaluk/</t>
  </si>
  <si>
    <t>https://soundcloud.com/elanvitaluk</t>
  </si>
  <si>
    <t>https://linktr.ee/elanvitaluk</t>
  </si>
  <si>
    <t>https://open.spotify.com/artist/6PVOJqMGjo0XqIRuc3v1vs?si=gE1xPku1TUqkGhunC4NKhg&amp;nd=1</t>
  </si>
  <si>
    <t>OT</t>
  </si>
  <si>
    <t>Omer Tariq</t>
  </si>
  <si>
    <t>Luton</t>
  </si>
  <si>
    <t>Indian classical music</t>
  </si>
  <si>
    <t>https://twitter.com/o_tariq</t>
  </si>
  <si>
    <t>https://www.mixcloud.com/ot/</t>
  </si>
  <si>
    <t>Alvi Island</t>
  </si>
  <si>
    <t>Alvi</t>
  </si>
  <si>
    <t>UK Garage, Grime</t>
  </si>
  <si>
    <t>https://www.instagram.com/alvi_island/</t>
  </si>
  <si>
    <t xml:space="preserve">https://soundcloud.app.goo.gl/X94u2oBg7626c3bB8 </t>
  </si>
  <si>
    <t>https://youtube.com/channel/UCm8utJlMuE9LFvnS3SWN1XQ</t>
  </si>
  <si>
    <t>No Nation</t>
  </si>
  <si>
    <t>Humzah Awan</t>
  </si>
  <si>
    <t>Jungle, dnb, rave</t>
  </si>
  <si>
    <t>humzahawan@gmail.com</t>
  </si>
  <si>
    <t>https://www.instagram.com/_nonation/</t>
  </si>
  <si>
    <t>http://thelivinglevel.tumblr.com</t>
  </si>
  <si>
    <t>yourboykiran</t>
  </si>
  <si>
    <t>Kiran Kotecha</t>
  </si>
  <si>
    <t>Flips + Edits / Baile Funk / UK Funky / Breaks / UKG / 140 / Electro / 160 / Jungle</t>
  </si>
  <si>
    <t>yourboykiran@gmail.com</t>
  </si>
  <si>
    <t>https://www.instagram.com/yourboykiran/</t>
  </si>
  <si>
    <t>https://soundcloud.com/yourboykiran</t>
  </si>
  <si>
    <t>https://lnk.bio/yourboykiran</t>
  </si>
  <si>
    <t>Abana</t>
  </si>
  <si>
    <t>Sahil Dhingra</t>
  </si>
  <si>
    <t>house / electro / electronic / UK (all genres)</t>
  </si>
  <si>
    <t>https://www.instagram.com/abanamusic/</t>
  </si>
  <si>
    <t>https://linktr.ee/abana</t>
  </si>
  <si>
    <t>Petit P</t>
  </si>
  <si>
    <t>Puneet Gill</t>
  </si>
  <si>
    <t>House, techo, funk, disco</t>
  </si>
  <si>
    <t>https://instagram.com/djpetitp?r=nametag</t>
  </si>
  <si>
    <t>https://m.soundcloud.com/djpetitp</t>
  </si>
  <si>
    <t>Nadī</t>
  </si>
  <si>
    <t>Samia</t>
  </si>
  <si>
    <t xml:space="preserve">Club, dancehall, R&amp;b, hiphop, Asian underground and more </t>
  </si>
  <si>
    <t>nadi.enquiries@gmail.com</t>
  </si>
  <si>
    <t>https://www.instagram.com/nadi_bpm/</t>
  </si>
  <si>
    <t>https://soundcloud.com/thisisnadi</t>
  </si>
  <si>
    <t>https://www.thisisnadi.com</t>
  </si>
  <si>
    <t>TRAFFICC</t>
  </si>
  <si>
    <t>Nihal Kanwar</t>
  </si>
  <si>
    <t>New Delhi, India</t>
  </si>
  <si>
    <t>Techno, House, Garage, Breaks, Bass</t>
  </si>
  <si>
    <t>trafficcmusic@gmail.com</t>
  </si>
  <si>
    <t>https://www.instagram.com/trafficccccc/</t>
  </si>
  <si>
    <t>https://soundcloud.com/trafficc-music</t>
  </si>
  <si>
    <t>https://linktr.ee/trafficcmusic</t>
  </si>
  <si>
    <t>Tommy Khosla</t>
  </si>
  <si>
    <t>Live Act</t>
  </si>
  <si>
    <t>Electro Indo-Jazz (or Neo Indo-Jazz - we’re still working genre descriptors out!) Also, I usually perform with my band which is called Jawari</t>
  </si>
  <si>
    <t>tommykhosla@gmail.com</t>
  </si>
  <si>
    <t>https://www.instagram.com/tommykhosla/</t>
  </si>
  <si>
    <t>https://linktr.ee/tommykhosla</t>
  </si>
  <si>
    <t xml:space="preserve">Cralias / DJ animebby </t>
  </si>
  <si>
    <t xml:space="preserve">Nicholas Subramaniam </t>
  </si>
  <si>
    <t>Cralias - UK bass/grime/club track (120 -140 stuff. DJ animebby - jungle/cheeky remixes/Nightcore/donk / happy hardcore (160-180 stuff)</t>
  </si>
  <si>
    <t>SoundCloud.com/djanimebby</t>
  </si>
  <si>
    <t>SoundCloud.com/cralias</t>
  </si>
  <si>
    <t>Cralias.bandcamp.com</t>
  </si>
  <si>
    <t>Gracie T</t>
  </si>
  <si>
    <t>Suchi</t>
  </si>
  <si>
    <t>Chande</t>
  </si>
  <si>
    <t>amad.png</t>
  </si>
  <si>
    <t>amad ilyas</t>
  </si>
  <si>
    <t>Amani Saeed</t>
  </si>
  <si>
    <t>Anjali</t>
  </si>
  <si>
    <t>Anu</t>
  </si>
  <si>
    <t>Arnav</t>
  </si>
  <si>
    <t>Arthi</t>
  </si>
  <si>
    <t>Azan Ahmed</t>
  </si>
  <si>
    <t>Bindiyas World</t>
  </si>
  <si>
    <t>Bintmbareh</t>
  </si>
  <si>
    <t>Bolly Illusion</t>
  </si>
  <si>
    <t>Disco Arabesquo</t>
  </si>
  <si>
    <t>DJ Mimi</t>
  </si>
  <si>
    <t>D-Lish</t>
  </si>
  <si>
    <t>Alisha Shah</t>
  </si>
  <si>
    <t>Elvira</t>
  </si>
  <si>
    <t>Enayet</t>
  </si>
  <si>
    <t>Esky</t>
  </si>
  <si>
    <t>Grewal Twins</t>
  </si>
  <si>
    <t>Honeyjamn</t>
  </si>
  <si>
    <t>Jameela</t>
  </si>
  <si>
    <t>Jhumka</t>
  </si>
  <si>
    <t>Jonny Khan</t>
  </si>
  <si>
    <t>Kareem Samara</t>
  </si>
  <si>
    <t>Larena Amin</t>
  </si>
  <si>
    <t>Mahnoor</t>
  </si>
  <si>
    <t>Manara</t>
  </si>
  <si>
    <t>Monophonik</t>
  </si>
  <si>
    <t>Moorni</t>
  </si>
  <si>
    <t>Mous Bahri</t>
  </si>
  <si>
    <t>Mypandashallfly</t>
  </si>
  <si>
    <t>Nahi Mitti</t>
  </si>
  <si>
    <t>Natanya</t>
  </si>
  <si>
    <t>Nayana IZ</t>
  </si>
  <si>
    <t>Neeta</t>
  </si>
  <si>
    <t>Nikhil Beats</t>
  </si>
  <si>
    <t>NIVETHA</t>
  </si>
  <si>
    <t>Nooriyah</t>
  </si>
  <si>
    <t>Nxvtkwords</t>
  </si>
  <si>
    <t>Oshanti Ahmed</t>
  </si>
  <si>
    <t>PAV4N</t>
  </si>
  <si>
    <t>Petit Oiseau</t>
  </si>
  <si>
    <t>Rajesh Kumar</t>
  </si>
  <si>
    <t>Raji Rags</t>
  </si>
  <si>
    <t>DJ Rani</t>
  </si>
  <si>
    <t>Rishy</t>
  </si>
  <si>
    <t>Rithvik Andugula</t>
  </si>
  <si>
    <t>DJ Ritu</t>
  </si>
  <si>
    <t>Riva</t>
  </si>
  <si>
    <t>Khadura (fka Rizmi)</t>
  </si>
  <si>
    <t>Zoya</t>
  </si>
  <si>
    <t>zoya.ahmed@live.co.uk</t>
  </si>
  <si>
    <t>https://www.instagram.com/khadura.sound?igsh=NGtmYXowbWYwZHp3</t>
  </si>
  <si>
    <t>https://soundcloud.com/khadura?utm_source=mobi&amp;utm_campaign=social_sharing</t>
  </si>
  <si>
    <t>RSP</t>
  </si>
  <si>
    <t>Ruby Swallow</t>
  </si>
  <si>
    <t>Safia Lamrani</t>
  </si>
  <si>
    <t>Saliah</t>
  </si>
  <si>
    <t>Samuel Makar</t>
  </si>
  <si>
    <t xml:space="preserve">Sanasesh </t>
  </si>
  <si>
    <t xml:space="preserve">Sarra </t>
  </si>
  <si>
    <t>SHIR.IN</t>
  </si>
  <si>
    <t>Shivani Day</t>
  </si>
  <si>
    <t>Shivum Sharma</t>
  </si>
  <si>
    <t>Sukh Knight</t>
  </si>
  <si>
    <t>Surusinghe</t>
  </si>
  <si>
    <t>Tafadzwa Muchenge</t>
  </si>
  <si>
    <t>Tia Ali</t>
  </si>
  <si>
    <t>Toumba</t>
  </si>
  <si>
    <t>Trayner</t>
  </si>
  <si>
    <t>Vindya</t>
  </si>
  <si>
    <t>Works Of Intent</t>
  </si>
  <si>
    <t>Big Room, Melodic Techno</t>
  </si>
  <si>
    <t>rosh@worksofintent.com</t>
  </si>
  <si>
    <t>Yas Meen Selectress</t>
  </si>
  <si>
    <t>Yung Singh</t>
  </si>
  <si>
    <t xml:space="preserve">Kylin Tyce </t>
  </si>
  <si>
    <t>Zaleel</t>
  </si>
  <si>
    <t>Zia Ahmed</t>
  </si>
  <si>
    <t>Zohab Zee Khan</t>
  </si>
  <si>
    <t>Aisha Mirza</t>
  </si>
  <si>
    <t>Leo Kalyan</t>
  </si>
  <si>
    <t>N/A</t>
  </si>
  <si>
    <t>Tara Lily</t>
  </si>
  <si>
    <t>DJ Kye</t>
  </si>
  <si>
    <t>Surya Sen</t>
  </si>
  <si>
    <t>Thempress</t>
  </si>
  <si>
    <t>Kareina</t>
  </si>
  <si>
    <t>Leeds</t>
  </si>
  <si>
    <t>Taystill</t>
  </si>
  <si>
    <t>Kirat</t>
  </si>
  <si>
    <t>Izzet Garvey</t>
  </si>
  <si>
    <t>DCBL</t>
  </si>
  <si>
    <t>ISHU</t>
  </si>
  <si>
    <t>JAE-X</t>
  </si>
  <si>
    <t>Riya Mistry</t>
  </si>
  <si>
    <t>Tash LC</t>
  </si>
  <si>
    <t>Caprice Suhn</t>
  </si>
  <si>
    <t>Ayura</t>
  </si>
  <si>
    <t>Samrai</t>
  </si>
  <si>
    <t>Mithushan</t>
  </si>
  <si>
    <t>Taxi Cab Industries</t>
  </si>
  <si>
    <t>Noudle</t>
  </si>
  <si>
    <t>Panjabi Hit Squad</t>
  </si>
  <si>
    <t>Garage</t>
  </si>
  <si>
    <t>Almass Badat</t>
  </si>
  <si>
    <t>NAINA</t>
  </si>
  <si>
    <t>Debonair</t>
  </si>
  <si>
    <t>Dr Tabla</t>
  </si>
  <si>
    <t>Dalila</t>
  </si>
  <si>
    <t>Lush Lata</t>
  </si>
  <si>
    <t>India</t>
  </si>
  <si>
    <t>Leila Iman</t>
  </si>
  <si>
    <t>Goutham</t>
  </si>
  <si>
    <t>LUCIDE</t>
  </si>
  <si>
    <t>DJ / Live Act</t>
  </si>
  <si>
    <t>Ahadadream</t>
  </si>
  <si>
    <t>Ryan Lanji</t>
  </si>
  <si>
    <t>Manuka Honey</t>
  </si>
  <si>
    <t>Paul Purgas</t>
  </si>
  <si>
    <t>Complexion</t>
  </si>
  <si>
    <t>Dynoman</t>
  </si>
  <si>
    <t>NYC</t>
  </si>
  <si>
    <t>Haseeb Iqbal</t>
  </si>
  <si>
    <t>Nabihah Iqbal</t>
  </si>
  <si>
    <t>Raveena</t>
  </si>
  <si>
    <t>Sarith</t>
  </si>
  <si>
    <t>Baalti</t>
  </si>
  <si>
    <t>San Fancisco, USA</t>
  </si>
  <si>
    <t>barbiedollinthetajmahal</t>
  </si>
  <si>
    <t>Ges-e</t>
  </si>
  <si>
    <t>MISTA FRENZY</t>
  </si>
  <si>
    <t>LONDON</t>
  </si>
  <si>
    <t>MC</t>
  </si>
  <si>
    <t>Mixtress</t>
  </si>
  <si>
    <t>ARDCORE</t>
  </si>
  <si>
    <t>Nuphlo</t>
  </si>
  <si>
    <t>Osmani Soundz</t>
  </si>
  <si>
    <t>Shandy</t>
  </si>
  <si>
    <t>Sijya</t>
  </si>
  <si>
    <t>Delhi</t>
  </si>
  <si>
    <t>Yes</t>
  </si>
  <si>
    <t>feelsgoopta</t>
  </si>
  <si>
    <t>Montreal</t>
  </si>
  <si>
    <t>DJ / Producer</t>
  </si>
  <si>
    <t>Rouhangeze</t>
  </si>
  <si>
    <t>Jazz and soulful</t>
  </si>
  <si>
    <t>JJamz</t>
  </si>
  <si>
    <t>London / Manchester</t>
  </si>
  <si>
    <t>House and bits</t>
  </si>
  <si>
    <t>Kalbaisakhi</t>
  </si>
  <si>
    <t>Vibu</t>
  </si>
  <si>
    <t>Haaji Ki Halva</t>
  </si>
  <si>
    <t>Zee Muffin</t>
  </si>
  <si>
    <t>NYC USA</t>
  </si>
  <si>
    <t>Mya Mehmi</t>
  </si>
  <si>
    <t>DJ / LIVE Act</t>
  </si>
  <si>
    <t>Nadine Noor</t>
  </si>
  <si>
    <t>A.G.</t>
  </si>
  <si>
    <t>Basmati</t>
  </si>
  <si>
    <t>Aether</t>
  </si>
  <si>
    <t>Kansh</t>
  </si>
  <si>
    <t>they/them</t>
  </si>
  <si>
    <t>Singapore</t>
  </si>
  <si>
    <t>DJ, Visual, Spoken Word, Dance</t>
  </si>
  <si>
    <t>https://www.instagram.com/xaetherx777/</t>
  </si>
  <si>
    <t>https://soundcloud.com/xxaetherxx</t>
  </si>
  <si>
    <t>Robu</t>
  </si>
  <si>
    <t>London/Chennai</t>
  </si>
  <si>
    <t>DJ/Producer</t>
  </si>
  <si>
    <t>https://www.instagram.com/robumusic/?hl=en</t>
  </si>
  <si>
    <t>https://soundcloud.com/robumusic</t>
  </si>
  <si>
    <t>Insowmya</t>
  </si>
  <si>
    <t>London/Delhi</t>
  </si>
  <si>
    <t>Electro / Hip Hop</t>
  </si>
  <si>
    <t>https://www.instagram.com/insowmya/?hl=en</t>
  </si>
  <si>
    <t>https://www.youtube.com/watch?v=3zKk_Lp7_tk</t>
  </si>
  <si>
    <t>Benteki</t>
  </si>
  <si>
    <t>https://www.instagram.com/benteki_/?igsh=ZzV0NHg1amlta2N1</t>
  </si>
  <si>
    <t>Kush Arora</t>
  </si>
  <si>
    <t>https://www.instagram.com/kusharora/?igsh=MW8za3VlYmxlYXl0ag%3D%3D</t>
  </si>
  <si>
    <t>Shifa Ligero</t>
  </si>
  <si>
    <t>Dance, Amapiano, Jersey Club, Balie Funk, Rap, Edits</t>
  </si>
  <si>
    <t>shifaligero@gmail.com</t>
  </si>
  <si>
    <t>https://www.instagram.com/shifaligero/</t>
  </si>
  <si>
    <t>https://soundcloud.com/shifaligero</t>
  </si>
  <si>
    <t>https://www.tiktok.com/@shifaligero</t>
  </si>
  <si>
    <t>Aysha</t>
  </si>
  <si>
    <t>Nottingham?</t>
  </si>
  <si>
    <t>House, desi fusion, garage, bass,</t>
  </si>
  <si>
    <t>https://www.instagram.com/ayshvt</t>
  </si>
  <si>
    <t>https://soundcloud.com/ayshvt</t>
  </si>
  <si>
    <t>Isha</t>
  </si>
  <si>
    <t>https://www.instagram.com/ishakewlani/</t>
  </si>
  <si>
    <t>Imad</t>
  </si>
  <si>
    <t>Abibi</t>
  </si>
  <si>
    <t>Yung Fya</t>
  </si>
  <si>
    <t>Pia</t>
  </si>
  <si>
    <t>DnB/
Jungle, UKG, Breaks, Dub, Reggae, and Dubstep with
afro-influenced genres like Amapiano and Gqom.</t>
  </si>
  <si>
    <t>Sway Of The Verses</t>
  </si>
  <si>
    <t>Pritpal Ajimal</t>
  </si>
  <si>
    <t>Indian Classical, Bhangra, Rap, Drill, House, Techno</t>
  </si>
  <si>
    <t>pritpal@kikuchi-online.com</t>
  </si>
  <si>
    <t>https://www.instagram.com/swayoftheverses/</t>
  </si>
  <si>
    <t>https://linktr.ee/swayoftheverses</t>
  </si>
  <si>
    <t>VNEE</t>
  </si>
  <si>
    <t>House, Afro-house, desi edits, percussive, electro</t>
  </si>
  <si>
    <t>Reefy</t>
  </si>
  <si>
    <t>High-octane 135+ bpm electro/leftfield/bass/breaks/techno with sprinklings of other bits in there</t>
  </si>
  <si>
    <t>Jawari</t>
  </si>
  <si>
    <t>mixed</t>
  </si>
  <si>
    <t>Indo-Jazz</t>
  </si>
  <si>
    <t>jawariband@gmail.com</t>
  </si>
  <si>
    <t>https://www.instagram.com/jawariband/</t>
  </si>
  <si>
    <t>https://open.spotify.com/artist/4dMY9QGjc6JqLcLvnzNWKH</t>
  </si>
  <si>
    <t>Robert Luis</t>
  </si>
  <si>
    <t>Brighton</t>
  </si>
  <si>
    <t>beats, jazz, jungle, grime, funk, south asian grooves, hip hop, uk garage, reggae, soul to drum and bass.</t>
  </si>
  <si>
    <t>robertluis@me.com</t>
  </si>
  <si>
    <t>https://www.instagram.com/robertluis/</t>
  </si>
  <si>
    <t>https://linktr.ee/robertluis</t>
  </si>
  <si>
    <t>Sharan</t>
  </si>
  <si>
    <t>sharans4@hotmail.com</t>
  </si>
  <si>
    <t>https://www.instagram.com/shhh.run/</t>
  </si>
  <si>
    <t>Kaya M</t>
  </si>
  <si>
    <t>Kaya</t>
  </si>
  <si>
    <t>kaya@kanefm.com</t>
  </si>
  <si>
    <t>https://www.instagram.com/kayamgram/</t>
  </si>
  <si>
    <t>https://linktr.ee/kayaatkanefm</t>
  </si>
  <si>
    <t>V.I.V.E.K.</t>
  </si>
  <si>
    <t>Vivek</t>
  </si>
  <si>
    <t>Dubstep</t>
  </si>
  <si>
    <t>nikki@synchronicity.agency</t>
  </si>
  <si>
    <t>https://www.instagram.com/viveksystem/</t>
  </si>
  <si>
    <t>https://vivek.bandcamp.com/</t>
  </si>
  <si>
    <t>4resh</t>
  </si>
  <si>
    <t>Esha</t>
  </si>
  <si>
    <t>she/her</t>
  </si>
  <si>
    <t>Hip hop, rap</t>
  </si>
  <si>
    <t>esha.sikander@gmail.com</t>
  </si>
  <si>
    <t>https://www.instagram.com/__4resh/</t>
  </si>
  <si>
    <t>Pia Collada</t>
  </si>
  <si>
    <t>India, Goa</t>
  </si>
  <si>
    <t xml:space="preserve">UK Breaks, Bass, Techno, </t>
  </si>
  <si>
    <t>Piacollada@gmail.com</t>
  </si>
  <si>
    <t>https://www.instagram.com/piacollada/</t>
  </si>
  <si>
    <t>https://linktr.ee/piacollada</t>
  </si>
  <si>
    <t>DJ Gilla</t>
  </si>
  <si>
    <t>Aly</t>
  </si>
  <si>
    <t>Jazz, Soul, Groove, First Word Records Owner</t>
  </si>
  <si>
    <t xml:space="preserve">aly@firstwordrecords.com </t>
  </si>
  <si>
    <t>https://www.instagram.com/djgillaldn/</t>
  </si>
  <si>
    <t>https://linktr.ee/djgillaldn</t>
  </si>
  <si>
    <t>Alootwins</t>
  </si>
  <si>
    <t xml:space="preserve">Aalia </t>
  </si>
  <si>
    <t>She</t>
  </si>
  <si>
    <t xml:space="preserve">Pakistan </t>
  </si>
  <si>
    <t>RnB, Hiphop, Afrobeats, Baile, Bhangra, Bollywood</t>
  </si>
  <si>
    <t>alootwins@yahoo.com</t>
  </si>
  <si>
    <t>https://on.soundcloud.com/MWSvaX8kC2NJqTx18</t>
  </si>
  <si>
    <t>https://www.tiktok.com/@alootwins?_t=8og5EiT6fkv&amp;_r=1</t>
  </si>
  <si>
    <t>Vijay</t>
  </si>
  <si>
    <t>He/him</t>
  </si>
  <si>
    <t>Indian</t>
  </si>
  <si>
    <t>House, techno, minimal, baile, broken beat, jersey club</t>
  </si>
  <si>
    <t>http://instagram.com/jay.tapes</t>
  </si>
  <si>
    <t>soundcloud.com/jaytapes</t>
  </si>
  <si>
    <t>https://www.dropbox.com/scl/fo/8rzywvolev4ty02xalhf1/AJkk0fIkKcjZrvfku2_iTiE?rlkey=rm3b7pzl1txx75vsjy2ex6ghj&amp;dl=0</t>
  </si>
  <si>
    <t>Karishma</t>
  </si>
  <si>
    <t>She/her</t>
  </si>
  <si>
    <t>Indian - Punjabi</t>
  </si>
  <si>
    <t>n/a</t>
  </si>
  <si>
    <t xml:space="preserve">Jungle/dnb </t>
  </si>
  <si>
    <t>karishmaphandj@gmail.com</t>
  </si>
  <si>
    <t>https://www.instagram.com/_.k.arishma/</t>
  </si>
  <si>
    <t>https://soundcloud.com/karishma-phandey</t>
  </si>
  <si>
    <t>https://soundcloud.com/karishma-phandey/liquid-funk-2?si=8b67b5b2a59243df810722be45205bd1&amp;utm_source=clipboard&amp;utm_medium=text&amp;utm_campaign=social_sharing</t>
  </si>
  <si>
    <t>Nush/DJ SK Nush</t>
  </si>
  <si>
    <t>Nush</t>
  </si>
  <si>
    <t>They/them</t>
  </si>
  <si>
    <t xml:space="preserve">British-born Sri Lankan Tamil </t>
  </si>
  <si>
    <t>Lofi World Fusion (as an artist) and open format for DJing but mainly: Tamil, RnB, Afrobeats, Bashment</t>
  </si>
  <si>
    <t xml:space="preserve">admin@nush.studio </t>
  </si>
  <si>
    <t xml:space="preserve">https://www.instagram.com/musicbynush https://www.instagram.com/mixedbynush </t>
  </si>
  <si>
    <t xml:space="preserve">https://www.soundcloud.com/musicbynush </t>
  </si>
  <si>
    <t xml:space="preserve">https://www.tiktok.com/musicbynush </t>
  </si>
  <si>
    <t xml:space="preserve">https://www.soundcloud.com/musicbynush 
My new mixes are solely on @mixedbynush on instagram!  </t>
  </si>
  <si>
    <t>TUSHAR</t>
  </si>
  <si>
    <t>Tushar Singh</t>
  </si>
  <si>
    <t>Singaporean Indian</t>
  </si>
  <si>
    <t>Melbourne, Australia</t>
  </si>
  <si>
    <t>Indie</t>
  </si>
  <si>
    <t>tusharmusic.aus@gmail.com</t>
  </si>
  <si>
    <t>https://www.instagram.com/tusharmusicaus/</t>
  </si>
  <si>
    <t>https://soundcloud.com/tusharaus</t>
  </si>
  <si>
    <t>https://www.tiktok.com/@tusharmusicaus</t>
  </si>
  <si>
    <t>Sofia Gillani</t>
  </si>
  <si>
    <t>She/Her</t>
  </si>
  <si>
    <t>Pakistani</t>
  </si>
  <si>
    <t>Avant-garde Pop</t>
  </si>
  <si>
    <t>sofiagillani101@outlook.com</t>
  </si>
  <si>
    <t>https://www.instagram.com/sofia.aneesa.gillani/</t>
  </si>
  <si>
    <t>https://soundcloud.com/user-561233895</t>
  </si>
  <si>
    <t>@sofiagillanimusic</t>
  </si>
  <si>
    <t>https://m.youtube.com/@sofiagillani1198</t>
  </si>
  <si>
    <t xml:space="preserve">https://www.youtube.com/watch?v=rdZ1Rl4PFiQ
 https://youtu.be/wYb25-P53wY
https://linktr.ee/sofiagillani
https://open.spotify.com/artist/1SArP6jyVpjEAnspLWJTwA
https://www.facebook.com/sofiaaneesagillani
https://sofiagillani7.wixsite.com/website
</t>
  </si>
  <si>
    <t>Meds</t>
  </si>
  <si>
    <t>Mehedi</t>
  </si>
  <si>
    <t>Bangladeshi</t>
  </si>
  <si>
    <t>London, Leeds, Luton</t>
  </si>
  <si>
    <t>House &amp; Techno</t>
  </si>
  <si>
    <t>Medsmusicc@gmail.com</t>
  </si>
  <si>
    <t>@Meds999meds</t>
  </si>
  <si>
    <t>https://on.soundcloud.com/pKrr9zyaFQy2W7j97</t>
  </si>
  <si>
    <t>@meds999meds</t>
  </si>
  <si>
    <t>https://on.soundcloud.com/jTAD8913MSNJ8G4U6</t>
  </si>
  <si>
    <t>N1NJA</t>
  </si>
  <si>
    <t>Farah</t>
  </si>
  <si>
    <t>Pakistan, India, Kenya</t>
  </si>
  <si>
    <t>Progressive House, Organic House, Melodic Techno, Indie Dance</t>
  </si>
  <si>
    <t>farah@dj-ninja.com</t>
  </si>
  <si>
    <t>https://www.instagram.com/dj.n1nja/</t>
  </si>
  <si>
    <t>https://soundcloud.com/dj-ninja</t>
  </si>
  <si>
    <t>https://www.tiktok.com/@dj_n1nja</t>
  </si>
  <si>
    <t>https://www.linkedin.com/in/farah-nanji/</t>
  </si>
  <si>
    <t>VIZANO</t>
  </si>
  <si>
    <t>VIK</t>
  </si>
  <si>
    <t>British South Asian</t>
  </si>
  <si>
    <t>Indo House</t>
  </si>
  <si>
    <t>management@vizano-music.com</t>
  </si>
  <si>
    <t>Instagram.com/vizanomusic</t>
  </si>
  <si>
    <t>https://soundcloud.com/vizanotools  and  https://soundcloud.com/vizanomusic</t>
  </si>
  <si>
    <t>https://www.tiktok.com/@vizanomusic</t>
  </si>
  <si>
    <t>https://www.instagram.com/vizanomusic</t>
  </si>
  <si>
    <t>https://soundcloud.com/viktoreus
https://www.mixcloud.com/viktoreus/</t>
  </si>
  <si>
    <t>Rajah Betta</t>
  </si>
  <si>
    <t>Sagar Khatwani</t>
  </si>
  <si>
    <t>Current: Brooklyn, NY</t>
  </si>
  <si>
    <t>Breaks, jersey club, indie dance</t>
  </si>
  <si>
    <t>rajahbetta@gmail.com</t>
  </si>
  <si>
    <t>https://www.instagram.com/rajahbetta</t>
  </si>
  <si>
    <t>https://soundcloud.com/rajahbetta</t>
  </si>
  <si>
    <t>https://www.mixcloud.com/rajahbetta</t>
  </si>
  <si>
    <t>Submitted to Daytimers: https://soundcloud.com/rajahbetta/oru-devathai-rajah-betta-x-krithi-remix
Radio residency at Newtown Radio (Brooklyn): https://newtownradio.com/shows/betta-sounds/</t>
  </si>
  <si>
    <t>Prithiv</t>
  </si>
  <si>
    <t>south asian</t>
  </si>
  <si>
    <t>New York City, USA</t>
  </si>
  <si>
    <t>bass house, ukg, baile, house, electronic</t>
  </si>
  <si>
    <t>redmiso404@gmail.com</t>
  </si>
  <si>
    <t>prithivnatarajan</t>
  </si>
  <si>
    <t>https://soundcloud.com/nprithiv</t>
  </si>
  <si>
    <t xml:space="preserve">DJ mix (Bass house, UKG)
https://on.soundcloud.com/8CH3P2FSCY48PzY78 
Production work (bollywood remixes)
https://on.soundcloud.com/6ivW84sApWYya7166
Upcoming single from my album to be release in jan next year:
https://on.soundcloud.com/3Aiz1ijGq2UXvjBa8
</t>
  </si>
  <si>
    <t>RAIDAA</t>
  </si>
  <si>
    <t>Raidaa Mirza</t>
  </si>
  <si>
    <t>South Asian/Bangladeshi</t>
  </si>
  <si>
    <t>R&amp;B, Slow Jams, Neo-Soul, Soul, Jazz, AfroJazz, JazzFunk, Rap, Hip-Hop, Urban, Baile Funk, Amapiano, Afrobeats</t>
  </si>
  <si>
    <t>raidaa.mirza@outlook.com</t>
  </si>
  <si>
    <t>raidaamirza</t>
  </si>
  <si>
    <t xml:space="preserve">https://www.mixcloud.com/GShockRadio/g-shock-radio-the-juice-presents-friends-raidaa-1910/
https://www.mixcloud.com/VoicesRadio/golden-hour-w-raidaa-180924-voices-radio/
https://www.mixcloud.com/VoicesRadio/golden-hour-w-raidaa-201124-voices-radio/ </t>
  </si>
  <si>
    <t>AYSHA</t>
  </si>
  <si>
    <t>aysha</t>
  </si>
  <si>
    <t xml:space="preserve">pakistani </t>
  </si>
  <si>
    <t>Nottingham</t>
  </si>
  <si>
    <t>garage/140/breaks</t>
  </si>
  <si>
    <t>aysha.tariq1411@gmail.com</t>
  </si>
  <si>
    <t>https://www.instagram.com/ayshvt/</t>
  </si>
  <si>
    <t>https://soundcloud.com/ayshvt/desi-mix-panjabi-hit-squad?si=af868d13293b46cb8b8a0f72db7a192c&amp;utm_source=clipboard&amp;utm_medium=text&amp;utm_campaign=social_sharing</t>
  </si>
  <si>
    <t>SAJN</t>
  </si>
  <si>
    <t>Sajan Lal</t>
  </si>
  <si>
    <t>New Garage/Afrodesi House</t>
  </si>
  <si>
    <t>sajan_lal@outlook.com</t>
  </si>
  <si>
    <t xml:space="preserve">@djaysuno </t>
  </si>
  <si>
    <t>https://on.soundcloud.com/5mW1z7k82xwWLuBE7</t>
  </si>
  <si>
    <t>Skippy</t>
  </si>
  <si>
    <t>Zee</t>
  </si>
  <si>
    <t>grime, garage, jungle, drum &amp; bass, bollywood</t>
  </si>
  <si>
    <t>zeeshh92@gmail.com</t>
  </si>
  <si>
    <t xml:space="preserve">skippyselectss </t>
  </si>
  <si>
    <t>https://on.soundcloud.com/E2U8HAQrXBDBnHv48</t>
  </si>
  <si>
    <t>https://www.tiktok.com/@skippyselectss?_t=ZG-8slHpihfyKn&amp;_r=1</t>
  </si>
  <si>
    <t xml:space="preserve">Daskaran </t>
  </si>
  <si>
    <t>Rohin</t>
  </si>
  <si>
    <t xml:space="preserve">Indian/Punjabi </t>
  </si>
  <si>
    <t xml:space="preserve">Techno, trance, hard groove, garage </t>
  </si>
  <si>
    <t>daskaran.music@gmail.com</t>
  </si>
  <si>
    <t>@___daskaran___</t>
  </si>
  <si>
    <t>___daskaran___</t>
  </si>
  <si>
    <t>Check out ___Daskaran___ on #SoundCloud
https://on.soundcloud.com/mW9uqyr6LX3YsKFy6</t>
  </si>
  <si>
    <t>Djaloo</t>
  </si>
  <si>
    <t>Aalia</t>
  </si>
  <si>
    <t>Desi Amapiano, Desi Afro house, RnB, Hiphop</t>
  </si>
  <si>
    <t>allydanyals@yahoo.co.uk</t>
  </si>
  <si>
    <t>Aalia.farah</t>
  </si>
  <si>
    <t>https://on.soundcloud.com/EGtt5tvTY8UL73nAA</t>
  </si>
  <si>
    <t>https://www.tiktok.com/@aalia.farah?_t=ZG-8syzxqQ3Zx2&amp;_r=1</t>
  </si>
  <si>
    <t>Indian, Sindhi</t>
  </si>
  <si>
    <t>Brooklyn until April '25, Bombay starting May '25</t>
  </si>
  <si>
    <t>Breaks, club, indie dance</t>
  </si>
  <si>
    <t>https://www.instagram.com/rajahbetta/</t>
  </si>
  <si>
    <t>Originals / demos: https://soundcloud.com/rajahbetta/sets/originals
Betta Sounds (radio show) on Newtown Radio: https://www.mixcloud.com/rajahbetta/playlists/newtown-radio-x-betta-sounds/</t>
  </si>
  <si>
    <t>Maham Suhail</t>
  </si>
  <si>
    <t>South Asian (Pakistani)</t>
  </si>
  <si>
    <t>Indie Electronica (Pop/World/Funk vibes)</t>
  </si>
  <si>
    <t>connect@maham-suhail.com</t>
  </si>
  <si>
    <t>@maham_suhail_</t>
  </si>
  <si>
    <t>https://www.soundcloud.com/maham-s.</t>
  </si>
  <si>
    <t>https://maham-suhail.com/</t>
  </si>
  <si>
    <t>https://youtu.be/47M4wAP8430</t>
  </si>
  <si>
    <t>arnav</t>
  </si>
  <si>
    <t>Arnav Singh</t>
  </si>
  <si>
    <t>Garage, Hardgroove, Techno, Broken Beat, House</t>
  </si>
  <si>
    <t>arnavs2ngh@gmail.com</t>
  </si>
  <si>
    <t>arnav_singh</t>
  </si>
  <si>
    <t>https://soundcloud.com/arnav-singh-935815474</t>
  </si>
  <si>
    <t>https://soundcloud.com/arnav-singh-935815474/sets/mixes</t>
  </si>
  <si>
    <t>VANI</t>
  </si>
  <si>
    <t>Vani Dewan</t>
  </si>
  <si>
    <t>Punjabi Indian!</t>
  </si>
  <si>
    <t>LA &amp; SF</t>
  </si>
  <si>
    <t>Global Bass (baile funk, afropop/afrohouse, latin tech, indo fusion, a couple sprinkles of bass house just for variety in my drops). Also big foundation in hip hop&amp; r+b</t>
  </si>
  <si>
    <t>vani.dewan@gmail.com</t>
  </si>
  <si>
    <t>@vanidewan</t>
  </si>
  <si>
    <t>@vani-dewan</t>
  </si>
  <si>
    <t>youtube: Vani Dewan</t>
  </si>
  <si>
    <t>Opening set for Jyoty in SF: https://www.youtube.com/watch?v=jTmyrzy7wmo&amp;t=2010s , global house mix for KRUNK in Mumbai: https://soundcloud.com/vani-dewan/vani-for-krunks-dance-ok-pleaselive?si=eaa5cefe88174b6eaa262552048d076c&amp;utm_source=clipboard&amp;utm_medium=text&amp;utm_campaign=social_sharing</t>
  </si>
  <si>
    <t>$EJ</t>
  </si>
  <si>
    <t>New York City</t>
  </si>
  <si>
    <t>indo-house, fusion, pop</t>
  </si>
  <si>
    <t>mgmt@sejsounds.com</t>
  </si>
  <si>
    <t>@sejalkargal</t>
  </si>
  <si>
    <t>https://soundcloud.com/sejalkargal/sets/dj-ej-mixes?si=7734cfa0fb37407db934d8741ab9bb4e&amp;utm_source=clipboard&amp;utm_medium=text&amp;utm_campaign=social_sharing</t>
  </si>
  <si>
    <t>https://open.spotify.com/album/7maIEUpJPrIwuao0S26kav?si=HbtMtPECRfWLqe9bcrg6mQ</t>
  </si>
  <si>
    <t>Harmonoize</t>
  </si>
  <si>
    <t>Manav</t>
  </si>
  <si>
    <t>Punjabi/Indian</t>
  </si>
  <si>
    <t xml:space="preserve">Punjabi/Bolkywood + Garage/House/Bassline/DnB/Jungle </t>
  </si>
  <si>
    <t>Harmonoize1@gmail.com</t>
  </si>
  <si>
    <t>https://www.instagram.com/harmonoize?igsh=eHZ0MG05cnE0aWN4&amp;utm_source=qr</t>
  </si>
  <si>
    <t>https://on.soundcloud.com/bp6nVspvcZznuQ9s7</t>
  </si>
  <si>
    <t>https://www.tiktok.com/@harmonoizetv?_t=ZN-8u6SYWoFbYU&amp;_r=1</t>
  </si>
  <si>
    <t>https://youtube.com/@harmonoizetv?si=aAF2MaGcnDDP_Gos</t>
  </si>
  <si>
    <t>https://www.mixcloud.com/harmonoize/harmonoize-mix-desi-blend-200225/</t>
  </si>
  <si>
    <t>Jordan K Joseph</t>
  </si>
  <si>
    <t>JJ</t>
  </si>
  <si>
    <t>Gujarat</t>
  </si>
  <si>
    <t>House, Bass,Techno, Breaks, Trance, Electro, Dub</t>
  </si>
  <si>
    <t>jordankjoseph20@gmail.com</t>
  </si>
  <si>
    <t>@jordankjoseph20</t>
  </si>
  <si>
    <t>https://soundcloud.com/jordankjoseph</t>
  </si>
  <si>
    <t>N/a</t>
  </si>
  <si>
    <t>https://www.jordankjoseph.co.uk/</t>
  </si>
  <si>
    <t>https://www.youtube.com/watch?v=GumMd3SWz1c</t>
  </si>
  <si>
    <t>Seth Chohan</t>
  </si>
  <si>
    <t>Mixed (White &amp; Indian)</t>
  </si>
  <si>
    <t>House, Deep House, Disco, Garage</t>
  </si>
  <si>
    <t>sethchohan@gmail.com</t>
  </si>
  <si>
    <t>seth.chohan</t>
  </si>
  <si>
    <t>https://on.soundcloud.com/hZbxHop8kNHAt7iw7</t>
  </si>
  <si>
    <t>https://www.tiktok.com/@seth.chohan?_t=ZN-8urYLNiPExz&amp;_r=1</t>
  </si>
  <si>
    <t>https://www.facebook.com/share/1AJGqMh4ci/?mibextid=wwXIfr</t>
  </si>
  <si>
    <t>https://on.soundcloud.com/LwQZsHGyKDCrogFG7 https://on.soundcloud.com/XVCqLnV23jwWKJJG6
https://open.spotify.com/artist/5xE8yjKCcbCBxjqOWfuuHz?si=g-YRzNrvQG-0kk5LlWpFNg
https://on.soundcloud.com/a8JRxZAzC5n7KDVj9
Here’s a few links for you. The top two are forthcoming EPs I’m working on. 
I have then linked my Spotify artist page where you can find some past releases. 
I’ve also created a short playlist of a few mixes, there are plenty more on my SoundCloud.
Enjoy!</t>
  </si>
  <si>
    <t>words</t>
  </si>
  <si>
    <t>Ben Watts</t>
  </si>
  <si>
    <t>South Indian/Anglo Indian</t>
  </si>
  <si>
    <t>UKG, UK Bass, Electro, Jungle, Breaks, Hardgroove, Techno</t>
  </si>
  <si>
    <t>benwatts93@yahoo.co.uk</t>
  </si>
  <si>
    <t>@benwatts24601</t>
  </si>
  <si>
    <t>https://on.soundcloud.com/ywbsrbE9dXeiVJzR7</t>
  </si>
  <si>
    <t>https://on.soundcloud.com/HZxGR51K9GAtaDSL6</t>
  </si>
  <si>
    <t>AMMARA</t>
  </si>
  <si>
    <t>Ammara</t>
  </si>
  <si>
    <t>Pakistan</t>
  </si>
  <si>
    <t>Trance / Hard House</t>
  </si>
  <si>
    <t>oscar@triplethreatmgmt.com</t>
  </si>
  <si>
    <t>https://www.instagram.com/ammaradj/?hl=en</t>
  </si>
  <si>
    <t>https://soundcloud.com/ammaradj</t>
  </si>
  <si>
    <t>https://www.tiktok.com/@ammaradj</t>
  </si>
  <si>
    <t>https://soundcloud.com/ammaradj/ammara-hor-berlin-mix</t>
  </si>
  <si>
    <t>Tease + Reset</t>
  </si>
  <si>
    <t>Seem</t>
  </si>
  <si>
    <t>Pakistani/Afghani</t>
  </si>
  <si>
    <t>London, Birmingham, Bristol, Manchester, Brighton, Cambridge</t>
  </si>
  <si>
    <t xml:space="preserve">We’re open to Berlin too. </t>
  </si>
  <si>
    <t>Garage,Breaks,Bass,</t>
  </si>
  <si>
    <t>seem_samuel@hotmail.com</t>
  </si>
  <si>
    <t>/teaseandreset</t>
  </si>
  <si>
    <t>https://soundcloud.com/blooplondon/fortune-favours-radio-w-tease-and-reset-031224?ref=clipboard&amp;p=i&amp;c=0&amp;si=308B77431CCC4C2B88D693E5BB78C0E0&amp;utm_source=clipboard&amp;utm_medium=text&amp;utm_campaign=social_sharing</t>
  </si>
  <si>
    <t>Dhanji</t>
  </si>
  <si>
    <t>India, Ahmedabad</t>
  </si>
  <si>
    <t>Desi Hip-hop</t>
  </si>
  <si>
    <t>vyom@spreebuzz.com</t>
  </si>
  <si>
    <t>https://www.instagram.com/skrrtt.skrrrt/?hl=en</t>
  </si>
  <si>
    <t>https://www.youtube.com/@amdavad</t>
  </si>
  <si>
    <t>https://open.spotify.com/artist/1OVeQPd27s1MkICbzBfZTV</t>
  </si>
  <si>
    <t>King Ahmed</t>
  </si>
  <si>
    <t>Syed J Ahmed</t>
  </si>
  <si>
    <t>British Bangladeshi</t>
  </si>
  <si>
    <t>Urban Desi, Indian Pop, Bollywood, Bhangra, Dancehall, Folk, Hip Hop, R&amp;B, Garage, House</t>
  </si>
  <si>
    <t>Ahmedsy_jaber@hotmail.com</t>
  </si>
  <si>
    <t>www.instagram.com/king_ahmed120</t>
  </si>
  <si>
    <t>www.soundcloud.com/syed-artist</t>
  </si>
  <si>
    <t>https://www.tiktok.com/@syedahmed6672?_t=ZN-8wT7ccz4WNK&amp;_r=1</t>
  </si>
  <si>
    <t>https://linktr.ee/KingAhmed120</t>
  </si>
  <si>
    <t>https://youtu.be/wXYH0uouw_g?si=NPX4Iv7qucRY1lR5</t>
  </si>
  <si>
    <t>South Asian / British Asian - Indian</t>
  </si>
  <si>
    <t>Liverpool, Leeds</t>
  </si>
  <si>
    <t xml:space="preserve">Garage, UK Funky House, Grime, Afro-desi, electronic, amapiano, jazz, house, baile </t>
  </si>
  <si>
    <t>Sharan.flora@outlook.com</t>
  </si>
  <si>
    <t>@sharandeep__</t>
  </si>
  <si>
    <t>https://on.soundcloud.com/ELg1FI3oCi8hoeMVdg</t>
  </si>
  <si>
    <t>https://linktr.ee/sharandeep_</t>
  </si>
  <si>
    <t>TASHASAN</t>
  </si>
  <si>
    <t>Natasha</t>
  </si>
  <si>
    <t>Primarily Southeast Asian (Malay) diaspora — with South Asian (Malabari) heritage from my paternal grandfather.</t>
  </si>
  <si>
    <t>breaks, hard drum, bass, leftfield</t>
  </si>
  <si>
    <t>n.nathassan@gmail.com</t>
  </si>
  <si>
    <t>https://www.instagram.com/_natashahassan?igsh=bmFpcmI4dTh6ejJ3&amp;utm_source=qr</t>
  </si>
  <si>
    <t>https://soundcloud.com/tashasan</t>
  </si>
  <si>
    <t>https://www.instagram.com/northeastsocialclub?igsh=MWllY2N0YXY3MGprdA==</t>
  </si>
  <si>
    <t>skippy</t>
  </si>
  <si>
    <t xml:space="preserve">South Asia </t>
  </si>
  <si>
    <t>Grime, jungle, drum &amp; bass</t>
  </si>
  <si>
    <t>skippyselectss</t>
  </si>
  <si>
    <t>https://on.soundcloud.com/vITIuIWiph5bEvb6zu</t>
  </si>
  <si>
    <t>SHIVXNI</t>
  </si>
  <si>
    <t>Shiv</t>
  </si>
  <si>
    <t>London, Birmingham, Coventry</t>
  </si>
  <si>
    <t>Mainly House (Indo, Afro, tribal, tech and deep house), also abit of amapiano &amp; garage</t>
  </si>
  <si>
    <t>shivanithakrar1@gmail.com</t>
  </si>
  <si>
    <t>@shivanithakrar</t>
  </si>
  <si>
    <t>@shivxni__</t>
  </si>
  <si>
    <t>https://on.soundcloud.com/A0aZ9sbf34JQXDUka2</t>
  </si>
  <si>
    <t>Neha</t>
  </si>
  <si>
    <t>Neha Khan</t>
  </si>
  <si>
    <t xml:space="preserve">South Asian </t>
  </si>
  <si>
    <t>Minimal, deep, indie</t>
  </si>
  <si>
    <t>nehakhanldnuk@gmail.com</t>
  </si>
  <si>
    <t>nehakhanxo</t>
  </si>
  <si>
    <t>neha.khan</t>
  </si>
  <si>
    <t>https://on.soundcloud.com/ZoRdvw57HXifrbGOhx</t>
  </si>
  <si>
    <t>VIRI$$</t>
  </si>
  <si>
    <t>Sri Lankan</t>
  </si>
  <si>
    <t>Global club - shatta, bouyon, baile funk, dancehall</t>
  </si>
  <si>
    <t>https://www.instagram.com/viriss___/</t>
  </si>
  <si>
    <t>viriss___</t>
  </si>
  <si>
    <t>https://soundcloud.com/vir_iss</t>
  </si>
  <si>
    <t>https://soundcloud.com/islaradio/viriss</t>
  </si>
  <si>
    <t>Jaz Imsky</t>
  </si>
  <si>
    <t>Jaz</t>
  </si>
  <si>
    <t>Dubstep, grime, bass</t>
  </si>
  <si>
    <t>tremayne@23degreesevents.com</t>
  </si>
  <si>
    <t>jaz.imsky</t>
  </si>
  <si>
    <t>jazimsky</t>
  </si>
  <si>
    <t>Smoove Kriminal</t>
  </si>
  <si>
    <t>South Asian</t>
  </si>
  <si>
    <t>UK Funky, Afrohouse, Amapiano</t>
  </si>
  <si>
    <t>SmooveKriminal@hotmail.co.uk</t>
  </si>
  <si>
    <t>SmooveKriminal</t>
  </si>
  <si>
    <t>smoovekriminal</t>
  </si>
  <si>
    <t>https://smoovekriminal.bandcamp.com/</t>
  </si>
  <si>
    <t xml:space="preserve">
ROHiNA </t>
  </si>
  <si>
    <t>Rohina</t>
  </si>
  <si>
    <t>she/they</t>
  </si>
  <si>
    <t>Global club - bassy, high energy, baile funk, soca</t>
  </si>
  <si>
    <t>https://www.instagram.com/rohinacp/</t>
  </si>
  <si>
    <t>rohinacp</t>
  </si>
  <si>
    <t>Kabir</t>
  </si>
  <si>
    <t>Arab and Brazilian electronic music, Singeli and Shatta, Bollywood, UK club sounds, grime &amp; Panjabi garage</t>
  </si>
  <si>
    <t>https://www.instagram.com/kabirzjo/</t>
  </si>
  <si>
    <t>kabirzjo</t>
  </si>
  <si>
    <t>https://soundcloud.com/netil-radio/koshari-w-kabir-3rd-june-2025?in=netil-radio/sets/koshari-1st-tuesday-5-7pm</t>
  </si>
  <si>
    <t>HTMLJones</t>
  </si>
  <si>
    <t>Garoess</t>
  </si>
  <si>
    <t>Phia500</t>
  </si>
  <si>
    <t>girlcalledsim</t>
  </si>
  <si>
    <t>sun-san</t>
  </si>
  <si>
    <t xml:space="preserve">minimal, house, </t>
  </si>
  <si>
    <t>@nehakhanxo</t>
  </si>
  <si>
    <t>https://soundcloud.com/neha-khan</t>
  </si>
  <si>
    <t>https://www.youtube.com/watch?v=bNXxnyvPksw&amp;t=1s</t>
  </si>
  <si>
    <t>Prithvi</t>
  </si>
  <si>
    <t>Prithvi Kumar</t>
  </si>
  <si>
    <t>Punjabi</t>
  </si>
  <si>
    <t>London, Bristol, Manchester</t>
  </si>
  <si>
    <t>UKG, Jungle, House</t>
  </si>
  <si>
    <t>prithviuk1@gmail.com</t>
  </si>
  <si>
    <t>prithvi_uk</t>
  </si>
  <si>
    <t>https://soundcloud.com/prithviuk</t>
  </si>
  <si>
    <t>https://www.tiktok.com/@prithvi_vip</t>
  </si>
  <si>
    <t>Alfaz</t>
  </si>
  <si>
    <t>Alfaz Nurul</t>
  </si>
  <si>
    <t>He/His</t>
  </si>
  <si>
    <t>Bangladeshi Italian</t>
  </si>
  <si>
    <t>House and Disco</t>
  </si>
  <si>
    <t>salottosounds@gmail.com</t>
  </si>
  <si>
    <t>@alfaznrl</t>
  </si>
  <si>
    <t>https://soundcloud.com/alfaz-nurul and https://soundcloud.com/norulesukldn</t>
  </si>
  <si>
    <t>salottosounds</t>
  </si>
  <si>
    <t>https://soundcloud.com/norulesukldn for my stuff that I have done with my brother as No Rules
for my events Salotto Sounds: https://soundcloud.com/salotto-sounds
My Personal https://soundcloud.com/alfaz-nurul</t>
  </si>
  <si>
    <t>RX</t>
  </si>
  <si>
    <t>Panjabi, Indian</t>
  </si>
  <si>
    <t>Birmingham, Wolverhampton</t>
  </si>
  <si>
    <t>UK funky, amapiano, afrobeats, house, rnb, hiphop, jungle, dnb, panjabi, hindi, grime, dub</t>
  </si>
  <si>
    <t>rxveena7@gmail.com</t>
  </si>
  <si>
    <t>@rxveena_</t>
  </si>
  <si>
    <t>https://on.soundcloud.com/RBFFSRYAW3tfCEAKsF</t>
  </si>
  <si>
    <t>https://on.soundcloud.com/Q4KdTq9gXW5chrIinH</t>
  </si>
  <si>
    <t>PRI !!</t>
  </si>
  <si>
    <t>Priya</t>
  </si>
  <si>
    <t>She/they</t>
  </si>
  <si>
    <t>Percussive, 140, Jungle, Footwork</t>
  </si>
  <si>
    <t>priyakkanungo@gmail.com</t>
  </si>
  <si>
    <t>0121pri</t>
  </si>
  <si>
    <t>https://soundcloud.com/sigil-radio/dunya-w-pri-october-2025-sigil-radio</t>
  </si>
  <si>
    <t>https://www.youtube.com/watch?v=PMA1yLmBEcw&amp;t=413s</t>
  </si>
  <si>
    <t>amri</t>
  </si>
  <si>
    <t>Amrita</t>
  </si>
  <si>
    <t>Jazz Fusion</t>
  </si>
  <si>
    <t>taniyaamritha@gmail.com</t>
  </si>
  <si>
    <t>amrisings</t>
  </si>
  <si>
    <t>amrisings.com</t>
  </si>
  <si>
    <t>https://open.spotify.com/artist/0otmCDF5DZjqADtQT9aIkG?si=eGOHNnChSCqyYmfI7NzUyA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</si>
</sst>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31">
    <font>
      <sz val="10.0"/>
      <color rgb="FF000000"/>
      <name val="Arial"/>
      <scheme val="minor"/>
    </font>
    <font>
      <b/>
      <sz val="14.0"/>
      <color theme="1"/>
      <name val="Oswald"/>
    </font>
    <font>
      <color theme="1"/>
      <name val="Arial"/>
    </font>
    <font>
      <b/>
      <sz val="11.0"/>
      <color theme="1"/>
      <name val="Space Grotesk"/>
    </font>
    <font>
      <color theme="1"/>
      <name val="Arial"/>
      <scheme val="minor"/>
    </font>
    <font>
      <b/>
      <sz val="12.0"/>
      <color theme="1"/>
      <name val="Oswald"/>
    </font>
    <font>
      <b/>
      <color theme="1"/>
      <name val="Oswald"/>
    </font>
    <font>
      <color theme="1"/>
      <name val="Oswald"/>
    </font>
    <font>
      <sz val="11.0"/>
      <color theme="1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  <font>
      <b/>
      <color theme="1"/>
      <name val="Arial"/>
      <scheme val="minor"/>
    </font>
    <font>
      <u/>
      <color rgb="FF0000FF"/>
      <name val="Oswald"/>
    </font>
    <font>
      <u/>
      <color rgb="FF0000FF"/>
      <name val="Oswald"/>
    </font>
    <font>
      <sz val="11.0"/>
      <color rgb="FF000000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  <font>
      <b/>
      <u/>
      <color theme="1"/>
      <name val="Arial"/>
      <scheme val="minor"/>
    </font>
    <font>
      <b/>
      <sz val="11.0"/>
      <color theme="1"/>
      <name val="Glegoo"/>
    </font>
    <font>
      <b/>
      <color theme="1"/>
      <name val="Glegoo"/>
    </font>
    <font>
      <u/>
      <color rgb="FF0000FF"/>
    </font>
    <font>
      <u/>
      <color rgb="FF0000FF"/>
      <name val="Arial"/>
    </font>
    <font>
      <sz val="11.0"/>
      <color rgb="FF000000"/>
      <name val="Inconsolata"/>
    </font>
    <font>
      <color theme="1"/>
      <name val="Glegoo"/>
    </font>
    <font>
      <u/>
      <sz val="11.0"/>
      <color rgb="FF0000FF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  <font>
      <u/>
      <sz val="11.0"/>
      <color rgb="FF0000FF"/>
      <name val="Space Grotesk"/>
    </font>
  </fonts>
  <fills count="6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3">
    <border/>
    <border>
      <left style="medium">
        <color rgb="FFFBBC04"/>
      </left>
      <right style="medium">
        <color rgb="FFFBBC04"/>
      </right>
      <top style="medium">
        <color rgb="FFFBBC04"/>
      </top>
      <bottom style="medium">
        <color rgb="FFFBBC04"/>
      </bottom>
    </border>
    <border>
      <right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2" fontId="3" numFmtId="0" xfId="0" applyAlignment="1" applyFont="1">
      <alignment horizontal="left" shrinkToFit="0" wrapText="1"/>
    </xf>
    <xf borderId="0" fillId="3" fontId="5" numFmtId="0" xfId="0" applyAlignment="1" applyFill="1" applyFont="1">
      <alignment vertical="bottom"/>
    </xf>
    <xf borderId="0" fillId="0" fontId="4" numFmtId="0" xfId="0" applyFont="1"/>
    <xf borderId="1" fillId="2" fontId="3" numFmtId="0" xfId="0" applyAlignment="1" applyBorder="1" applyFont="1">
      <alignment horizontal="left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3" fontId="6" numFmtId="0" xfId="0" applyAlignment="1" applyFont="1">
      <alignment vertical="bottom"/>
    </xf>
    <xf borderId="0" fillId="0" fontId="4" numFmtId="164" xfId="0" applyFont="1" applyNumberFormat="1"/>
    <xf borderId="0" fillId="0" fontId="7" numFmtId="0" xfId="0" applyAlignment="1" applyFont="1">
      <alignment readingOrder="0" vertical="bottom"/>
    </xf>
    <xf borderId="0" fillId="2" fontId="3" numFmtId="0" xfId="0" applyAlignment="1" applyFont="1">
      <alignment readingOrder="0" shrinkToFit="0" wrapText="1"/>
    </xf>
    <xf borderId="0" fillId="0" fontId="4" numFmtId="14" xfId="0" applyFont="1" applyNumberFormat="1"/>
    <xf borderId="0" fillId="2" fontId="3" numFmtId="165" xfId="0" applyAlignment="1" applyFont="1" applyNumberFormat="1">
      <alignment readingOrder="0" shrinkToFit="0" wrapText="1"/>
    </xf>
    <xf borderId="0" fillId="0" fontId="7" numFmtId="0" xfId="0" applyAlignment="1" applyFont="1">
      <alignment vertical="bottom"/>
    </xf>
    <xf borderId="0" fillId="2" fontId="3" numFmtId="0" xfId="0" applyFont="1"/>
    <xf borderId="0" fillId="3" fontId="6" numFmtId="0" xfId="0" applyAlignment="1" applyFont="1">
      <alignment shrinkToFit="0" vertical="bottom" wrapText="1"/>
    </xf>
    <xf borderId="0" fillId="4" fontId="8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vertical="bottom"/>
    </xf>
    <xf borderId="0" fillId="4" fontId="8" numFmtId="0" xfId="0" applyAlignment="1" applyFont="1">
      <alignment horizontal="left" readingOrder="0" shrinkToFit="0" wrapText="1"/>
    </xf>
    <xf borderId="0" fillId="4" fontId="8" numFmtId="0" xfId="0" applyAlignment="1" applyFont="1">
      <alignment horizontal="center" shrinkToFit="0" wrapText="1"/>
    </xf>
    <xf borderId="0" fillId="4" fontId="9" numFmtId="0" xfId="0" applyAlignment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wrapText="1"/>
    </xf>
    <xf borderId="2" fillId="3" fontId="5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vertical="bottom"/>
    </xf>
    <xf borderId="0" fillId="3" fontId="11" numFmtId="0" xfId="0" applyAlignment="1" applyFont="1">
      <alignment shrinkToFit="0" wrapText="1"/>
    </xf>
    <xf borderId="0" fillId="4" fontId="7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7" numFmtId="165" xfId="0" applyAlignment="1" applyFont="1" applyNumberFormat="1">
      <alignment vertical="bottom"/>
    </xf>
    <xf borderId="0" fillId="5" fontId="7" numFmtId="0" xfId="0" applyAlignment="1" applyFill="1" applyFont="1">
      <alignment vertical="bottom"/>
    </xf>
    <xf borderId="0" fillId="5" fontId="13" numFmtId="0" xfId="0" applyAlignment="1" applyFont="1">
      <alignment vertical="bottom"/>
    </xf>
    <xf borderId="0" fillId="5" fontId="7" numFmtId="165" xfId="0" applyAlignment="1" applyFont="1" applyNumberFormat="1">
      <alignment vertical="bottom"/>
    </xf>
    <xf borderId="0" fillId="4" fontId="14" numFmtId="165" xfId="0" applyFont="1" applyNumberFormat="1"/>
    <xf borderId="0" fillId="4" fontId="14" numFmtId="0" xfId="0" applyFont="1"/>
    <xf borderId="0" fillId="4" fontId="8" numFmtId="0" xfId="0" applyFont="1"/>
    <xf borderId="0" fillId="5" fontId="8" numFmtId="0" xfId="0" applyAlignment="1" applyFont="1">
      <alignment horizontal="center" readingOrder="0" shrinkToFit="0" wrapText="1"/>
    </xf>
    <xf borderId="0" fillId="5" fontId="8" numFmtId="0" xfId="0" applyAlignment="1" applyFont="1">
      <alignment horizontal="left" readingOrder="0" shrinkToFit="0" wrapText="1"/>
    </xf>
    <xf borderId="0" fillId="5" fontId="8" numFmtId="0" xfId="0" applyAlignment="1" applyFont="1">
      <alignment horizontal="center" shrinkToFit="0" wrapText="1"/>
    </xf>
    <xf borderId="0" fillId="5" fontId="15" numFmtId="0" xfId="0" applyAlignment="1" applyFont="1">
      <alignment horizontal="center" readingOrder="0" shrinkToFit="0" wrapText="1"/>
    </xf>
    <xf borderId="0" fillId="5" fontId="8" numFmtId="0" xfId="0" applyFont="1"/>
    <xf borderId="0" fillId="5" fontId="8" numFmtId="0" xfId="0" applyAlignment="1" applyFont="1">
      <alignment readingOrder="0" shrinkToFit="0" wrapText="1"/>
    </xf>
    <xf borderId="0" fillId="5" fontId="14" numFmtId="165" xfId="0" applyFont="1" applyNumberFormat="1"/>
    <xf borderId="0" fillId="5" fontId="14" numFmtId="0" xfId="0" applyFont="1"/>
    <xf borderId="0" fillId="5" fontId="16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0" fontId="11" numFmtId="0" xfId="0" applyAlignment="1" applyFont="1">
      <alignment horizontal="right" readingOrder="0"/>
    </xf>
    <xf borderId="0" fillId="2" fontId="11" numFmtId="0" xfId="0" applyAlignment="1" applyFont="1">
      <alignment readingOrder="0"/>
    </xf>
    <xf borderId="0" fillId="2" fontId="18" numFmtId="0" xfId="0" applyAlignment="1" applyFont="1">
      <alignment horizontal="center" shrinkToFit="0" wrapText="1"/>
    </xf>
    <xf borderId="1" fillId="2" fontId="18" numFmtId="0" xfId="0" applyAlignment="1" applyBorder="1" applyFont="1">
      <alignment horizontal="center" readingOrder="0" shrinkToFit="0" wrapText="1"/>
    </xf>
    <xf borderId="0" fillId="2" fontId="18" numFmtId="0" xfId="0" applyAlignment="1" applyFont="1">
      <alignment horizontal="center" readingOrder="0" shrinkToFit="0" wrapText="1"/>
    </xf>
    <xf borderId="0" fillId="2" fontId="19" numFmtId="0" xfId="0" applyAlignment="1" applyFont="1">
      <alignment readingOrder="0" shrinkToFit="0" wrapText="1"/>
    </xf>
    <xf borderId="0" fillId="2" fontId="19" numFmtId="165" xfId="0" applyAlignment="1" applyFont="1" applyNumberForma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4" numFmtId="165" xfId="0" applyFont="1" applyNumberFormat="1"/>
    <xf borderId="0" fillId="0" fontId="20" numFmtId="0" xfId="0" applyFont="1"/>
    <xf borderId="0" fillId="0" fontId="21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11" numFmtId="0" xfId="0" applyFont="1"/>
    <xf borderId="0" fillId="5" fontId="8" numFmtId="0" xfId="0" applyAlignment="1" applyFont="1">
      <alignment readingOrder="0"/>
    </xf>
    <xf borderId="0" fillId="4" fontId="22" numFmtId="165" xfId="0" applyFont="1" applyNumberFormat="1"/>
    <xf borderId="0" fillId="4" fontId="22" numFmtId="0" xfId="0" applyFont="1"/>
    <xf borderId="0" fillId="0" fontId="23" numFmtId="0" xfId="0" applyFont="1"/>
    <xf borderId="0" fillId="5" fontId="24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25" numFmtId="0" xfId="0" applyAlignment="1" applyFont="1">
      <alignment readingOrder="0" shrinkToFit="0" wrapText="1"/>
    </xf>
    <xf borderId="0" fillId="4" fontId="26" numFmtId="0" xfId="0" applyAlignment="1" applyFont="1">
      <alignment readingOrder="0"/>
    </xf>
    <xf borderId="0" fillId="4" fontId="27" numFmtId="0" xfId="0" applyAlignment="1" applyFont="1">
      <alignment horizontal="left" readingOrder="0" shrinkToFit="0" wrapText="1"/>
    </xf>
    <xf borderId="0" fillId="4" fontId="14" numFmtId="0" xfId="0" applyAlignment="1" applyFont="1">
      <alignment horizontal="left" readingOrder="0"/>
    </xf>
    <xf borderId="0" fillId="5" fontId="8" numFmtId="0" xfId="0" applyAlignment="1" applyFont="1">
      <alignment horizontal="left" readingOrder="0"/>
    </xf>
    <xf borderId="0" fillId="4" fontId="8" numFmtId="0" xfId="0" applyAlignment="1" applyFont="1">
      <alignment horizontal="left" readingOrder="0"/>
    </xf>
    <xf borderId="0" fillId="5" fontId="8" numFmtId="0" xfId="0" applyAlignment="1" applyFont="1">
      <alignment horizontal="left" readingOrder="0"/>
    </xf>
    <xf borderId="0" fillId="4" fontId="8" numFmtId="0" xfId="0" applyAlignment="1" applyFont="1">
      <alignment horizontal="left" readingOrder="0"/>
    </xf>
    <xf borderId="0" fillId="5" fontId="28" numFmtId="0" xfId="0" applyAlignment="1" applyFont="1">
      <alignment readingOrder="0" shrinkToFit="0" wrapText="1"/>
    </xf>
    <xf borderId="0" fillId="4" fontId="29" numFmtId="0" xfId="0" applyAlignment="1" applyFont="1">
      <alignment horizontal="center" readingOrder="0" shrinkToFit="0" wrapText="1"/>
    </xf>
    <xf borderId="0" fillId="5" fontId="30" numFmtId="0" xfId="0" applyAlignment="1" applyFont="1">
      <alignment horizontal="center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4">
    <tableStyle count="3" pivot="0" name="Stats-style">
      <tableStyleElement dxfId="1" type="headerRow"/>
      <tableStyleElement dxfId="2" type="firstRowStripe"/>
      <tableStyleElement dxfId="3" type="secondRowStripe"/>
    </tableStyle>
    <tableStyle count="3" pivot="0" name="Stats-style 2">
      <tableStyleElement dxfId="1" type="headerRow"/>
      <tableStyleElement dxfId="2" type="firstRowStripe"/>
      <tableStyleElement dxfId="3" type="secondRowStripe"/>
    </tableStyle>
    <tableStyle count="3" pivot="0" name="Stats-style 3">
      <tableStyleElement dxfId="1" type="headerRow"/>
      <tableStyleElement dxfId="2" type="firstRowStripe"/>
      <tableStyleElement dxfId="3" type="secondRowStripe"/>
    </tableStyle>
    <tableStyle count="3" pivot="0" name="RI_T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Stats!$S$2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Stats!$C$3:$C$27</c:f>
            </c:strRef>
          </c:cat>
          <c:val>
            <c:numRef>
              <c:f>Stats!$S$3:$S$27</c:f>
              <c:numCache/>
            </c:numRef>
          </c:val>
        </c:ser>
        <c:ser>
          <c:idx val="1"/>
          <c:order val="1"/>
          <c:tx>
            <c:strRef>
              <c:f>Stats!$T$2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Stats!$C$3:$C$27</c:f>
            </c:strRef>
          </c:cat>
          <c:val>
            <c:numRef>
              <c:f>Stats!$T$3:$T$27</c:f>
              <c:numCache/>
            </c:numRef>
          </c:val>
        </c:ser>
        <c:ser>
          <c:idx val="2"/>
          <c:order val="2"/>
          <c:tx>
            <c:strRef>
              <c:f>Stats!$U$2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Stats!$C$3:$C$27</c:f>
            </c:strRef>
          </c:cat>
          <c:val>
            <c:numRef>
              <c:f>Stats!$U$3:$U$27</c:f>
              <c:numCache/>
            </c:numRef>
          </c:val>
        </c:ser>
        <c:ser>
          <c:idx val="3"/>
          <c:order val="3"/>
          <c:tx>
            <c:strRef>
              <c:f>Stats!$V$2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Stats!$C$3:$C$27</c:f>
            </c:strRef>
          </c:cat>
          <c:val>
            <c:numRef>
              <c:f>Stats!$V$3:$V$27</c:f>
              <c:numCache/>
            </c:numRef>
          </c:val>
        </c:ser>
        <c:axId val="754256001"/>
        <c:axId val="1934709267"/>
      </c:bar3DChart>
      <c:catAx>
        <c:axId val="75425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709267"/>
      </c:catAx>
      <c:valAx>
        <c:axId val="1934709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256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EF8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Stats!$Q$31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Stats!$C$32:$C$56</c:f>
            </c:strRef>
          </c:cat>
          <c:val>
            <c:numRef>
              <c:f>Stats!$Q$32:$Q$56</c:f>
              <c:numCache/>
            </c:numRef>
          </c:val>
        </c:ser>
        <c:axId val="1521663042"/>
        <c:axId val="1473781713"/>
      </c:bar3DChart>
      <c:catAx>
        <c:axId val="1521663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781713"/>
      </c:catAx>
      <c:valAx>
        <c:axId val="1473781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663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EF8E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Stats!$C$61:$C$85</c:f>
            </c:strRef>
          </c:cat>
          <c:val>
            <c:numRef>
              <c:f>Stats!$S$61:$S$85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Stats!$C$61:$C$85</c:f>
            </c:strRef>
          </c:cat>
          <c:val>
            <c:numRef>
              <c:f>Stats!$T$61:$T$85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Stats!$C$61:$C$85</c:f>
            </c:strRef>
          </c:cat>
          <c:val>
            <c:numRef>
              <c:f>Stats!$U$61:$U$85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cat>
            <c:strRef>
              <c:f>Stats!$C$61:$C$85</c:f>
            </c:strRef>
          </c:cat>
          <c:val>
            <c:numRef>
              <c:f>Stats!$V$61:$V$85</c:f>
              <c:numCache/>
            </c:numRef>
          </c:val>
        </c:ser>
        <c:axId val="1434541058"/>
        <c:axId val="29718249"/>
      </c:bar3DChart>
      <c:catAx>
        <c:axId val="1434541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18249"/>
      </c:catAx>
      <c:valAx>
        <c:axId val="29718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541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EF8E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76200</xdr:colOff>
      <xdr:row>0</xdr:row>
      <xdr:rowOff>0</xdr:rowOff>
    </xdr:from>
    <xdr:ext cx="7296150" cy="2543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76200</xdr:colOff>
      <xdr:row>30</xdr:row>
      <xdr:rowOff>0</xdr:rowOff>
    </xdr:from>
    <xdr:ext cx="7296150" cy="2543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76200</xdr:colOff>
      <xdr:row>59</xdr:row>
      <xdr:rowOff>0</xdr:rowOff>
    </xdr:from>
    <xdr:ext cx="7296150" cy="2543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V2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31:V31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ta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C60:V60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tat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P1:U2" displayName="Table_4" name="Table_4" id="4">
  <tableColumns count="6">
    <tableColumn name="Most Recent Date Booked" id="1"/>
    <tableColumn name="Event Name" id="2"/>
    <tableColumn name="Small Gigs booked for" id="3"/>
    <tableColumn name="Medium Gigs booked for" id="4"/>
    <tableColumn name="Large Gigs booked for" id="5"/>
    <tableColumn name="Gig Score (S =1, M =2 , L=3)" id="6"/>
  </tableColumns>
  <tableStyleInfo name="RI_T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_jaskkkkkkk/" TargetMode="External"/><Relationship Id="rId190" Type="http://schemas.openxmlformats.org/officeDocument/2006/relationships/hyperlink" Target="https://linktr.ee/djgillaldn" TargetMode="External"/><Relationship Id="rId42" Type="http://schemas.openxmlformats.org/officeDocument/2006/relationships/hyperlink" Target="https://refugeworldwide.com/radio/daytimers-4th-feb-2022" TargetMode="External"/><Relationship Id="rId41" Type="http://schemas.openxmlformats.org/officeDocument/2006/relationships/hyperlink" Target="https://soundcloud.com/jaskkkkkkk?ref=clipboard&amp;p=i&amp;c=1&amp;utm_source=clipboard&amp;utm_medium=text&amp;utm_campaign=social_sharing" TargetMode="External"/><Relationship Id="rId44" Type="http://schemas.openxmlformats.org/officeDocument/2006/relationships/hyperlink" Target="https://soundcloud.com/kingxmonday" TargetMode="External"/><Relationship Id="rId194" Type="http://schemas.openxmlformats.org/officeDocument/2006/relationships/hyperlink" Target="http://soundcloud.com/jaytapes" TargetMode="External"/><Relationship Id="rId43" Type="http://schemas.openxmlformats.org/officeDocument/2006/relationships/hyperlink" Target="https://soundcloud.com/kingxmonday" TargetMode="External"/><Relationship Id="rId193" Type="http://schemas.openxmlformats.org/officeDocument/2006/relationships/hyperlink" Target="http://instagram.com/jay.tapes" TargetMode="External"/><Relationship Id="rId46" Type="http://schemas.openxmlformats.org/officeDocument/2006/relationships/hyperlink" Target="https://soundcloud.com/djmandle" TargetMode="External"/><Relationship Id="rId192" Type="http://schemas.openxmlformats.org/officeDocument/2006/relationships/hyperlink" Target="https://www.tiktok.com/@alootwins?_t=8og5EiT6fkv&amp;_r=1" TargetMode="External"/><Relationship Id="rId45" Type="http://schemas.openxmlformats.org/officeDocument/2006/relationships/hyperlink" Target="https://ffm.to/kingmonday" TargetMode="External"/><Relationship Id="rId191" Type="http://schemas.openxmlformats.org/officeDocument/2006/relationships/hyperlink" Target="https://on.soundcloud.com/MWSvaX8kC2NJqTx18" TargetMode="External"/><Relationship Id="rId48" Type="http://schemas.openxmlformats.org/officeDocument/2006/relationships/hyperlink" Target="https://www.instagram.com/reamusicuk/" TargetMode="External"/><Relationship Id="rId187" Type="http://schemas.openxmlformats.org/officeDocument/2006/relationships/hyperlink" Target="https://www.instagram.com/piacollada/" TargetMode="External"/><Relationship Id="rId47" Type="http://schemas.openxmlformats.org/officeDocument/2006/relationships/hyperlink" Target="https://soundcloud.com/djmandle" TargetMode="External"/><Relationship Id="rId186" Type="http://schemas.openxmlformats.org/officeDocument/2006/relationships/hyperlink" Target="https://www.instagram.com/__4resh/" TargetMode="External"/><Relationship Id="rId185" Type="http://schemas.openxmlformats.org/officeDocument/2006/relationships/hyperlink" Target="https://vivek.bandcamp.com/" TargetMode="External"/><Relationship Id="rId49" Type="http://schemas.openxmlformats.org/officeDocument/2006/relationships/hyperlink" Target="https://soundcloud.com/readnb" TargetMode="External"/><Relationship Id="rId184" Type="http://schemas.openxmlformats.org/officeDocument/2006/relationships/hyperlink" Target="https://www.instagram.com/viveksystem/" TargetMode="External"/><Relationship Id="rId189" Type="http://schemas.openxmlformats.org/officeDocument/2006/relationships/hyperlink" Target="https://www.instagram.com/djgillaldn/" TargetMode="External"/><Relationship Id="rId188" Type="http://schemas.openxmlformats.org/officeDocument/2006/relationships/hyperlink" Target="https://linktr.ee/piacollada" TargetMode="External"/><Relationship Id="rId31" Type="http://schemas.openxmlformats.org/officeDocument/2006/relationships/hyperlink" Target="https://soundcloud.com/deejaypriya" TargetMode="External"/><Relationship Id="rId30" Type="http://schemas.openxmlformats.org/officeDocument/2006/relationships/hyperlink" Target="https://www.instagram.com/deejaypri/" TargetMode="External"/><Relationship Id="rId33" Type="http://schemas.openxmlformats.org/officeDocument/2006/relationships/hyperlink" Target="https://www.instagram.com/qwirkbass/" TargetMode="External"/><Relationship Id="rId183" Type="http://schemas.openxmlformats.org/officeDocument/2006/relationships/hyperlink" Target="https://linktr.ee/kayaatkanefm" TargetMode="External"/><Relationship Id="rId32" Type="http://schemas.openxmlformats.org/officeDocument/2006/relationships/hyperlink" Target="https://linktr.ee/Deejaypri" TargetMode="External"/><Relationship Id="rId182" Type="http://schemas.openxmlformats.org/officeDocument/2006/relationships/hyperlink" Target="https://www.instagram.com/kayamgram/" TargetMode="External"/><Relationship Id="rId35" Type="http://schemas.openxmlformats.org/officeDocument/2006/relationships/hyperlink" Target="https://www.tiktok.com/@qwirkbass" TargetMode="External"/><Relationship Id="rId181" Type="http://schemas.openxmlformats.org/officeDocument/2006/relationships/hyperlink" Target="https://www.instagram.com/shhh.run/" TargetMode="External"/><Relationship Id="rId34" Type="http://schemas.openxmlformats.org/officeDocument/2006/relationships/hyperlink" Target="https://soundcloud.com/qwirkk" TargetMode="External"/><Relationship Id="rId180" Type="http://schemas.openxmlformats.org/officeDocument/2006/relationships/hyperlink" Target="https://linktr.ee/robertluis" TargetMode="External"/><Relationship Id="rId37" Type="http://schemas.openxmlformats.org/officeDocument/2006/relationships/hyperlink" Target="https://www.instagram.com/rohan_rakhit/" TargetMode="External"/><Relationship Id="rId176" Type="http://schemas.openxmlformats.org/officeDocument/2006/relationships/hyperlink" Target="https://linktr.ee/swayoftheverses" TargetMode="External"/><Relationship Id="rId36" Type="http://schemas.openxmlformats.org/officeDocument/2006/relationships/hyperlink" Target="http://linktr.ee/qwirk" TargetMode="External"/><Relationship Id="rId175" Type="http://schemas.openxmlformats.org/officeDocument/2006/relationships/hyperlink" Target="https://www.instagram.com/swayoftheverses/" TargetMode="External"/><Relationship Id="rId39" Type="http://schemas.openxmlformats.org/officeDocument/2006/relationships/hyperlink" Target="https://linktr.ee/rohan.rakhit" TargetMode="External"/><Relationship Id="rId174" Type="http://schemas.openxmlformats.org/officeDocument/2006/relationships/hyperlink" Target="https://www.instagram.com/ishakewlani/" TargetMode="External"/><Relationship Id="rId38" Type="http://schemas.openxmlformats.org/officeDocument/2006/relationships/hyperlink" Target="https://soundcloud.com/rohan_rakhit" TargetMode="External"/><Relationship Id="rId173" Type="http://schemas.openxmlformats.org/officeDocument/2006/relationships/hyperlink" Target="https://soundcloud.com/ayshvt" TargetMode="External"/><Relationship Id="rId179" Type="http://schemas.openxmlformats.org/officeDocument/2006/relationships/hyperlink" Target="https://www.instagram.com/robertluis/" TargetMode="External"/><Relationship Id="rId178" Type="http://schemas.openxmlformats.org/officeDocument/2006/relationships/hyperlink" Target="https://open.spotify.com/artist/4dMY9QGjc6JqLcLvnzNWKH" TargetMode="External"/><Relationship Id="rId177" Type="http://schemas.openxmlformats.org/officeDocument/2006/relationships/hyperlink" Target="https://www.instagram.com/jawariband/" TargetMode="External"/><Relationship Id="rId20" Type="http://schemas.openxmlformats.org/officeDocument/2006/relationships/hyperlink" Target="https://linktr.ee/DJGoldTooth" TargetMode="External"/><Relationship Id="rId22" Type="http://schemas.openxmlformats.org/officeDocument/2006/relationships/hyperlink" Target="http://soundcloud.com/temujin-ldn" TargetMode="External"/><Relationship Id="rId21" Type="http://schemas.openxmlformats.org/officeDocument/2006/relationships/hyperlink" Target="https://www.instagram.com/temujin_ldn/" TargetMode="External"/><Relationship Id="rId24" Type="http://schemas.openxmlformats.org/officeDocument/2006/relationships/hyperlink" Target="https://www.instagram.com/saachi_versaachi/" TargetMode="External"/><Relationship Id="rId23" Type="http://schemas.openxmlformats.org/officeDocument/2006/relationships/hyperlink" Target="https://www.flowcode.com/page/temujin.ldn" TargetMode="External"/><Relationship Id="rId26" Type="http://schemas.openxmlformats.org/officeDocument/2006/relationships/hyperlink" Target="https://lnk.bio/Saachi" TargetMode="External"/><Relationship Id="rId25" Type="http://schemas.openxmlformats.org/officeDocument/2006/relationships/hyperlink" Target="https://soundcloud.com/saachi-bains" TargetMode="External"/><Relationship Id="rId28" Type="http://schemas.openxmlformats.org/officeDocument/2006/relationships/hyperlink" Target="https://soundcloud.com/kishanthakrar" TargetMode="External"/><Relationship Id="rId27" Type="http://schemas.openxmlformats.org/officeDocument/2006/relationships/hyperlink" Target="https://www.instagram.com/kishanthakrar/" TargetMode="External"/><Relationship Id="rId29" Type="http://schemas.openxmlformats.org/officeDocument/2006/relationships/hyperlink" Target="https://www.liinks.co/kishan" TargetMode="External"/><Relationship Id="rId11" Type="http://schemas.openxmlformats.org/officeDocument/2006/relationships/hyperlink" Target="https://linktr.ee/rainmann" TargetMode="External"/><Relationship Id="rId10" Type="http://schemas.openxmlformats.org/officeDocument/2006/relationships/hyperlink" Target="https://soundcloud.com/rainm4nn" TargetMode="External"/><Relationship Id="rId13" Type="http://schemas.openxmlformats.org/officeDocument/2006/relationships/hyperlink" Target="https://soundcloud.com/somingriffin-dave" TargetMode="External"/><Relationship Id="rId12" Type="http://schemas.openxmlformats.org/officeDocument/2006/relationships/hyperlink" Target="https://www.instagram.com/somin.somatic/" TargetMode="External"/><Relationship Id="rId15" Type="http://schemas.openxmlformats.org/officeDocument/2006/relationships/hyperlink" Target="https://www.instagram.com/_freshta/" TargetMode="External"/><Relationship Id="rId198" Type="http://schemas.openxmlformats.org/officeDocument/2006/relationships/hyperlink" Target="https://soundcloud.com/karishma-phandey" TargetMode="External"/><Relationship Id="rId14" Type="http://schemas.openxmlformats.org/officeDocument/2006/relationships/hyperlink" Target="https://linktr.ee/somin_somatic" TargetMode="External"/><Relationship Id="rId197" Type="http://schemas.openxmlformats.org/officeDocument/2006/relationships/hyperlink" Target="https://www.instagram.com/_.k.arishma/" TargetMode="External"/><Relationship Id="rId17" Type="http://schemas.openxmlformats.org/officeDocument/2006/relationships/hyperlink" Target="http://linktr.ee/_freshta" TargetMode="External"/><Relationship Id="rId196" Type="http://schemas.openxmlformats.org/officeDocument/2006/relationships/hyperlink" Target="https://www.dropbox.com/scl/fo/8rzywvolev4ty02xalhf1/AJkk0fIkKcjZrvfku2_iTiE?rlkey=rm3b7pzl1txx75vsjy2ex6ghj&amp;dl=0" TargetMode="External"/><Relationship Id="rId16" Type="http://schemas.openxmlformats.org/officeDocument/2006/relationships/hyperlink" Target="https://soundcloud.com/freshtadj" TargetMode="External"/><Relationship Id="rId195" Type="http://schemas.openxmlformats.org/officeDocument/2006/relationships/hyperlink" Target="https://www.mixcloud.com/jaytapesmusic/" TargetMode="External"/><Relationship Id="rId19" Type="http://schemas.openxmlformats.org/officeDocument/2006/relationships/hyperlink" Target="http://soundcloud.com/goldtooth_dj" TargetMode="External"/><Relationship Id="rId18" Type="http://schemas.openxmlformats.org/officeDocument/2006/relationships/hyperlink" Target="https://www.instagram.com/_goldtooth_/" TargetMode="External"/><Relationship Id="rId199" Type="http://schemas.openxmlformats.org/officeDocument/2006/relationships/hyperlink" Target="https://soundcloud.com/karishma-phandey/liquid-funk-2?si=8b67b5b2a59243df810722be45205bd1&amp;utm_source=clipboard&amp;utm_medium=text&amp;utm_campaign=social_sharing" TargetMode="External"/><Relationship Id="rId84" Type="http://schemas.openxmlformats.org/officeDocument/2006/relationships/hyperlink" Target="https://ghelo.biglink.to/jayhaan" TargetMode="External"/><Relationship Id="rId83" Type="http://schemas.openxmlformats.org/officeDocument/2006/relationships/hyperlink" Target="https://soundcloud.com/jayhaanofficial" TargetMode="External"/><Relationship Id="rId86" Type="http://schemas.openxmlformats.org/officeDocument/2006/relationships/hyperlink" Target="https://soundcloud.com/iti_mqn" TargetMode="External"/><Relationship Id="rId85" Type="http://schemas.openxmlformats.org/officeDocument/2006/relationships/hyperlink" Target="https://www.instagram.com/iti______/" TargetMode="External"/><Relationship Id="rId88" Type="http://schemas.openxmlformats.org/officeDocument/2006/relationships/hyperlink" Target="https://www.instagram.com/snadmusic/" TargetMode="External"/><Relationship Id="rId150" Type="http://schemas.openxmlformats.org/officeDocument/2006/relationships/hyperlink" Target="https://www.instagram.com/trafficccccc/" TargetMode="External"/><Relationship Id="rId271" Type="http://schemas.openxmlformats.org/officeDocument/2006/relationships/hyperlink" Target="https://soundcloud.com/tashasan" TargetMode="External"/><Relationship Id="rId87" Type="http://schemas.openxmlformats.org/officeDocument/2006/relationships/hyperlink" Target="https://linktr.ee/iti_" TargetMode="External"/><Relationship Id="rId270" Type="http://schemas.openxmlformats.org/officeDocument/2006/relationships/hyperlink" Target="https://www.instagram.com/_natashahassan?igsh=bmFpcmI4dTh6ejJ3&amp;utm_source=qr" TargetMode="External"/><Relationship Id="rId89" Type="http://schemas.openxmlformats.org/officeDocument/2006/relationships/hyperlink" Target="https://soundcloud.com/snad" TargetMode="External"/><Relationship Id="rId80" Type="http://schemas.openxmlformats.org/officeDocument/2006/relationships/hyperlink" Target="https://soundcloud.com/iyrednb" TargetMode="External"/><Relationship Id="rId82" Type="http://schemas.openxmlformats.org/officeDocument/2006/relationships/hyperlink" Target="https://www.instagram.com/jayhaanofficial/" TargetMode="External"/><Relationship Id="rId81" Type="http://schemas.openxmlformats.org/officeDocument/2006/relationships/hyperlink" Target="https://linktr.ee/IYREdnb" TargetMode="External"/><Relationship Id="rId1" Type="http://schemas.openxmlformats.org/officeDocument/2006/relationships/hyperlink" Target="https://linktr.ee/ajdzar" TargetMode="External"/><Relationship Id="rId2" Type="http://schemas.openxmlformats.org/officeDocument/2006/relationships/hyperlink" Target="https://www.mixcloud.com/NoBoundariesLDN_/zar-no-boundaries-guest-mix-001/" TargetMode="External"/><Relationship Id="rId3" Type="http://schemas.openxmlformats.org/officeDocument/2006/relationships/hyperlink" Target="https://www.instagram.com/saadaan__________/" TargetMode="External"/><Relationship Id="rId149" Type="http://schemas.openxmlformats.org/officeDocument/2006/relationships/hyperlink" Target="https://www.thisisnadi.com" TargetMode="External"/><Relationship Id="rId4" Type="http://schemas.openxmlformats.org/officeDocument/2006/relationships/hyperlink" Target="https://www.instagram.com/diamond.sound/" TargetMode="External"/><Relationship Id="rId148" Type="http://schemas.openxmlformats.org/officeDocument/2006/relationships/hyperlink" Target="https://soundcloud.com/thisisnadi" TargetMode="External"/><Relationship Id="rId269" Type="http://schemas.openxmlformats.org/officeDocument/2006/relationships/hyperlink" Target="https://linktr.ee/sharandeep_" TargetMode="External"/><Relationship Id="rId9" Type="http://schemas.openxmlformats.org/officeDocument/2006/relationships/hyperlink" Target="https://linktr.ee/Sitashah" TargetMode="External"/><Relationship Id="rId143" Type="http://schemas.openxmlformats.org/officeDocument/2006/relationships/hyperlink" Target="https://linktr.ee/abana" TargetMode="External"/><Relationship Id="rId264" Type="http://schemas.openxmlformats.org/officeDocument/2006/relationships/hyperlink" Target="http://www.soundcloud.com/syed-artist" TargetMode="External"/><Relationship Id="rId142" Type="http://schemas.openxmlformats.org/officeDocument/2006/relationships/hyperlink" Target="https://www.instagram.com/abanamusic/" TargetMode="External"/><Relationship Id="rId263" Type="http://schemas.openxmlformats.org/officeDocument/2006/relationships/hyperlink" Target="http://www.instagram.com/king_ahmed120" TargetMode="External"/><Relationship Id="rId141" Type="http://schemas.openxmlformats.org/officeDocument/2006/relationships/hyperlink" Target="https://soundcloud.com/yourboykiran" TargetMode="External"/><Relationship Id="rId262" Type="http://schemas.openxmlformats.org/officeDocument/2006/relationships/hyperlink" Target="https://open.spotify.com/artist/1OVeQPd27s1MkICbzBfZTV" TargetMode="External"/><Relationship Id="rId140" Type="http://schemas.openxmlformats.org/officeDocument/2006/relationships/hyperlink" Target="https://lnk.bio/yourboykiran" TargetMode="External"/><Relationship Id="rId261" Type="http://schemas.openxmlformats.org/officeDocument/2006/relationships/hyperlink" Target="https://www.youtube.com/@amdavad" TargetMode="External"/><Relationship Id="rId5" Type="http://schemas.openxmlformats.org/officeDocument/2006/relationships/hyperlink" Target="https://soundcloud.com/michaeldiamonduk" TargetMode="External"/><Relationship Id="rId147" Type="http://schemas.openxmlformats.org/officeDocument/2006/relationships/hyperlink" Target="https://www.instagram.com/nadi_bpm/" TargetMode="External"/><Relationship Id="rId268" Type="http://schemas.openxmlformats.org/officeDocument/2006/relationships/hyperlink" Target="https://on.soundcloud.com/ELg1FI3oCi8hoeMVdg" TargetMode="External"/><Relationship Id="rId6" Type="http://schemas.openxmlformats.org/officeDocument/2006/relationships/hyperlink" Target="https://linktr.ee/diamond.sound" TargetMode="External"/><Relationship Id="rId146" Type="http://schemas.openxmlformats.org/officeDocument/2006/relationships/hyperlink" Target="https://m.soundcloud.com/djpetitp" TargetMode="External"/><Relationship Id="rId267" Type="http://schemas.openxmlformats.org/officeDocument/2006/relationships/hyperlink" Target="https://youtu.be/wXYH0uouw_g?si=NPX4Iv7qucRY1lR5" TargetMode="External"/><Relationship Id="rId7" Type="http://schemas.openxmlformats.org/officeDocument/2006/relationships/hyperlink" Target="https://www.instagram.com/shahmbles/" TargetMode="External"/><Relationship Id="rId145" Type="http://schemas.openxmlformats.org/officeDocument/2006/relationships/hyperlink" Target="https://m.soundcloud.com/djpetitp" TargetMode="External"/><Relationship Id="rId266" Type="http://schemas.openxmlformats.org/officeDocument/2006/relationships/hyperlink" Target="https://linktr.ee/KingAhmed120" TargetMode="External"/><Relationship Id="rId8" Type="http://schemas.openxmlformats.org/officeDocument/2006/relationships/hyperlink" Target="http://soundcloud.com/sitashahdj" TargetMode="External"/><Relationship Id="rId144" Type="http://schemas.openxmlformats.org/officeDocument/2006/relationships/hyperlink" Target="https://instagram.com/djpetitp?r=nametag" TargetMode="External"/><Relationship Id="rId265" Type="http://schemas.openxmlformats.org/officeDocument/2006/relationships/hyperlink" Target="https://www.tiktok.com/@syedahmed6672?_t=ZN-8wT7ccz4WNK&amp;_r=1" TargetMode="External"/><Relationship Id="rId73" Type="http://schemas.openxmlformats.org/officeDocument/2006/relationships/hyperlink" Target="https://www.instagram.com/heeemay/" TargetMode="External"/><Relationship Id="rId72" Type="http://schemas.openxmlformats.org/officeDocument/2006/relationships/hyperlink" Target="https://soundcloud.com/gggeethreethree/bbc-asian-network-pure-spice-guest-mix" TargetMode="External"/><Relationship Id="rId75" Type="http://schemas.openxmlformats.org/officeDocument/2006/relationships/hyperlink" Target="https://soundcloud.com/heeemay" TargetMode="External"/><Relationship Id="rId74" Type="http://schemas.openxmlformats.org/officeDocument/2006/relationships/hyperlink" Target="https://soundcloud.com/heeemay" TargetMode="External"/><Relationship Id="rId77" Type="http://schemas.openxmlformats.org/officeDocument/2006/relationships/hyperlink" Target="https://soundcloud.com/djshortsell" TargetMode="External"/><Relationship Id="rId260" Type="http://schemas.openxmlformats.org/officeDocument/2006/relationships/hyperlink" Target="https://www.instagram.com/skrrtt.skrrrt/?hl=en" TargetMode="External"/><Relationship Id="rId76" Type="http://schemas.openxmlformats.org/officeDocument/2006/relationships/hyperlink" Target="https://www.instagram.com/shortsell.wav/" TargetMode="External"/><Relationship Id="rId79" Type="http://schemas.openxmlformats.org/officeDocument/2006/relationships/hyperlink" Target="https://www.instagram.com/iyre_dnb/" TargetMode="External"/><Relationship Id="rId78" Type="http://schemas.openxmlformats.org/officeDocument/2006/relationships/hyperlink" Target="https://www.mixcloud.com/djshortsell/" TargetMode="External"/><Relationship Id="rId71" Type="http://schemas.openxmlformats.org/officeDocument/2006/relationships/hyperlink" Target="https://soundcloud.com/gggeethreethree" TargetMode="External"/><Relationship Id="rId70" Type="http://schemas.openxmlformats.org/officeDocument/2006/relationships/hyperlink" Target="http://www.instagram.com/gaia_ia/" TargetMode="External"/><Relationship Id="rId139" Type="http://schemas.openxmlformats.org/officeDocument/2006/relationships/hyperlink" Target="https://soundcloud.com/yourboykiran" TargetMode="External"/><Relationship Id="rId138" Type="http://schemas.openxmlformats.org/officeDocument/2006/relationships/hyperlink" Target="https://www.instagram.com/yourboykiran/" TargetMode="External"/><Relationship Id="rId259" Type="http://schemas.openxmlformats.org/officeDocument/2006/relationships/hyperlink" Target="https://soundcloud.com/blooplondon/fortune-favours-radio-w-tease-and-reset-031224?ref=clipboard&amp;p=i&amp;c=0&amp;si=308B77431CCC4C2B88D693E5BB78C0E0&amp;utm_source=clipboard&amp;utm_medium=text&amp;utm_campaign=social_sharing" TargetMode="External"/><Relationship Id="rId137" Type="http://schemas.openxmlformats.org/officeDocument/2006/relationships/hyperlink" Target="http://thelivinglevel.tumblr.com" TargetMode="External"/><Relationship Id="rId258" Type="http://schemas.openxmlformats.org/officeDocument/2006/relationships/hyperlink" Target="https://soundcloud.com/ammaradj/ammara-hor-berlin-mix" TargetMode="External"/><Relationship Id="rId132" Type="http://schemas.openxmlformats.org/officeDocument/2006/relationships/hyperlink" Target="https://www.mixcloud.com/ot/" TargetMode="External"/><Relationship Id="rId253" Type="http://schemas.openxmlformats.org/officeDocument/2006/relationships/hyperlink" Target="https://on.soundcloud.com/ywbsrbE9dXeiVJzR7" TargetMode="External"/><Relationship Id="rId131" Type="http://schemas.openxmlformats.org/officeDocument/2006/relationships/hyperlink" Target="https://twitter.com/o_tariq" TargetMode="External"/><Relationship Id="rId252" Type="http://schemas.openxmlformats.org/officeDocument/2006/relationships/hyperlink" Target="https://www.facebook.com/share/1AJGqMh4ci/?mibextid=wwXIfr" TargetMode="External"/><Relationship Id="rId130" Type="http://schemas.openxmlformats.org/officeDocument/2006/relationships/hyperlink" Target="https://open.spotify.com/artist/6PVOJqMGjo0XqIRuc3v1vs?si=gE1xPku1TUqkGhunC4NKhg&amp;nd=1" TargetMode="External"/><Relationship Id="rId251" Type="http://schemas.openxmlformats.org/officeDocument/2006/relationships/hyperlink" Target="https://www.tiktok.com/@seth.chohan?_t=ZN-8urYLNiPExz&amp;_r=1" TargetMode="External"/><Relationship Id="rId250" Type="http://schemas.openxmlformats.org/officeDocument/2006/relationships/hyperlink" Target="https://on.soundcloud.com/hZbxHop8kNHAt7iw7" TargetMode="External"/><Relationship Id="rId136" Type="http://schemas.openxmlformats.org/officeDocument/2006/relationships/hyperlink" Target="https://www.instagram.com/_nonation/" TargetMode="External"/><Relationship Id="rId257" Type="http://schemas.openxmlformats.org/officeDocument/2006/relationships/hyperlink" Target="https://www.tiktok.com/@ammaradj" TargetMode="External"/><Relationship Id="rId135" Type="http://schemas.openxmlformats.org/officeDocument/2006/relationships/hyperlink" Target="https://youtube.com/channel/UCm8utJlMuE9LFvnS3SWN1XQ" TargetMode="External"/><Relationship Id="rId256" Type="http://schemas.openxmlformats.org/officeDocument/2006/relationships/hyperlink" Target="https://soundcloud.com/ammaradj" TargetMode="External"/><Relationship Id="rId134" Type="http://schemas.openxmlformats.org/officeDocument/2006/relationships/hyperlink" Target="https://soundcloud.app.goo.gl/X94u2oBg7626c3bB8" TargetMode="External"/><Relationship Id="rId255" Type="http://schemas.openxmlformats.org/officeDocument/2006/relationships/hyperlink" Target="https://www.instagram.com/ammaradj/?hl=en" TargetMode="External"/><Relationship Id="rId133" Type="http://schemas.openxmlformats.org/officeDocument/2006/relationships/hyperlink" Target="https://www.instagram.com/alvi_island/" TargetMode="External"/><Relationship Id="rId254" Type="http://schemas.openxmlformats.org/officeDocument/2006/relationships/hyperlink" Target="https://on.soundcloud.com/HZxGR51K9GAtaDSL6" TargetMode="External"/><Relationship Id="rId62" Type="http://schemas.openxmlformats.org/officeDocument/2006/relationships/hyperlink" Target="https://soundcloud.com/krmabeats" TargetMode="External"/><Relationship Id="rId61" Type="http://schemas.openxmlformats.org/officeDocument/2006/relationships/hyperlink" Target="https://www.instagram.com/krma.music/" TargetMode="External"/><Relationship Id="rId64" Type="http://schemas.openxmlformats.org/officeDocument/2006/relationships/hyperlink" Target="https://soundcloud.com/krmabeats" TargetMode="External"/><Relationship Id="rId63" Type="http://schemas.openxmlformats.org/officeDocument/2006/relationships/hyperlink" Target="https://linktr.ee/krma.music" TargetMode="External"/><Relationship Id="rId66" Type="http://schemas.openxmlformats.org/officeDocument/2006/relationships/hyperlink" Target="https://soundcloud.com/djsolarplexus?ref=clipboard&amp;p=i&amp;c=1&amp;si=DA130D71E4104EB5BE04BC096A497BAF&amp;utm_source=clipboard&amp;utm_medium=text&amp;utm_campaign=social_sharing" TargetMode="External"/><Relationship Id="rId172" Type="http://schemas.openxmlformats.org/officeDocument/2006/relationships/hyperlink" Target="https://www.instagram.com/ayshvt" TargetMode="External"/><Relationship Id="rId293" Type="http://schemas.openxmlformats.org/officeDocument/2006/relationships/drawing" Target="../drawings/drawing1.xml"/><Relationship Id="rId65" Type="http://schemas.openxmlformats.org/officeDocument/2006/relationships/hyperlink" Target="https://www.instagram.com/djsolarplexus/?hl=en-gb" TargetMode="External"/><Relationship Id="rId171" Type="http://schemas.openxmlformats.org/officeDocument/2006/relationships/hyperlink" Target="https://www.tiktok.com/@shifaligero" TargetMode="External"/><Relationship Id="rId292" Type="http://schemas.openxmlformats.org/officeDocument/2006/relationships/hyperlink" Target="https://open.spotify.com/artist/0otmCDF5DZjqADtQT9aIkG?si=eGOHNnChSCqyYmfI7NzUyA" TargetMode="External"/><Relationship Id="rId68" Type="http://schemas.openxmlformats.org/officeDocument/2006/relationships/hyperlink" Target="https://soundcloud.com/hazbro/tracks" TargetMode="External"/><Relationship Id="rId170" Type="http://schemas.openxmlformats.org/officeDocument/2006/relationships/hyperlink" Target="https://soundcloud.com/shifaligero" TargetMode="External"/><Relationship Id="rId291" Type="http://schemas.openxmlformats.org/officeDocument/2006/relationships/hyperlink" Target="http://amrisings.com" TargetMode="External"/><Relationship Id="rId67" Type="http://schemas.openxmlformats.org/officeDocument/2006/relationships/hyperlink" Target="https://soundcloud.com/djsolarplexus?ref=clipboard&amp;p=i&amp;c=1&amp;si=DA130D71E4104EB5BE04BC096A497BAF&amp;utm_source=clipboard&amp;utm_medium=text&amp;utm_campaign=social_sharing" TargetMode="External"/><Relationship Id="rId290" Type="http://schemas.openxmlformats.org/officeDocument/2006/relationships/hyperlink" Target="https://www.youtube.com/watch?v=PMA1yLmBEcw&amp;t=413s" TargetMode="External"/><Relationship Id="rId60" Type="http://schemas.openxmlformats.org/officeDocument/2006/relationships/hyperlink" Target="https://soundcloud.com/triqi030" TargetMode="External"/><Relationship Id="rId165" Type="http://schemas.openxmlformats.org/officeDocument/2006/relationships/hyperlink" Target="https://www.instagram.com/insowmya/?hl=en" TargetMode="External"/><Relationship Id="rId286" Type="http://schemas.openxmlformats.org/officeDocument/2006/relationships/hyperlink" Target="https://www.tiktok.com/@prithvi_vip" TargetMode="External"/><Relationship Id="rId69" Type="http://schemas.openxmlformats.org/officeDocument/2006/relationships/hyperlink" Target="https://soundcloud.com/hazbro/tracks" TargetMode="External"/><Relationship Id="rId164" Type="http://schemas.openxmlformats.org/officeDocument/2006/relationships/hyperlink" Target="https://soundcloud.com/robumusic" TargetMode="External"/><Relationship Id="rId285" Type="http://schemas.openxmlformats.org/officeDocument/2006/relationships/hyperlink" Target="https://soundcloud.com/prithviuk" TargetMode="External"/><Relationship Id="rId163" Type="http://schemas.openxmlformats.org/officeDocument/2006/relationships/hyperlink" Target="https://www.instagram.com/robumusic/?hl=en" TargetMode="External"/><Relationship Id="rId284" Type="http://schemas.openxmlformats.org/officeDocument/2006/relationships/hyperlink" Target="https://www.youtube.com/watch?v=bNXxnyvPksw&amp;t=1s" TargetMode="External"/><Relationship Id="rId162" Type="http://schemas.openxmlformats.org/officeDocument/2006/relationships/hyperlink" Target="https://soundcloud.com/xxaetherxx" TargetMode="External"/><Relationship Id="rId283" Type="http://schemas.openxmlformats.org/officeDocument/2006/relationships/hyperlink" Target="https://soundcloud.com/neha-khan" TargetMode="External"/><Relationship Id="rId169" Type="http://schemas.openxmlformats.org/officeDocument/2006/relationships/hyperlink" Target="https://www.instagram.com/shifaligero/" TargetMode="External"/><Relationship Id="rId168" Type="http://schemas.openxmlformats.org/officeDocument/2006/relationships/hyperlink" Target="https://www.instagram.com/kusharora/?igsh=MW8za3VlYmxlYXl0ag%3D%3D" TargetMode="External"/><Relationship Id="rId289" Type="http://schemas.openxmlformats.org/officeDocument/2006/relationships/hyperlink" Target="https://soundcloud.com/sigil-radio/dunya-w-pri-october-2025-sigil-radio" TargetMode="External"/><Relationship Id="rId167" Type="http://schemas.openxmlformats.org/officeDocument/2006/relationships/hyperlink" Target="https://www.instagram.com/benteki_/?igsh=ZzV0NHg1amlta2N1" TargetMode="External"/><Relationship Id="rId288" Type="http://schemas.openxmlformats.org/officeDocument/2006/relationships/hyperlink" Target="https://on.soundcloud.com/Q4KdTq9gXW5chrIinH" TargetMode="External"/><Relationship Id="rId166" Type="http://schemas.openxmlformats.org/officeDocument/2006/relationships/hyperlink" Target="https://www.youtube.com/watch?v=3zKk_Lp7_tk" TargetMode="External"/><Relationship Id="rId287" Type="http://schemas.openxmlformats.org/officeDocument/2006/relationships/hyperlink" Target="https://on.soundcloud.com/RBFFSRYAW3tfCEAKsF" TargetMode="External"/><Relationship Id="rId51" Type="http://schemas.openxmlformats.org/officeDocument/2006/relationships/hyperlink" Target="https://soundcloud.com/sepoys" TargetMode="External"/><Relationship Id="rId50" Type="http://schemas.openxmlformats.org/officeDocument/2006/relationships/hyperlink" Target="https://soundcloud.com/readnb" TargetMode="External"/><Relationship Id="rId53" Type="http://schemas.openxmlformats.org/officeDocument/2006/relationships/hyperlink" Target="https://linktr.ee/merabhaiii" TargetMode="External"/><Relationship Id="rId52" Type="http://schemas.openxmlformats.org/officeDocument/2006/relationships/hyperlink" Target="https://soundcloud.com/sepoys" TargetMode="External"/><Relationship Id="rId55" Type="http://schemas.openxmlformats.org/officeDocument/2006/relationships/hyperlink" Target="https://www.instagram.com/sunayah._/?hl=en" TargetMode="External"/><Relationship Id="rId161" Type="http://schemas.openxmlformats.org/officeDocument/2006/relationships/hyperlink" Target="https://www.instagram.com/xaetherx777/" TargetMode="External"/><Relationship Id="rId282" Type="http://schemas.openxmlformats.org/officeDocument/2006/relationships/hyperlink" Target="https://soundcloud.com/netil-radio/koshari-w-kabir-3rd-june-2025?in=netil-radio/sets/koshari-1st-tuesday-5-7pm" TargetMode="External"/><Relationship Id="rId54" Type="http://schemas.openxmlformats.org/officeDocument/2006/relationships/hyperlink" Target="https://soundcloud.app.goo.gl/aXWw6FdyUhNKSXZi6" TargetMode="External"/><Relationship Id="rId160" Type="http://schemas.openxmlformats.org/officeDocument/2006/relationships/hyperlink" Target="http://shir.in" TargetMode="External"/><Relationship Id="rId281" Type="http://schemas.openxmlformats.org/officeDocument/2006/relationships/hyperlink" Target="https://www.instagram.com/kabirzjo/" TargetMode="External"/><Relationship Id="rId57" Type="http://schemas.openxmlformats.org/officeDocument/2006/relationships/hyperlink" Target="https://soundcloud.com/sunayah" TargetMode="External"/><Relationship Id="rId280" Type="http://schemas.openxmlformats.org/officeDocument/2006/relationships/hyperlink" Target="https://www.instagram.com/rohinacp/" TargetMode="External"/><Relationship Id="rId56" Type="http://schemas.openxmlformats.org/officeDocument/2006/relationships/hyperlink" Target="https://soundcloud.com/sunayah" TargetMode="External"/><Relationship Id="rId159" Type="http://schemas.openxmlformats.org/officeDocument/2006/relationships/hyperlink" Target="https://soundcloud.com/khadura?utm_source=mobi&amp;utm_campaign=social_sharing" TargetMode="External"/><Relationship Id="rId59" Type="http://schemas.openxmlformats.org/officeDocument/2006/relationships/hyperlink" Target="https://soundcloud.com/triqi030" TargetMode="External"/><Relationship Id="rId154" Type="http://schemas.openxmlformats.org/officeDocument/2006/relationships/hyperlink" Target="https://linktr.ee/tommykhosla" TargetMode="External"/><Relationship Id="rId275" Type="http://schemas.openxmlformats.org/officeDocument/2006/relationships/hyperlink" Target="https://on.soundcloud.com/ZoRdvw57HXifrbGOhx" TargetMode="External"/><Relationship Id="rId58" Type="http://schemas.openxmlformats.org/officeDocument/2006/relationships/hyperlink" Target="https://www.instagram.com/triqitrix/?hl=en" TargetMode="External"/><Relationship Id="rId153" Type="http://schemas.openxmlformats.org/officeDocument/2006/relationships/hyperlink" Target="https://www.instagram.com/tommykhosla/" TargetMode="External"/><Relationship Id="rId274" Type="http://schemas.openxmlformats.org/officeDocument/2006/relationships/hyperlink" Target="https://on.soundcloud.com/A0aZ9sbf34JQXDUka2" TargetMode="External"/><Relationship Id="rId152" Type="http://schemas.openxmlformats.org/officeDocument/2006/relationships/hyperlink" Target="https://linktr.ee/trafficcmusic" TargetMode="External"/><Relationship Id="rId273" Type="http://schemas.openxmlformats.org/officeDocument/2006/relationships/hyperlink" Target="https://on.soundcloud.com/vITIuIWiph5bEvb6zu" TargetMode="External"/><Relationship Id="rId151" Type="http://schemas.openxmlformats.org/officeDocument/2006/relationships/hyperlink" Target="https://soundcloud.com/trafficc-music" TargetMode="External"/><Relationship Id="rId272" Type="http://schemas.openxmlformats.org/officeDocument/2006/relationships/hyperlink" Target="https://www.instagram.com/northeastsocialclub?igsh=MWllY2N0YXY3MGprdA==" TargetMode="External"/><Relationship Id="rId158" Type="http://schemas.openxmlformats.org/officeDocument/2006/relationships/hyperlink" Target="https://www.instagram.com/khadura.sound?igsh=NGtmYXowbWYwZHp3" TargetMode="External"/><Relationship Id="rId279" Type="http://schemas.openxmlformats.org/officeDocument/2006/relationships/hyperlink" Target="https://smoovekriminal.bandcamp.com/" TargetMode="External"/><Relationship Id="rId157" Type="http://schemas.openxmlformats.org/officeDocument/2006/relationships/hyperlink" Target="http://cralias.bandcamp.com" TargetMode="External"/><Relationship Id="rId278" Type="http://schemas.openxmlformats.org/officeDocument/2006/relationships/hyperlink" Target="https://soundcloud.com/islaradio/viriss" TargetMode="External"/><Relationship Id="rId156" Type="http://schemas.openxmlformats.org/officeDocument/2006/relationships/hyperlink" Target="http://soundcloud.com/cralias" TargetMode="External"/><Relationship Id="rId277" Type="http://schemas.openxmlformats.org/officeDocument/2006/relationships/hyperlink" Target="https://soundcloud.com/vir_iss" TargetMode="External"/><Relationship Id="rId155" Type="http://schemas.openxmlformats.org/officeDocument/2006/relationships/hyperlink" Target="http://soundcloud.com/djanimebby" TargetMode="External"/><Relationship Id="rId276" Type="http://schemas.openxmlformats.org/officeDocument/2006/relationships/hyperlink" Target="https://www.instagram.com/viriss___/" TargetMode="External"/><Relationship Id="rId107" Type="http://schemas.openxmlformats.org/officeDocument/2006/relationships/hyperlink" Target="https://soundcloud.com/daramadj" TargetMode="External"/><Relationship Id="rId228" Type="http://schemas.openxmlformats.org/officeDocument/2006/relationships/hyperlink" Target="https://on.soundcloud.com/5mW1z7k82xwWLuBE7" TargetMode="External"/><Relationship Id="rId106" Type="http://schemas.openxmlformats.org/officeDocument/2006/relationships/hyperlink" Target="https://www.instagram.com/daramadj/" TargetMode="External"/><Relationship Id="rId227" Type="http://schemas.openxmlformats.org/officeDocument/2006/relationships/hyperlink" Target="https://on.soundcloud.com/5mW1z7k82xwWLuBE7" TargetMode="External"/><Relationship Id="rId105" Type="http://schemas.openxmlformats.org/officeDocument/2006/relationships/hyperlink" Target="https://www.instagram.com/j___d___s___/" TargetMode="External"/><Relationship Id="rId226" Type="http://schemas.openxmlformats.org/officeDocument/2006/relationships/hyperlink" Target="https://soundcloud.com/ayshvt/desi-mix-panjabi-hit-squad?si=af868d13293b46cb8b8a0f72db7a192c&amp;utm_source=clipboard&amp;utm_medium=text&amp;utm_campaign=social_sharing" TargetMode="External"/><Relationship Id="rId104" Type="http://schemas.openxmlformats.org/officeDocument/2006/relationships/hyperlink" Target="https://www.instagram.com/j___d___s___/" TargetMode="External"/><Relationship Id="rId225" Type="http://schemas.openxmlformats.org/officeDocument/2006/relationships/hyperlink" Target="https://soundcloud.com/ayshvt" TargetMode="External"/><Relationship Id="rId109" Type="http://schemas.openxmlformats.org/officeDocument/2006/relationships/hyperlink" Target="https://www.instagram.com/ashlovecraft/" TargetMode="External"/><Relationship Id="rId108" Type="http://schemas.openxmlformats.org/officeDocument/2006/relationships/hyperlink" Target="https://soundcloud.com/daramadj" TargetMode="External"/><Relationship Id="rId229" Type="http://schemas.openxmlformats.org/officeDocument/2006/relationships/hyperlink" Target="https://on.soundcloud.com/E2U8HAQrXBDBnHv48" TargetMode="External"/><Relationship Id="rId220" Type="http://schemas.openxmlformats.org/officeDocument/2006/relationships/hyperlink" Target="https://www.instagram.com/rajahbetta" TargetMode="External"/><Relationship Id="rId103" Type="http://schemas.openxmlformats.org/officeDocument/2006/relationships/hyperlink" Target="https://soundcloud.com/goodmostlybad" TargetMode="External"/><Relationship Id="rId224" Type="http://schemas.openxmlformats.org/officeDocument/2006/relationships/hyperlink" Target="https://www.instagram.com/ayshvt/" TargetMode="External"/><Relationship Id="rId102" Type="http://schemas.openxmlformats.org/officeDocument/2006/relationships/hyperlink" Target="https://soundcloud.com/goodmostlybad" TargetMode="External"/><Relationship Id="rId223" Type="http://schemas.openxmlformats.org/officeDocument/2006/relationships/hyperlink" Target="https://soundcloud.com/nprithiv" TargetMode="External"/><Relationship Id="rId101" Type="http://schemas.openxmlformats.org/officeDocument/2006/relationships/hyperlink" Target="https://www.instagram.com/goodmostlybad__/" TargetMode="External"/><Relationship Id="rId222" Type="http://schemas.openxmlformats.org/officeDocument/2006/relationships/hyperlink" Target="https://www.mixcloud.com/rajahbetta" TargetMode="External"/><Relationship Id="rId100" Type="http://schemas.openxmlformats.org/officeDocument/2006/relationships/hyperlink" Target="https://soundcloud.com/cardamami" TargetMode="External"/><Relationship Id="rId221" Type="http://schemas.openxmlformats.org/officeDocument/2006/relationships/hyperlink" Target="https://soundcloud.com/rajahbetta" TargetMode="External"/><Relationship Id="rId217" Type="http://schemas.openxmlformats.org/officeDocument/2006/relationships/hyperlink" Target="http://instagram.com/vizanomusic" TargetMode="External"/><Relationship Id="rId216" Type="http://schemas.openxmlformats.org/officeDocument/2006/relationships/hyperlink" Target="https://soundcloud.com/dj-ninja" TargetMode="External"/><Relationship Id="rId215" Type="http://schemas.openxmlformats.org/officeDocument/2006/relationships/hyperlink" Target="https://www.linkedin.com/in/farah-nanji/" TargetMode="External"/><Relationship Id="rId214" Type="http://schemas.openxmlformats.org/officeDocument/2006/relationships/hyperlink" Target="https://www.tiktok.com/@dj_n1nja" TargetMode="External"/><Relationship Id="rId219" Type="http://schemas.openxmlformats.org/officeDocument/2006/relationships/hyperlink" Target="https://www.instagram.com/vizanomusic" TargetMode="External"/><Relationship Id="rId218" Type="http://schemas.openxmlformats.org/officeDocument/2006/relationships/hyperlink" Target="https://www.tiktok.com/@vizanomusic" TargetMode="External"/><Relationship Id="rId213" Type="http://schemas.openxmlformats.org/officeDocument/2006/relationships/hyperlink" Target="https://soundcloud.com/dj-ninja" TargetMode="External"/><Relationship Id="rId212" Type="http://schemas.openxmlformats.org/officeDocument/2006/relationships/hyperlink" Target="https://www.instagram.com/dj.n1nja/" TargetMode="External"/><Relationship Id="rId211" Type="http://schemas.openxmlformats.org/officeDocument/2006/relationships/hyperlink" Target="https://on.soundcloud.com/jTAD8913MSNJ8G4U6" TargetMode="External"/><Relationship Id="rId210" Type="http://schemas.openxmlformats.org/officeDocument/2006/relationships/hyperlink" Target="https://on.soundcloud.com/jTAD8913MSNJ8G4U6" TargetMode="External"/><Relationship Id="rId129" Type="http://schemas.openxmlformats.org/officeDocument/2006/relationships/hyperlink" Target="https://linktr.ee/elanvitaluk" TargetMode="External"/><Relationship Id="rId128" Type="http://schemas.openxmlformats.org/officeDocument/2006/relationships/hyperlink" Target="https://soundcloud.com/elanvitaluk" TargetMode="External"/><Relationship Id="rId249" Type="http://schemas.openxmlformats.org/officeDocument/2006/relationships/hyperlink" Target="https://www.youtube.com/watch?v=GumMd3SWz1c" TargetMode="External"/><Relationship Id="rId127" Type="http://schemas.openxmlformats.org/officeDocument/2006/relationships/hyperlink" Target="https://www.instagram.com/elanvitaluk/" TargetMode="External"/><Relationship Id="rId248" Type="http://schemas.openxmlformats.org/officeDocument/2006/relationships/hyperlink" Target="https://www.jordankjoseph.co.uk/" TargetMode="External"/><Relationship Id="rId126" Type="http://schemas.openxmlformats.org/officeDocument/2006/relationships/hyperlink" Target="https://www.mixcloud.com/jaytapesmusic/" TargetMode="External"/><Relationship Id="rId247" Type="http://schemas.openxmlformats.org/officeDocument/2006/relationships/hyperlink" Target="https://soundcloud.com/jordankjoseph" TargetMode="External"/><Relationship Id="rId121" Type="http://schemas.openxmlformats.org/officeDocument/2006/relationships/hyperlink" Target="https://soundcloud.com/orderly-room" TargetMode="External"/><Relationship Id="rId242" Type="http://schemas.openxmlformats.org/officeDocument/2006/relationships/hyperlink" Target="https://www.instagram.com/harmonoize?igsh=eHZ0MG05cnE0aWN4&amp;utm_source=qr" TargetMode="External"/><Relationship Id="rId120" Type="http://schemas.openxmlformats.org/officeDocument/2006/relationships/hyperlink" Target="https://soundcloud.com/orderly-room" TargetMode="External"/><Relationship Id="rId241" Type="http://schemas.openxmlformats.org/officeDocument/2006/relationships/hyperlink" Target="https://open.spotify.com/album/7maIEUpJPrIwuao0S26kav?si=HbtMtPECRfWLqe9bcrg6mQ" TargetMode="External"/><Relationship Id="rId240" Type="http://schemas.openxmlformats.org/officeDocument/2006/relationships/hyperlink" Target="https://soundcloud.com/sejalkargal/sets/dj-ej-mixes?si=7734cfa0fb37407db934d8741ab9bb4e&amp;utm_source=clipboard&amp;utm_medium=text&amp;utm_campaign=social_sharing" TargetMode="External"/><Relationship Id="rId125" Type="http://schemas.openxmlformats.org/officeDocument/2006/relationships/hyperlink" Target="https://linktr.ee/jaytapes" TargetMode="External"/><Relationship Id="rId246" Type="http://schemas.openxmlformats.org/officeDocument/2006/relationships/hyperlink" Target="https://www.mixcloud.com/harmonoize/harmonoize-mix-desi-blend-200225/" TargetMode="External"/><Relationship Id="rId124" Type="http://schemas.openxmlformats.org/officeDocument/2006/relationships/hyperlink" Target="https://www.tiktok.com/@jaytapes" TargetMode="External"/><Relationship Id="rId245" Type="http://schemas.openxmlformats.org/officeDocument/2006/relationships/hyperlink" Target="https://youtube.com/@harmonoizetv?si=aAF2MaGcnDDP_Gos" TargetMode="External"/><Relationship Id="rId123" Type="http://schemas.openxmlformats.org/officeDocument/2006/relationships/hyperlink" Target="https://soundcloud.com/jaytapes" TargetMode="External"/><Relationship Id="rId244" Type="http://schemas.openxmlformats.org/officeDocument/2006/relationships/hyperlink" Target="https://www.tiktok.com/@harmonoizetv?_t=ZN-8u6SYWoFbYU&amp;_r=1" TargetMode="External"/><Relationship Id="rId122" Type="http://schemas.openxmlformats.org/officeDocument/2006/relationships/hyperlink" Target="https://www.instagram.com/jay.tapes/" TargetMode="External"/><Relationship Id="rId243" Type="http://schemas.openxmlformats.org/officeDocument/2006/relationships/hyperlink" Target="https://on.soundcloud.com/bp6nVspvcZznuQ9s7" TargetMode="External"/><Relationship Id="rId95" Type="http://schemas.openxmlformats.org/officeDocument/2006/relationships/hyperlink" Target="https://www.instagram.com/fullmotiondisaster/" TargetMode="External"/><Relationship Id="rId94" Type="http://schemas.openxmlformats.org/officeDocument/2006/relationships/hyperlink" Target="https://soundcloud.com/clydebuiltradio/kai-kasper-7221" TargetMode="External"/><Relationship Id="rId97" Type="http://schemas.openxmlformats.org/officeDocument/2006/relationships/hyperlink" Target="https://soundcloud.com/full-motion-disaster" TargetMode="External"/><Relationship Id="rId96" Type="http://schemas.openxmlformats.org/officeDocument/2006/relationships/hyperlink" Target="https://soundcloud.com/full-motion-disaster" TargetMode="External"/><Relationship Id="rId99" Type="http://schemas.openxmlformats.org/officeDocument/2006/relationships/hyperlink" Target="https://soundcloud.com/cardamami" TargetMode="External"/><Relationship Id="rId98" Type="http://schemas.openxmlformats.org/officeDocument/2006/relationships/hyperlink" Target="https://www.instagram.com/djcardamami/" TargetMode="External"/><Relationship Id="rId91" Type="http://schemas.openxmlformats.org/officeDocument/2006/relationships/hyperlink" Target="http://www.instagram.com/gasingraised/" TargetMode="External"/><Relationship Id="rId90" Type="http://schemas.openxmlformats.org/officeDocument/2006/relationships/hyperlink" Target="https://linktr.ee/snad" TargetMode="External"/><Relationship Id="rId93" Type="http://schemas.openxmlformats.org/officeDocument/2006/relationships/hyperlink" Target="https://www.mixcloud.com/gasingraised/" TargetMode="External"/><Relationship Id="rId92" Type="http://schemas.openxmlformats.org/officeDocument/2006/relationships/hyperlink" Target="https://soundcloud.com/gasingraised" TargetMode="External"/><Relationship Id="rId118" Type="http://schemas.openxmlformats.org/officeDocument/2006/relationships/hyperlink" Target="https://soundcloud.app.goo.gl/jvRkYtRdQbaamWh8A" TargetMode="External"/><Relationship Id="rId239" Type="http://schemas.openxmlformats.org/officeDocument/2006/relationships/hyperlink" Target="https://soundcloud.com/arnav-singh-935815474/sets/mixes" TargetMode="External"/><Relationship Id="rId117" Type="http://schemas.openxmlformats.org/officeDocument/2006/relationships/hyperlink" Target="https://soundcloud.app.goo.gl/jvRkYtRdQbaamWh8A" TargetMode="External"/><Relationship Id="rId238" Type="http://schemas.openxmlformats.org/officeDocument/2006/relationships/hyperlink" Target="https://soundcloud.com/arnav-singh-935815474" TargetMode="External"/><Relationship Id="rId116" Type="http://schemas.openxmlformats.org/officeDocument/2006/relationships/hyperlink" Target="http://www.instagram.com/Nik.ghosty" TargetMode="External"/><Relationship Id="rId237" Type="http://schemas.openxmlformats.org/officeDocument/2006/relationships/hyperlink" Target="https://youtu.be/47M4wAP8430" TargetMode="External"/><Relationship Id="rId115" Type="http://schemas.openxmlformats.org/officeDocument/2006/relationships/hyperlink" Target="https://soundcloud.com/dushume" TargetMode="External"/><Relationship Id="rId236" Type="http://schemas.openxmlformats.org/officeDocument/2006/relationships/hyperlink" Target="https://maham-suhail.com/" TargetMode="External"/><Relationship Id="rId119" Type="http://schemas.openxmlformats.org/officeDocument/2006/relationships/hyperlink" Target="https://www.instagram.com/acertainknot/" TargetMode="External"/><Relationship Id="rId110" Type="http://schemas.openxmlformats.org/officeDocument/2006/relationships/hyperlink" Target="https://www.youtube.com/watch?v=JhsZSmVNGPw" TargetMode="External"/><Relationship Id="rId231" Type="http://schemas.openxmlformats.org/officeDocument/2006/relationships/hyperlink" Target="https://on.soundcloud.com/EGtt5tvTY8UL73nAA" TargetMode="External"/><Relationship Id="rId230" Type="http://schemas.openxmlformats.org/officeDocument/2006/relationships/hyperlink" Target="https://www.tiktok.com/@skippyselectss?_t=ZG-8slHpihfyKn&amp;_r=1" TargetMode="External"/><Relationship Id="rId114" Type="http://schemas.openxmlformats.org/officeDocument/2006/relationships/hyperlink" Target="https://soundcloud.com/dushume" TargetMode="External"/><Relationship Id="rId235" Type="http://schemas.openxmlformats.org/officeDocument/2006/relationships/hyperlink" Target="https://www.soundcloud.com/maham-s." TargetMode="External"/><Relationship Id="rId113" Type="http://schemas.openxmlformats.org/officeDocument/2006/relationships/hyperlink" Target="http://www.instagram.com/dushume" TargetMode="External"/><Relationship Id="rId234" Type="http://schemas.openxmlformats.org/officeDocument/2006/relationships/hyperlink" Target="https://soundcloud.com/rajahbetta" TargetMode="External"/><Relationship Id="rId112" Type="http://schemas.openxmlformats.org/officeDocument/2006/relationships/hyperlink" Target="https://linktr.ee/adnan1198?fbclid=IwAR1RFFnK-rK7SohrsOqfXMyTqflU4LM_MhHgXmHq3o3qZ4QmW9sHmiT9kKk" TargetMode="External"/><Relationship Id="rId233" Type="http://schemas.openxmlformats.org/officeDocument/2006/relationships/hyperlink" Target="https://www.instagram.com/rajahbetta/" TargetMode="External"/><Relationship Id="rId111" Type="http://schemas.openxmlformats.org/officeDocument/2006/relationships/hyperlink" Target="https://soundcloud.com/daytimers_uk/adnan-afghani-disoriented-rhythms" TargetMode="External"/><Relationship Id="rId232" Type="http://schemas.openxmlformats.org/officeDocument/2006/relationships/hyperlink" Target="https://www.tiktok.com/@aalia.farah?_t=ZG-8syzxqQ3Zx2&amp;_r=1" TargetMode="External"/><Relationship Id="rId206" Type="http://schemas.openxmlformats.org/officeDocument/2006/relationships/hyperlink" Target="https://soundcloud.com/user-561233895" TargetMode="External"/><Relationship Id="rId205" Type="http://schemas.openxmlformats.org/officeDocument/2006/relationships/hyperlink" Target="https://www.instagram.com/sofia.aneesa.gillani/" TargetMode="External"/><Relationship Id="rId204" Type="http://schemas.openxmlformats.org/officeDocument/2006/relationships/hyperlink" Target="https://www.tiktok.com/@tusharmusicaus" TargetMode="External"/><Relationship Id="rId203" Type="http://schemas.openxmlformats.org/officeDocument/2006/relationships/hyperlink" Target="https://soundcloud.com/tusharaus" TargetMode="External"/><Relationship Id="rId209" Type="http://schemas.openxmlformats.org/officeDocument/2006/relationships/hyperlink" Target="https://on.soundcloud.com/pKrr9zyaFQy2W7j97" TargetMode="External"/><Relationship Id="rId208" Type="http://schemas.openxmlformats.org/officeDocument/2006/relationships/hyperlink" Target="https://on.soundcloud.com/pKrr9zyaFQy2W7j97" TargetMode="External"/><Relationship Id="rId207" Type="http://schemas.openxmlformats.org/officeDocument/2006/relationships/hyperlink" Target="https://m.youtube.com/@sofiagillani1198" TargetMode="External"/><Relationship Id="rId202" Type="http://schemas.openxmlformats.org/officeDocument/2006/relationships/hyperlink" Target="https://www.instagram.com/tusharmusicaus/" TargetMode="External"/><Relationship Id="rId201" Type="http://schemas.openxmlformats.org/officeDocument/2006/relationships/hyperlink" Target="https://www.tiktok.com/musicbynush" TargetMode="External"/><Relationship Id="rId200" Type="http://schemas.openxmlformats.org/officeDocument/2006/relationships/hyperlink" Target="https://www.soundcloud.com/musicbynush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tr.ee/somin_somatic" TargetMode="External"/><Relationship Id="rId42" Type="http://schemas.openxmlformats.org/officeDocument/2006/relationships/hyperlink" Target="https://soundcloud.com/freshtadj" TargetMode="External"/><Relationship Id="rId41" Type="http://schemas.openxmlformats.org/officeDocument/2006/relationships/hyperlink" Target="https://www.instagram.com/_freshta/" TargetMode="External"/><Relationship Id="rId44" Type="http://schemas.openxmlformats.org/officeDocument/2006/relationships/hyperlink" Target="https://www.instagram.com/_goldtooth_/" TargetMode="External"/><Relationship Id="rId43" Type="http://schemas.openxmlformats.org/officeDocument/2006/relationships/hyperlink" Target="http://linktr.ee/_freshta" TargetMode="External"/><Relationship Id="rId46" Type="http://schemas.openxmlformats.org/officeDocument/2006/relationships/hyperlink" Target="https://linktr.ee/DJGoldTooth" TargetMode="External"/><Relationship Id="rId45" Type="http://schemas.openxmlformats.org/officeDocument/2006/relationships/hyperlink" Target="http://soundcloud.com/goldtooth_dj" TargetMode="External"/><Relationship Id="rId48" Type="http://schemas.openxmlformats.org/officeDocument/2006/relationships/hyperlink" Target="http://soundcloud.com/temujin-ldn" TargetMode="External"/><Relationship Id="rId47" Type="http://schemas.openxmlformats.org/officeDocument/2006/relationships/hyperlink" Target="https://www.instagram.com/temujin_ldn/" TargetMode="External"/><Relationship Id="rId49" Type="http://schemas.openxmlformats.org/officeDocument/2006/relationships/hyperlink" Target="https://www.flowcode.com/page/temujin.ldn" TargetMode="External"/><Relationship Id="rId31" Type="http://schemas.openxmlformats.org/officeDocument/2006/relationships/hyperlink" Target="https://soundcloud.com/michaeldiamonduk" TargetMode="External"/><Relationship Id="rId30" Type="http://schemas.openxmlformats.org/officeDocument/2006/relationships/hyperlink" Target="https://www.instagram.com/diamond.sound/" TargetMode="External"/><Relationship Id="rId33" Type="http://schemas.openxmlformats.org/officeDocument/2006/relationships/hyperlink" Target="https://www.instagram.com/shahmbles/" TargetMode="External"/><Relationship Id="rId32" Type="http://schemas.openxmlformats.org/officeDocument/2006/relationships/hyperlink" Target="https://linktr.ee/diamond.sound" TargetMode="External"/><Relationship Id="rId35" Type="http://schemas.openxmlformats.org/officeDocument/2006/relationships/hyperlink" Target="https://linktr.ee/Sitashah" TargetMode="External"/><Relationship Id="rId34" Type="http://schemas.openxmlformats.org/officeDocument/2006/relationships/hyperlink" Target="http://soundcloud.com/sitashahdj" TargetMode="External"/><Relationship Id="rId37" Type="http://schemas.openxmlformats.org/officeDocument/2006/relationships/hyperlink" Target="https://linktr.ee/rainmann" TargetMode="External"/><Relationship Id="rId36" Type="http://schemas.openxmlformats.org/officeDocument/2006/relationships/hyperlink" Target="https://soundcloud.com/rainm4nn" TargetMode="External"/><Relationship Id="rId39" Type="http://schemas.openxmlformats.org/officeDocument/2006/relationships/hyperlink" Target="https://soundcloud.com/somingriffin-dave" TargetMode="External"/><Relationship Id="rId38" Type="http://schemas.openxmlformats.org/officeDocument/2006/relationships/hyperlink" Target="https://www.instagram.com/somin.somatic/" TargetMode="External"/><Relationship Id="rId20" Type="http://schemas.openxmlformats.org/officeDocument/2006/relationships/hyperlink" Target="http://shir.in" TargetMode="External"/><Relationship Id="rId22" Type="http://schemas.openxmlformats.org/officeDocument/2006/relationships/hyperlink" Target="https://soundcloud.com/yourboykiran" TargetMode="External"/><Relationship Id="rId21" Type="http://schemas.openxmlformats.org/officeDocument/2006/relationships/hyperlink" Target="https://www.instagram.com/yourboykiran/" TargetMode="External"/><Relationship Id="rId24" Type="http://schemas.openxmlformats.org/officeDocument/2006/relationships/hyperlink" Target="https://soundcloud.com/yourboykiran" TargetMode="External"/><Relationship Id="rId23" Type="http://schemas.openxmlformats.org/officeDocument/2006/relationships/hyperlink" Target="https://lnk.bio/yourboykiran" TargetMode="External"/><Relationship Id="rId26" Type="http://schemas.openxmlformats.org/officeDocument/2006/relationships/hyperlink" Target="https://soundcloud.com/khadura?utm_source=mobi&amp;utm_campaign=social_sharing" TargetMode="External"/><Relationship Id="rId25" Type="http://schemas.openxmlformats.org/officeDocument/2006/relationships/hyperlink" Target="https://www.instagram.com/khadura.sound?igsh=NGtmYXowbWYwZHp3" TargetMode="External"/><Relationship Id="rId28" Type="http://schemas.openxmlformats.org/officeDocument/2006/relationships/hyperlink" Target="https://www.mixcloud.com/NoBoundariesLDN_/zar-no-boundaries-guest-mix-001/" TargetMode="External"/><Relationship Id="rId27" Type="http://schemas.openxmlformats.org/officeDocument/2006/relationships/hyperlink" Target="https://linktr.ee/ajdzar" TargetMode="External"/><Relationship Id="rId29" Type="http://schemas.openxmlformats.org/officeDocument/2006/relationships/hyperlink" Target="https://www.instagram.com/saadaan__________/" TargetMode="External"/><Relationship Id="rId11" Type="http://schemas.openxmlformats.org/officeDocument/2006/relationships/hyperlink" Target="https://www.instagram.com/khadura.sound?igsh=NGtmYXowbWYwZHp3" TargetMode="External"/><Relationship Id="rId10" Type="http://schemas.openxmlformats.org/officeDocument/2006/relationships/hyperlink" Target="http://shir.in" TargetMode="External"/><Relationship Id="rId13" Type="http://schemas.openxmlformats.org/officeDocument/2006/relationships/hyperlink" Target="https://www.instagram.com/shifaligero/" TargetMode="External"/><Relationship Id="rId12" Type="http://schemas.openxmlformats.org/officeDocument/2006/relationships/hyperlink" Target="https://soundcloud.com/khadura?utm_source=mobi&amp;utm_campaign=social_sharing" TargetMode="External"/><Relationship Id="rId15" Type="http://schemas.openxmlformats.org/officeDocument/2006/relationships/hyperlink" Target="https://www.tiktok.com/@shifaligero" TargetMode="External"/><Relationship Id="rId14" Type="http://schemas.openxmlformats.org/officeDocument/2006/relationships/hyperlink" Target="https://soundcloud.com/shifaligero" TargetMode="External"/><Relationship Id="rId17" Type="http://schemas.openxmlformats.org/officeDocument/2006/relationships/hyperlink" Target="https://linktr.ee/adnan1198?fbclid=IwAR1RFFnK-rK7SohrsOqfXMyTqflU4LM_MhHgXmHq3o3qZ4QmW9sHmiT9kKk" TargetMode="External"/><Relationship Id="rId16" Type="http://schemas.openxmlformats.org/officeDocument/2006/relationships/hyperlink" Target="https://soundcloud.com/daytimers_uk/adnan-afghani-disoriented-rhythms" TargetMode="External"/><Relationship Id="rId19" Type="http://schemas.openxmlformats.org/officeDocument/2006/relationships/hyperlink" Target="https://open.spotify.com/artist/4dMY9QGjc6JqLcLvnzNWKH" TargetMode="External"/><Relationship Id="rId18" Type="http://schemas.openxmlformats.org/officeDocument/2006/relationships/hyperlink" Target="https://www.instagram.com/jawariband/" TargetMode="External"/><Relationship Id="rId84" Type="http://schemas.openxmlformats.org/officeDocument/2006/relationships/drawing" Target="../drawings/drawing2.xml"/><Relationship Id="rId83" Type="http://schemas.openxmlformats.org/officeDocument/2006/relationships/hyperlink" Target="https://soundcloud.com/sunayah" TargetMode="External"/><Relationship Id="rId88" Type="http://schemas.openxmlformats.org/officeDocument/2006/relationships/table" Target="../tables/table1.xml"/><Relationship Id="rId89" Type="http://schemas.openxmlformats.org/officeDocument/2006/relationships/table" Target="../tables/table2.xml"/><Relationship Id="rId80" Type="http://schemas.openxmlformats.org/officeDocument/2006/relationships/hyperlink" Target="https://soundcloud.app.goo.gl/aXWw6FdyUhNKSXZi6" TargetMode="External"/><Relationship Id="rId82" Type="http://schemas.openxmlformats.org/officeDocument/2006/relationships/hyperlink" Target="https://soundcloud.com/sunayah" TargetMode="External"/><Relationship Id="rId81" Type="http://schemas.openxmlformats.org/officeDocument/2006/relationships/hyperlink" Target="https://www.instagram.com/sunayah._/?hl=en" TargetMode="External"/><Relationship Id="rId1" Type="http://schemas.openxmlformats.org/officeDocument/2006/relationships/hyperlink" Target="https://www.instagram.com/nadi_bpm/" TargetMode="External"/><Relationship Id="rId2" Type="http://schemas.openxmlformats.org/officeDocument/2006/relationships/hyperlink" Target="https://soundcloud.com/thisisnadi" TargetMode="External"/><Relationship Id="rId3" Type="http://schemas.openxmlformats.org/officeDocument/2006/relationships/hyperlink" Target="https://www.thisisnadi.com" TargetMode="External"/><Relationship Id="rId4" Type="http://schemas.openxmlformats.org/officeDocument/2006/relationships/hyperlink" Target="https://www.instagram.com/yourboykiran/" TargetMode="External"/><Relationship Id="rId9" Type="http://schemas.openxmlformats.org/officeDocument/2006/relationships/hyperlink" Target="https://soundcloud.com/khadura?utm_source=mobi&amp;utm_campaign=social_sharing" TargetMode="External"/><Relationship Id="rId5" Type="http://schemas.openxmlformats.org/officeDocument/2006/relationships/hyperlink" Target="https://soundcloud.com/yourboykiran" TargetMode="External"/><Relationship Id="rId6" Type="http://schemas.openxmlformats.org/officeDocument/2006/relationships/hyperlink" Target="https://lnk.bio/yourboykiran" TargetMode="External"/><Relationship Id="rId7" Type="http://schemas.openxmlformats.org/officeDocument/2006/relationships/hyperlink" Target="https://soundcloud.com/yourboykiran" TargetMode="External"/><Relationship Id="rId8" Type="http://schemas.openxmlformats.org/officeDocument/2006/relationships/hyperlink" Target="https://www.instagram.com/khadura.sound?igsh=NGtmYXowbWYwZHp3" TargetMode="External"/><Relationship Id="rId73" Type="http://schemas.openxmlformats.org/officeDocument/2006/relationships/hyperlink" Target="https://soundcloud.com/djmandle" TargetMode="External"/><Relationship Id="rId72" Type="http://schemas.openxmlformats.org/officeDocument/2006/relationships/hyperlink" Target="https://soundcloud.com/djmandle" TargetMode="External"/><Relationship Id="rId75" Type="http://schemas.openxmlformats.org/officeDocument/2006/relationships/hyperlink" Target="https://soundcloud.com/readnb" TargetMode="External"/><Relationship Id="rId74" Type="http://schemas.openxmlformats.org/officeDocument/2006/relationships/hyperlink" Target="https://www.instagram.com/reamusicuk/" TargetMode="External"/><Relationship Id="rId77" Type="http://schemas.openxmlformats.org/officeDocument/2006/relationships/hyperlink" Target="https://soundcloud.com/sepoys" TargetMode="External"/><Relationship Id="rId76" Type="http://schemas.openxmlformats.org/officeDocument/2006/relationships/hyperlink" Target="https://soundcloud.com/readnb" TargetMode="External"/><Relationship Id="rId79" Type="http://schemas.openxmlformats.org/officeDocument/2006/relationships/hyperlink" Target="https://linktr.ee/merabhaiii" TargetMode="External"/><Relationship Id="rId78" Type="http://schemas.openxmlformats.org/officeDocument/2006/relationships/hyperlink" Target="https://soundcloud.com/sepoys" TargetMode="External"/><Relationship Id="rId71" Type="http://schemas.openxmlformats.org/officeDocument/2006/relationships/hyperlink" Target="https://ffm.to/kingmonday" TargetMode="External"/><Relationship Id="rId70" Type="http://schemas.openxmlformats.org/officeDocument/2006/relationships/hyperlink" Target="https://soundcloud.com/kingxmonday" TargetMode="External"/><Relationship Id="rId62" Type="http://schemas.openxmlformats.org/officeDocument/2006/relationships/hyperlink" Target="http://linktr.ee/qwirk" TargetMode="External"/><Relationship Id="rId61" Type="http://schemas.openxmlformats.org/officeDocument/2006/relationships/hyperlink" Target="https://www.tiktok.com/@qwirkbass" TargetMode="External"/><Relationship Id="rId64" Type="http://schemas.openxmlformats.org/officeDocument/2006/relationships/hyperlink" Target="https://soundcloud.com/rohan_rakhit" TargetMode="External"/><Relationship Id="rId63" Type="http://schemas.openxmlformats.org/officeDocument/2006/relationships/hyperlink" Target="https://www.instagram.com/rohan_rakhit/" TargetMode="External"/><Relationship Id="rId66" Type="http://schemas.openxmlformats.org/officeDocument/2006/relationships/hyperlink" Target="https://www.instagram.com/_jaskkkkkkk/" TargetMode="External"/><Relationship Id="rId65" Type="http://schemas.openxmlformats.org/officeDocument/2006/relationships/hyperlink" Target="https://linktr.ee/rohan.rakhit" TargetMode="External"/><Relationship Id="rId68" Type="http://schemas.openxmlformats.org/officeDocument/2006/relationships/hyperlink" Target="https://refugeworldwide.com/radio/daytimers-4th-feb-2022" TargetMode="External"/><Relationship Id="rId67" Type="http://schemas.openxmlformats.org/officeDocument/2006/relationships/hyperlink" Target="https://soundcloud.com/jaskkkkkkk?ref=clipboard&amp;p=i&amp;c=1&amp;utm_source=clipboard&amp;utm_medium=text&amp;utm_campaign=social_sharing" TargetMode="External"/><Relationship Id="rId60" Type="http://schemas.openxmlformats.org/officeDocument/2006/relationships/hyperlink" Target="https://soundcloud.com/qwirkk" TargetMode="External"/><Relationship Id="rId69" Type="http://schemas.openxmlformats.org/officeDocument/2006/relationships/hyperlink" Target="https://soundcloud.com/kingxmonday" TargetMode="External"/><Relationship Id="rId51" Type="http://schemas.openxmlformats.org/officeDocument/2006/relationships/hyperlink" Target="https://soundcloud.com/saachi-bains" TargetMode="External"/><Relationship Id="rId50" Type="http://schemas.openxmlformats.org/officeDocument/2006/relationships/hyperlink" Target="https://www.instagram.com/saachi_versaachi/" TargetMode="External"/><Relationship Id="rId53" Type="http://schemas.openxmlformats.org/officeDocument/2006/relationships/hyperlink" Target="https://www.instagram.com/kishanthakrar/" TargetMode="External"/><Relationship Id="rId52" Type="http://schemas.openxmlformats.org/officeDocument/2006/relationships/hyperlink" Target="https://lnk.bio/Saachi" TargetMode="External"/><Relationship Id="rId55" Type="http://schemas.openxmlformats.org/officeDocument/2006/relationships/hyperlink" Target="https://www.liinks.co/kishan" TargetMode="External"/><Relationship Id="rId54" Type="http://schemas.openxmlformats.org/officeDocument/2006/relationships/hyperlink" Target="https://soundcloud.com/kishanthakrar" TargetMode="External"/><Relationship Id="rId57" Type="http://schemas.openxmlformats.org/officeDocument/2006/relationships/hyperlink" Target="https://soundcloud.com/deejaypriya" TargetMode="External"/><Relationship Id="rId56" Type="http://schemas.openxmlformats.org/officeDocument/2006/relationships/hyperlink" Target="https://www.instagram.com/deejaypri/" TargetMode="External"/><Relationship Id="rId59" Type="http://schemas.openxmlformats.org/officeDocument/2006/relationships/hyperlink" Target="https://www.instagram.com/qwirkbass/" TargetMode="External"/><Relationship Id="rId58" Type="http://schemas.openxmlformats.org/officeDocument/2006/relationships/hyperlink" Target="https://linktr.ee/Deejaypri" TargetMode="External"/><Relationship Id="rId90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tr.ee/swayoftheverses" TargetMode="External"/><Relationship Id="rId42" Type="http://schemas.openxmlformats.org/officeDocument/2006/relationships/hyperlink" Target="https://www.instagram.com/kayamgram/" TargetMode="External"/><Relationship Id="rId41" Type="http://schemas.openxmlformats.org/officeDocument/2006/relationships/hyperlink" Target="https://www.instagram.com/shhh.run/" TargetMode="External"/><Relationship Id="rId44" Type="http://schemas.openxmlformats.org/officeDocument/2006/relationships/hyperlink" Target="https://www.instagram.com/viveksystem/" TargetMode="External"/><Relationship Id="rId43" Type="http://schemas.openxmlformats.org/officeDocument/2006/relationships/hyperlink" Target="https://linktr.ee/kayaatkanefm" TargetMode="External"/><Relationship Id="rId46" Type="http://schemas.openxmlformats.org/officeDocument/2006/relationships/hyperlink" Target="https://www.instagram.com/__4resh/" TargetMode="External"/><Relationship Id="rId45" Type="http://schemas.openxmlformats.org/officeDocument/2006/relationships/hyperlink" Target="https://vivek.bandcamp.com/" TargetMode="External"/><Relationship Id="rId48" Type="http://schemas.openxmlformats.org/officeDocument/2006/relationships/hyperlink" Target="https://linktr.ee/djgillaldn" TargetMode="External"/><Relationship Id="rId47" Type="http://schemas.openxmlformats.org/officeDocument/2006/relationships/hyperlink" Target="https://www.instagram.com/djgillaldn/" TargetMode="External"/><Relationship Id="rId49" Type="http://schemas.openxmlformats.org/officeDocument/2006/relationships/hyperlink" Target="https://on.soundcloud.com/MWSvaX8kC2NJqTx18" TargetMode="External"/><Relationship Id="rId31" Type="http://schemas.openxmlformats.org/officeDocument/2006/relationships/hyperlink" Target="http://soundcloud.com/djanimebby" TargetMode="External"/><Relationship Id="rId30" Type="http://schemas.openxmlformats.org/officeDocument/2006/relationships/hyperlink" Target="https://linktr.ee/abana" TargetMode="External"/><Relationship Id="rId33" Type="http://schemas.openxmlformats.org/officeDocument/2006/relationships/hyperlink" Target="http://cralias.bandcamp.com" TargetMode="External"/><Relationship Id="rId32" Type="http://schemas.openxmlformats.org/officeDocument/2006/relationships/hyperlink" Target="http://soundcloud.com/cralias" TargetMode="External"/><Relationship Id="rId35" Type="http://schemas.openxmlformats.org/officeDocument/2006/relationships/hyperlink" Target="https://soundcloud.com/robumusic" TargetMode="External"/><Relationship Id="rId34" Type="http://schemas.openxmlformats.org/officeDocument/2006/relationships/hyperlink" Target="https://www.instagram.com/robumusic/?hl=en" TargetMode="External"/><Relationship Id="rId37" Type="http://schemas.openxmlformats.org/officeDocument/2006/relationships/hyperlink" Target="https://www.youtube.com/watch?v=3zKk_Lp7_tk" TargetMode="External"/><Relationship Id="rId36" Type="http://schemas.openxmlformats.org/officeDocument/2006/relationships/hyperlink" Target="https://www.instagram.com/insowmya/?hl=en" TargetMode="External"/><Relationship Id="rId39" Type="http://schemas.openxmlformats.org/officeDocument/2006/relationships/hyperlink" Target="https://www.instagram.com/swayoftheverses/" TargetMode="External"/><Relationship Id="rId38" Type="http://schemas.openxmlformats.org/officeDocument/2006/relationships/hyperlink" Target="https://www.instagram.com/benteki_/?igsh=ZzV0NHg1amlta2N1" TargetMode="External"/><Relationship Id="rId20" Type="http://schemas.openxmlformats.org/officeDocument/2006/relationships/hyperlink" Target="https://www.instagram.com/j___d___s___/" TargetMode="External"/><Relationship Id="rId22" Type="http://schemas.openxmlformats.org/officeDocument/2006/relationships/hyperlink" Target="https://soundcloud.com/jaytapes" TargetMode="External"/><Relationship Id="rId21" Type="http://schemas.openxmlformats.org/officeDocument/2006/relationships/hyperlink" Target="https://www.instagram.com/jay.tapes/" TargetMode="External"/><Relationship Id="rId24" Type="http://schemas.openxmlformats.org/officeDocument/2006/relationships/hyperlink" Target="https://linktr.ee/jaytapes" TargetMode="External"/><Relationship Id="rId23" Type="http://schemas.openxmlformats.org/officeDocument/2006/relationships/hyperlink" Target="https://www.tiktok.com/@jaytapes" TargetMode="External"/><Relationship Id="rId26" Type="http://schemas.openxmlformats.org/officeDocument/2006/relationships/hyperlink" Target="https://www.instagram.com/alvi_island/" TargetMode="External"/><Relationship Id="rId25" Type="http://schemas.openxmlformats.org/officeDocument/2006/relationships/hyperlink" Target="https://www.mixcloud.com/jaytapesmusic/" TargetMode="External"/><Relationship Id="rId28" Type="http://schemas.openxmlformats.org/officeDocument/2006/relationships/hyperlink" Target="https://youtube.com/channel/UCm8utJlMuE9LFvnS3SWN1XQ" TargetMode="External"/><Relationship Id="rId27" Type="http://schemas.openxmlformats.org/officeDocument/2006/relationships/hyperlink" Target="https://soundcloud.app.goo.gl/X94u2oBg7626c3bB8" TargetMode="External"/><Relationship Id="rId29" Type="http://schemas.openxmlformats.org/officeDocument/2006/relationships/hyperlink" Target="https://www.instagram.com/abanamusic/" TargetMode="External"/><Relationship Id="rId11" Type="http://schemas.openxmlformats.org/officeDocument/2006/relationships/hyperlink" Target="https://www.instagram.com/sunayah._/?hl=en" TargetMode="External"/><Relationship Id="rId10" Type="http://schemas.openxmlformats.org/officeDocument/2006/relationships/hyperlink" Target="https://soundcloud.com/djmandle" TargetMode="External"/><Relationship Id="rId13" Type="http://schemas.openxmlformats.org/officeDocument/2006/relationships/hyperlink" Target="https://soundcloud.com/sunayah" TargetMode="External"/><Relationship Id="rId12" Type="http://schemas.openxmlformats.org/officeDocument/2006/relationships/hyperlink" Target="https://soundcloud.com/sunayah" TargetMode="External"/><Relationship Id="rId15" Type="http://schemas.openxmlformats.org/officeDocument/2006/relationships/hyperlink" Target="https://soundcloud.com/djsolarplexus?ref=clipboard&amp;p=i&amp;c=1&amp;si=DA130D71E4104EB5BE04BC096A497BAF&amp;utm_source=clipboard&amp;utm_medium=text&amp;utm_campaign=social_sharing" TargetMode="External"/><Relationship Id="rId14" Type="http://schemas.openxmlformats.org/officeDocument/2006/relationships/hyperlink" Target="https://www.instagram.com/djsolarplexus/?hl=en-gb" TargetMode="External"/><Relationship Id="rId17" Type="http://schemas.openxmlformats.org/officeDocument/2006/relationships/hyperlink" Target="https://soundcloud.com/hazbro/tracks" TargetMode="External"/><Relationship Id="rId16" Type="http://schemas.openxmlformats.org/officeDocument/2006/relationships/hyperlink" Target="https://soundcloud.com/djsolarplexus?ref=clipboard&amp;p=i&amp;c=1&amp;si=DA130D71E4104EB5BE04BC096A497BAF&amp;utm_source=clipboard&amp;utm_medium=text&amp;utm_campaign=social_sharing" TargetMode="External"/><Relationship Id="rId19" Type="http://schemas.openxmlformats.org/officeDocument/2006/relationships/hyperlink" Target="https://www.instagram.com/j___d___s___/" TargetMode="External"/><Relationship Id="rId18" Type="http://schemas.openxmlformats.org/officeDocument/2006/relationships/hyperlink" Target="https://soundcloud.com/hazbro/tracks" TargetMode="External"/><Relationship Id="rId84" Type="http://schemas.openxmlformats.org/officeDocument/2006/relationships/hyperlink" Target="https://on.soundcloud.com/bp6nVspvcZznuQ9s7" TargetMode="External"/><Relationship Id="rId83" Type="http://schemas.openxmlformats.org/officeDocument/2006/relationships/hyperlink" Target="https://www.instagram.com/harmonoize?igsh=eHZ0MG05cnE0aWN4&amp;utm_source=qr" TargetMode="External"/><Relationship Id="rId86" Type="http://schemas.openxmlformats.org/officeDocument/2006/relationships/hyperlink" Target="https://youtube.com/@harmonoizetv?si=aAF2MaGcnDDP_Gos" TargetMode="External"/><Relationship Id="rId85" Type="http://schemas.openxmlformats.org/officeDocument/2006/relationships/hyperlink" Target="https://www.tiktok.com/@harmonoizetv?_t=ZN-8u6SYWoFbYU&amp;_r=1" TargetMode="External"/><Relationship Id="rId88" Type="http://schemas.openxmlformats.org/officeDocument/2006/relationships/hyperlink" Target="https://soundcloud.com/jordankjoseph" TargetMode="External"/><Relationship Id="rId87" Type="http://schemas.openxmlformats.org/officeDocument/2006/relationships/hyperlink" Target="https://www.mixcloud.com/harmonoize/harmonoize-mix-desi-blend-200225/" TargetMode="External"/><Relationship Id="rId89" Type="http://schemas.openxmlformats.org/officeDocument/2006/relationships/hyperlink" Target="https://www.jordankjoseph.co.uk/" TargetMode="External"/><Relationship Id="rId80" Type="http://schemas.openxmlformats.org/officeDocument/2006/relationships/hyperlink" Target="https://soundcloud.com/rajahbetta" TargetMode="External"/><Relationship Id="rId82" Type="http://schemas.openxmlformats.org/officeDocument/2006/relationships/hyperlink" Target="https://soundcloud.com/arnav-singh-935815474/sets/mixes" TargetMode="External"/><Relationship Id="rId81" Type="http://schemas.openxmlformats.org/officeDocument/2006/relationships/hyperlink" Target="https://soundcloud.com/arnav-singh-935815474" TargetMode="External"/><Relationship Id="rId1" Type="http://schemas.openxmlformats.org/officeDocument/2006/relationships/hyperlink" Target="https://www.instagram.com/diamond.sound/" TargetMode="External"/><Relationship Id="rId2" Type="http://schemas.openxmlformats.org/officeDocument/2006/relationships/hyperlink" Target="https://soundcloud.com/michaeldiamonduk" TargetMode="External"/><Relationship Id="rId3" Type="http://schemas.openxmlformats.org/officeDocument/2006/relationships/hyperlink" Target="https://linktr.ee/diamond.sound" TargetMode="External"/><Relationship Id="rId4" Type="http://schemas.openxmlformats.org/officeDocument/2006/relationships/hyperlink" Target="https://soundcloud.com/rainm4nn" TargetMode="External"/><Relationship Id="rId9" Type="http://schemas.openxmlformats.org/officeDocument/2006/relationships/hyperlink" Target="https://soundcloud.com/djmandle" TargetMode="External"/><Relationship Id="rId5" Type="http://schemas.openxmlformats.org/officeDocument/2006/relationships/hyperlink" Target="https://linktr.ee/rainmann" TargetMode="External"/><Relationship Id="rId6" Type="http://schemas.openxmlformats.org/officeDocument/2006/relationships/hyperlink" Target="https://www.instagram.com/kishanthakrar/" TargetMode="External"/><Relationship Id="rId7" Type="http://schemas.openxmlformats.org/officeDocument/2006/relationships/hyperlink" Target="https://soundcloud.com/kishanthakrar" TargetMode="External"/><Relationship Id="rId8" Type="http://schemas.openxmlformats.org/officeDocument/2006/relationships/hyperlink" Target="https://www.liinks.co/kishan" TargetMode="External"/><Relationship Id="rId73" Type="http://schemas.openxmlformats.org/officeDocument/2006/relationships/hyperlink" Target="https://soundcloud.com/rajahbetta" TargetMode="External"/><Relationship Id="rId72" Type="http://schemas.openxmlformats.org/officeDocument/2006/relationships/hyperlink" Target="https://www.instagram.com/rajahbetta" TargetMode="External"/><Relationship Id="rId75" Type="http://schemas.openxmlformats.org/officeDocument/2006/relationships/hyperlink" Target="https://on.soundcloud.com/5mW1z7k82xwWLuBE7" TargetMode="External"/><Relationship Id="rId74" Type="http://schemas.openxmlformats.org/officeDocument/2006/relationships/hyperlink" Target="https://www.mixcloud.com/rajahbetta" TargetMode="External"/><Relationship Id="rId77" Type="http://schemas.openxmlformats.org/officeDocument/2006/relationships/hyperlink" Target="https://on.soundcloud.com/EGtt5tvTY8UL73nAA" TargetMode="External"/><Relationship Id="rId76" Type="http://schemas.openxmlformats.org/officeDocument/2006/relationships/hyperlink" Target="https://on.soundcloud.com/5mW1z7k82xwWLuBE7" TargetMode="External"/><Relationship Id="rId79" Type="http://schemas.openxmlformats.org/officeDocument/2006/relationships/hyperlink" Target="https://www.instagram.com/rajahbetta/" TargetMode="External"/><Relationship Id="rId78" Type="http://schemas.openxmlformats.org/officeDocument/2006/relationships/hyperlink" Target="https://www.tiktok.com/@aalia.farah?_t=ZG-8syzxqQ3Zx2&amp;_r=1" TargetMode="External"/><Relationship Id="rId71" Type="http://schemas.openxmlformats.org/officeDocument/2006/relationships/hyperlink" Target="https://www.instagram.com/vizanomusic" TargetMode="External"/><Relationship Id="rId70" Type="http://schemas.openxmlformats.org/officeDocument/2006/relationships/hyperlink" Target="https://www.tiktok.com/@vizanomusic" TargetMode="External"/><Relationship Id="rId62" Type="http://schemas.openxmlformats.org/officeDocument/2006/relationships/hyperlink" Target="https://on.soundcloud.com/jTAD8913MSNJ8G4U6" TargetMode="External"/><Relationship Id="rId61" Type="http://schemas.openxmlformats.org/officeDocument/2006/relationships/hyperlink" Target="https://on.soundcloud.com/pKrr9zyaFQy2W7j97" TargetMode="External"/><Relationship Id="rId64" Type="http://schemas.openxmlformats.org/officeDocument/2006/relationships/hyperlink" Target="https://www.instagram.com/dj.n1nja/" TargetMode="External"/><Relationship Id="rId63" Type="http://schemas.openxmlformats.org/officeDocument/2006/relationships/hyperlink" Target="https://on.soundcloud.com/jTAD8913MSNJ8G4U6" TargetMode="External"/><Relationship Id="rId66" Type="http://schemas.openxmlformats.org/officeDocument/2006/relationships/hyperlink" Target="https://www.tiktok.com/@dj_n1nja" TargetMode="External"/><Relationship Id="rId65" Type="http://schemas.openxmlformats.org/officeDocument/2006/relationships/hyperlink" Target="https://soundcloud.com/dj-ninja" TargetMode="External"/><Relationship Id="rId68" Type="http://schemas.openxmlformats.org/officeDocument/2006/relationships/hyperlink" Target="https://soundcloud.com/dj-ninja" TargetMode="External"/><Relationship Id="rId67" Type="http://schemas.openxmlformats.org/officeDocument/2006/relationships/hyperlink" Target="https://www.linkedin.com/in/farah-nanji/" TargetMode="External"/><Relationship Id="rId60" Type="http://schemas.openxmlformats.org/officeDocument/2006/relationships/hyperlink" Target="https://on.soundcloud.com/pKrr9zyaFQy2W7j97" TargetMode="External"/><Relationship Id="rId69" Type="http://schemas.openxmlformats.org/officeDocument/2006/relationships/hyperlink" Target="http://instagram.com/vizanomusic" TargetMode="External"/><Relationship Id="rId51" Type="http://schemas.openxmlformats.org/officeDocument/2006/relationships/hyperlink" Target="http://instagram.com/jay.tapes" TargetMode="External"/><Relationship Id="rId50" Type="http://schemas.openxmlformats.org/officeDocument/2006/relationships/hyperlink" Target="https://www.tiktok.com/@alootwins?_t=8og5EiT6fkv&amp;_r=1" TargetMode="External"/><Relationship Id="rId53" Type="http://schemas.openxmlformats.org/officeDocument/2006/relationships/hyperlink" Target="https://www.mixcloud.com/jaytapesmusic/" TargetMode="External"/><Relationship Id="rId52" Type="http://schemas.openxmlformats.org/officeDocument/2006/relationships/hyperlink" Target="http://soundcloud.com/jaytapes" TargetMode="External"/><Relationship Id="rId55" Type="http://schemas.openxmlformats.org/officeDocument/2006/relationships/hyperlink" Target="https://www.instagram.com/_.k.arishma/" TargetMode="External"/><Relationship Id="rId54" Type="http://schemas.openxmlformats.org/officeDocument/2006/relationships/hyperlink" Target="https://www.dropbox.com/scl/fo/8rzywvolev4ty02xalhf1/AJkk0fIkKcjZrvfku2_iTiE?rlkey=rm3b7pzl1txx75vsjy2ex6ghj&amp;dl=0" TargetMode="External"/><Relationship Id="rId57" Type="http://schemas.openxmlformats.org/officeDocument/2006/relationships/hyperlink" Target="https://soundcloud.com/karishma-phandey/liquid-funk-2?si=8b67b5b2a59243df810722be45205bd1&amp;utm_source=clipboard&amp;utm_medium=text&amp;utm_campaign=social_sharing" TargetMode="External"/><Relationship Id="rId56" Type="http://schemas.openxmlformats.org/officeDocument/2006/relationships/hyperlink" Target="https://soundcloud.com/karishma-phandey" TargetMode="External"/><Relationship Id="rId59" Type="http://schemas.openxmlformats.org/officeDocument/2006/relationships/hyperlink" Target="https://www.tiktok.com/musicbynush" TargetMode="External"/><Relationship Id="rId58" Type="http://schemas.openxmlformats.org/officeDocument/2006/relationships/hyperlink" Target="https://www.soundcloud.com/musicbynush" TargetMode="External"/><Relationship Id="rId107" Type="http://schemas.openxmlformats.org/officeDocument/2006/relationships/hyperlink" Target="https://soundcloud.com/netil-radio/koshari-w-kabir-3rd-june-2025?in=netil-radio/sets/koshari-1st-tuesday-5-7pm" TargetMode="External"/><Relationship Id="rId106" Type="http://schemas.openxmlformats.org/officeDocument/2006/relationships/hyperlink" Target="https://www.instagram.com/kabirzjo/" TargetMode="External"/><Relationship Id="rId105" Type="http://schemas.openxmlformats.org/officeDocument/2006/relationships/hyperlink" Target="https://www.instagram.com/rohinacp/" TargetMode="External"/><Relationship Id="rId104" Type="http://schemas.openxmlformats.org/officeDocument/2006/relationships/hyperlink" Target="https://smoovekriminal.bandcamp.com/" TargetMode="External"/><Relationship Id="rId109" Type="http://schemas.openxmlformats.org/officeDocument/2006/relationships/hyperlink" Target="https://www.youtube.com/watch?v=bNXxnyvPksw&amp;t=1s" TargetMode="External"/><Relationship Id="rId108" Type="http://schemas.openxmlformats.org/officeDocument/2006/relationships/hyperlink" Target="https://soundcloud.com/neha-khan" TargetMode="External"/><Relationship Id="rId103" Type="http://schemas.openxmlformats.org/officeDocument/2006/relationships/hyperlink" Target="https://soundcloud.com/islaradio/viriss" TargetMode="External"/><Relationship Id="rId102" Type="http://schemas.openxmlformats.org/officeDocument/2006/relationships/hyperlink" Target="https://soundcloud.com/vir_iss" TargetMode="External"/><Relationship Id="rId101" Type="http://schemas.openxmlformats.org/officeDocument/2006/relationships/hyperlink" Target="https://www.instagram.com/viriss___/" TargetMode="External"/><Relationship Id="rId100" Type="http://schemas.openxmlformats.org/officeDocument/2006/relationships/hyperlink" Target="https://on.soundcloud.com/ZoRdvw57HXifrbGOhx" TargetMode="External"/><Relationship Id="rId95" Type="http://schemas.openxmlformats.org/officeDocument/2006/relationships/hyperlink" Target="https://www.tiktok.com/@ammaradj" TargetMode="External"/><Relationship Id="rId94" Type="http://schemas.openxmlformats.org/officeDocument/2006/relationships/hyperlink" Target="https://soundcloud.com/ammaradj" TargetMode="External"/><Relationship Id="rId97" Type="http://schemas.openxmlformats.org/officeDocument/2006/relationships/hyperlink" Target="https://soundcloud.com/blooplondon/fortune-favours-radio-w-tease-and-reset-031224?ref=clipboard&amp;p=i&amp;c=0&amp;si=308B77431CCC4C2B88D693E5BB78C0E0&amp;utm_source=clipboard&amp;utm_medium=text&amp;utm_campaign=social_sharing" TargetMode="External"/><Relationship Id="rId96" Type="http://schemas.openxmlformats.org/officeDocument/2006/relationships/hyperlink" Target="https://soundcloud.com/ammaradj/ammara-hor-berlin-mix" TargetMode="External"/><Relationship Id="rId99" Type="http://schemas.openxmlformats.org/officeDocument/2006/relationships/hyperlink" Target="https://on.soundcloud.com/A0aZ9sbf34JQXDUka2" TargetMode="External"/><Relationship Id="rId98" Type="http://schemas.openxmlformats.org/officeDocument/2006/relationships/hyperlink" Target="https://on.soundcloud.com/vITIuIWiph5bEvb6zu" TargetMode="External"/><Relationship Id="rId91" Type="http://schemas.openxmlformats.org/officeDocument/2006/relationships/hyperlink" Target="https://on.soundcloud.com/ywbsrbE9dXeiVJzR7" TargetMode="External"/><Relationship Id="rId90" Type="http://schemas.openxmlformats.org/officeDocument/2006/relationships/hyperlink" Target="https://www.youtube.com/watch?v=GumMd3SWz1c" TargetMode="External"/><Relationship Id="rId93" Type="http://schemas.openxmlformats.org/officeDocument/2006/relationships/hyperlink" Target="https://www.instagram.com/ammaradj/?hl=en" TargetMode="External"/><Relationship Id="rId92" Type="http://schemas.openxmlformats.org/officeDocument/2006/relationships/hyperlink" Target="https://on.soundcloud.com/HZxGR51K9GAtaDSL6" TargetMode="External"/><Relationship Id="rId110" Type="http://schemas.openxmlformats.org/officeDocument/2006/relationships/hyperlink" Target="https://soundcloud.com/prithviuk" TargetMode="External"/><Relationship Id="rId114" Type="http://schemas.openxmlformats.org/officeDocument/2006/relationships/drawing" Target="../drawings/drawing4.xml"/><Relationship Id="rId113" Type="http://schemas.openxmlformats.org/officeDocument/2006/relationships/hyperlink" Target="https://www.youtube.com/watch?v=PMA1yLmBEcw&amp;t=413s" TargetMode="External"/><Relationship Id="rId112" Type="http://schemas.openxmlformats.org/officeDocument/2006/relationships/hyperlink" Target="https://soundcloud.com/sigil-radio/dunya-w-pri-october-2025-sigil-radio" TargetMode="External"/><Relationship Id="rId111" Type="http://schemas.openxmlformats.org/officeDocument/2006/relationships/hyperlink" Target="https://www.tiktok.com/@prithvi_vip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_jaskkkkkkk/" TargetMode="External"/><Relationship Id="rId190" Type="http://schemas.openxmlformats.org/officeDocument/2006/relationships/hyperlink" Target="https://linktr.ee/djgillaldn" TargetMode="External"/><Relationship Id="rId42" Type="http://schemas.openxmlformats.org/officeDocument/2006/relationships/hyperlink" Target="https://refugeworldwide.com/radio/daytimers-4th-feb-2022" TargetMode="External"/><Relationship Id="rId41" Type="http://schemas.openxmlformats.org/officeDocument/2006/relationships/hyperlink" Target="https://soundcloud.com/jaskkkkkkk?ref=clipboard&amp;p=i&amp;c=1&amp;utm_source=clipboard&amp;utm_medium=text&amp;utm_campaign=social_sharing" TargetMode="External"/><Relationship Id="rId44" Type="http://schemas.openxmlformats.org/officeDocument/2006/relationships/hyperlink" Target="https://soundcloud.com/kingxmonday" TargetMode="External"/><Relationship Id="rId194" Type="http://schemas.openxmlformats.org/officeDocument/2006/relationships/hyperlink" Target="http://soundcloud.com/jaytapes" TargetMode="External"/><Relationship Id="rId43" Type="http://schemas.openxmlformats.org/officeDocument/2006/relationships/hyperlink" Target="https://soundcloud.com/kingxmonday" TargetMode="External"/><Relationship Id="rId193" Type="http://schemas.openxmlformats.org/officeDocument/2006/relationships/hyperlink" Target="http://instagram.com/jay.tapes" TargetMode="External"/><Relationship Id="rId46" Type="http://schemas.openxmlformats.org/officeDocument/2006/relationships/hyperlink" Target="https://soundcloud.com/djmandle" TargetMode="External"/><Relationship Id="rId192" Type="http://schemas.openxmlformats.org/officeDocument/2006/relationships/hyperlink" Target="https://www.tiktok.com/@alootwins?_t=8og5EiT6fkv&amp;_r=1" TargetMode="External"/><Relationship Id="rId45" Type="http://schemas.openxmlformats.org/officeDocument/2006/relationships/hyperlink" Target="https://ffm.to/kingmonday" TargetMode="External"/><Relationship Id="rId191" Type="http://schemas.openxmlformats.org/officeDocument/2006/relationships/hyperlink" Target="https://on.soundcloud.com/MWSvaX8kC2NJqTx18" TargetMode="External"/><Relationship Id="rId48" Type="http://schemas.openxmlformats.org/officeDocument/2006/relationships/hyperlink" Target="https://www.instagram.com/reamusicuk/" TargetMode="External"/><Relationship Id="rId187" Type="http://schemas.openxmlformats.org/officeDocument/2006/relationships/hyperlink" Target="https://www.instagram.com/piacollada/" TargetMode="External"/><Relationship Id="rId47" Type="http://schemas.openxmlformats.org/officeDocument/2006/relationships/hyperlink" Target="https://soundcloud.com/djmandle" TargetMode="External"/><Relationship Id="rId186" Type="http://schemas.openxmlformats.org/officeDocument/2006/relationships/hyperlink" Target="https://www.instagram.com/__4resh/" TargetMode="External"/><Relationship Id="rId185" Type="http://schemas.openxmlformats.org/officeDocument/2006/relationships/hyperlink" Target="https://vivek.bandcamp.com/" TargetMode="External"/><Relationship Id="rId49" Type="http://schemas.openxmlformats.org/officeDocument/2006/relationships/hyperlink" Target="https://soundcloud.com/readnb" TargetMode="External"/><Relationship Id="rId184" Type="http://schemas.openxmlformats.org/officeDocument/2006/relationships/hyperlink" Target="https://www.instagram.com/viveksystem/" TargetMode="External"/><Relationship Id="rId189" Type="http://schemas.openxmlformats.org/officeDocument/2006/relationships/hyperlink" Target="https://www.instagram.com/djgillaldn/" TargetMode="External"/><Relationship Id="rId188" Type="http://schemas.openxmlformats.org/officeDocument/2006/relationships/hyperlink" Target="https://linktr.ee/piacollada" TargetMode="External"/><Relationship Id="rId31" Type="http://schemas.openxmlformats.org/officeDocument/2006/relationships/hyperlink" Target="https://soundcloud.com/deejaypriya" TargetMode="External"/><Relationship Id="rId30" Type="http://schemas.openxmlformats.org/officeDocument/2006/relationships/hyperlink" Target="https://www.instagram.com/deejaypri/" TargetMode="External"/><Relationship Id="rId33" Type="http://schemas.openxmlformats.org/officeDocument/2006/relationships/hyperlink" Target="https://www.instagram.com/qwirkbass/" TargetMode="External"/><Relationship Id="rId183" Type="http://schemas.openxmlformats.org/officeDocument/2006/relationships/hyperlink" Target="https://linktr.ee/kayaatkanefm" TargetMode="External"/><Relationship Id="rId32" Type="http://schemas.openxmlformats.org/officeDocument/2006/relationships/hyperlink" Target="https://linktr.ee/Deejaypri" TargetMode="External"/><Relationship Id="rId182" Type="http://schemas.openxmlformats.org/officeDocument/2006/relationships/hyperlink" Target="https://www.instagram.com/kayamgram/" TargetMode="External"/><Relationship Id="rId35" Type="http://schemas.openxmlformats.org/officeDocument/2006/relationships/hyperlink" Target="https://www.tiktok.com/@qwirkbass" TargetMode="External"/><Relationship Id="rId181" Type="http://schemas.openxmlformats.org/officeDocument/2006/relationships/hyperlink" Target="https://www.instagram.com/shhh.run/" TargetMode="External"/><Relationship Id="rId34" Type="http://schemas.openxmlformats.org/officeDocument/2006/relationships/hyperlink" Target="https://soundcloud.com/qwirkk" TargetMode="External"/><Relationship Id="rId180" Type="http://schemas.openxmlformats.org/officeDocument/2006/relationships/hyperlink" Target="https://linktr.ee/robertluis" TargetMode="External"/><Relationship Id="rId37" Type="http://schemas.openxmlformats.org/officeDocument/2006/relationships/hyperlink" Target="https://www.instagram.com/rohan_rakhit/" TargetMode="External"/><Relationship Id="rId176" Type="http://schemas.openxmlformats.org/officeDocument/2006/relationships/hyperlink" Target="https://linktr.ee/swayoftheverses" TargetMode="External"/><Relationship Id="rId36" Type="http://schemas.openxmlformats.org/officeDocument/2006/relationships/hyperlink" Target="http://linktr.ee/qwirk" TargetMode="External"/><Relationship Id="rId175" Type="http://schemas.openxmlformats.org/officeDocument/2006/relationships/hyperlink" Target="https://www.instagram.com/swayoftheverses/" TargetMode="External"/><Relationship Id="rId39" Type="http://schemas.openxmlformats.org/officeDocument/2006/relationships/hyperlink" Target="https://linktr.ee/rohan.rakhit" TargetMode="External"/><Relationship Id="rId174" Type="http://schemas.openxmlformats.org/officeDocument/2006/relationships/hyperlink" Target="https://www.instagram.com/ishakewlani/" TargetMode="External"/><Relationship Id="rId295" Type="http://schemas.openxmlformats.org/officeDocument/2006/relationships/table" Target="../tables/table4.xml"/><Relationship Id="rId38" Type="http://schemas.openxmlformats.org/officeDocument/2006/relationships/hyperlink" Target="https://soundcloud.com/rohan_rakhit" TargetMode="External"/><Relationship Id="rId173" Type="http://schemas.openxmlformats.org/officeDocument/2006/relationships/hyperlink" Target="https://soundcloud.com/ayshvt" TargetMode="External"/><Relationship Id="rId179" Type="http://schemas.openxmlformats.org/officeDocument/2006/relationships/hyperlink" Target="https://www.instagram.com/robertluis/" TargetMode="External"/><Relationship Id="rId178" Type="http://schemas.openxmlformats.org/officeDocument/2006/relationships/hyperlink" Target="https://open.spotify.com/artist/4dMY9QGjc6JqLcLvnzNWKH" TargetMode="External"/><Relationship Id="rId177" Type="http://schemas.openxmlformats.org/officeDocument/2006/relationships/hyperlink" Target="https://www.instagram.com/jawariband/" TargetMode="External"/><Relationship Id="rId20" Type="http://schemas.openxmlformats.org/officeDocument/2006/relationships/hyperlink" Target="https://linktr.ee/DJGoldTooth" TargetMode="External"/><Relationship Id="rId22" Type="http://schemas.openxmlformats.org/officeDocument/2006/relationships/hyperlink" Target="http://soundcloud.com/temujin-ldn" TargetMode="External"/><Relationship Id="rId21" Type="http://schemas.openxmlformats.org/officeDocument/2006/relationships/hyperlink" Target="https://www.instagram.com/temujin_ldn/" TargetMode="External"/><Relationship Id="rId24" Type="http://schemas.openxmlformats.org/officeDocument/2006/relationships/hyperlink" Target="https://www.instagram.com/saachi_versaachi/" TargetMode="External"/><Relationship Id="rId23" Type="http://schemas.openxmlformats.org/officeDocument/2006/relationships/hyperlink" Target="https://www.flowcode.com/page/temujin.ldn" TargetMode="External"/><Relationship Id="rId26" Type="http://schemas.openxmlformats.org/officeDocument/2006/relationships/hyperlink" Target="https://lnk.bio/Saachi" TargetMode="External"/><Relationship Id="rId25" Type="http://schemas.openxmlformats.org/officeDocument/2006/relationships/hyperlink" Target="https://soundcloud.com/saachi-bains" TargetMode="External"/><Relationship Id="rId28" Type="http://schemas.openxmlformats.org/officeDocument/2006/relationships/hyperlink" Target="https://soundcloud.com/kishanthakrar" TargetMode="External"/><Relationship Id="rId27" Type="http://schemas.openxmlformats.org/officeDocument/2006/relationships/hyperlink" Target="https://www.instagram.com/kishanthakrar/" TargetMode="External"/><Relationship Id="rId29" Type="http://schemas.openxmlformats.org/officeDocument/2006/relationships/hyperlink" Target="https://www.liinks.co/kishan" TargetMode="External"/><Relationship Id="rId11" Type="http://schemas.openxmlformats.org/officeDocument/2006/relationships/hyperlink" Target="https://linktr.ee/rainmann" TargetMode="External"/><Relationship Id="rId10" Type="http://schemas.openxmlformats.org/officeDocument/2006/relationships/hyperlink" Target="https://soundcloud.com/rainm4nn" TargetMode="External"/><Relationship Id="rId13" Type="http://schemas.openxmlformats.org/officeDocument/2006/relationships/hyperlink" Target="https://soundcloud.com/somingriffin-dave" TargetMode="External"/><Relationship Id="rId12" Type="http://schemas.openxmlformats.org/officeDocument/2006/relationships/hyperlink" Target="https://www.instagram.com/somin.somatic/" TargetMode="External"/><Relationship Id="rId15" Type="http://schemas.openxmlformats.org/officeDocument/2006/relationships/hyperlink" Target="https://www.instagram.com/_freshta/" TargetMode="External"/><Relationship Id="rId198" Type="http://schemas.openxmlformats.org/officeDocument/2006/relationships/hyperlink" Target="https://soundcloud.com/karishma-phandey" TargetMode="External"/><Relationship Id="rId14" Type="http://schemas.openxmlformats.org/officeDocument/2006/relationships/hyperlink" Target="https://linktr.ee/somin_somatic" TargetMode="External"/><Relationship Id="rId197" Type="http://schemas.openxmlformats.org/officeDocument/2006/relationships/hyperlink" Target="https://www.instagram.com/_.k.arishma/" TargetMode="External"/><Relationship Id="rId17" Type="http://schemas.openxmlformats.org/officeDocument/2006/relationships/hyperlink" Target="http://linktr.ee/_freshta" TargetMode="External"/><Relationship Id="rId196" Type="http://schemas.openxmlformats.org/officeDocument/2006/relationships/hyperlink" Target="https://www.dropbox.com/scl/fo/8rzywvolev4ty02xalhf1/AJkk0fIkKcjZrvfku2_iTiE?rlkey=rm3b7pzl1txx75vsjy2ex6ghj&amp;dl=0" TargetMode="External"/><Relationship Id="rId16" Type="http://schemas.openxmlformats.org/officeDocument/2006/relationships/hyperlink" Target="https://soundcloud.com/freshtadj" TargetMode="External"/><Relationship Id="rId195" Type="http://schemas.openxmlformats.org/officeDocument/2006/relationships/hyperlink" Target="https://www.mixcloud.com/jaytapesmusic/" TargetMode="External"/><Relationship Id="rId19" Type="http://schemas.openxmlformats.org/officeDocument/2006/relationships/hyperlink" Target="http://soundcloud.com/goldtooth_dj" TargetMode="External"/><Relationship Id="rId18" Type="http://schemas.openxmlformats.org/officeDocument/2006/relationships/hyperlink" Target="https://www.instagram.com/_goldtooth_/" TargetMode="External"/><Relationship Id="rId199" Type="http://schemas.openxmlformats.org/officeDocument/2006/relationships/hyperlink" Target="https://soundcloud.com/karishma-phandey/liquid-funk-2?si=8b67b5b2a59243df810722be45205bd1&amp;utm_source=clipboard&amp;utm_medium=text&amp;utm_campaign=social_sharing" TargetMode="External"/><Relationship Id="rId84" Type="http://schemas.openxmlformats.org/officeDocument/2006/relationships/hyperlink" Target="https://ghelo.biglink.to/jayhaan" TargetMode="External"/><Relationship Id="rId83" Type="http://schemas.openxmlformats.org/officeDocument/2006/relationships/hyperlink" Target="https://soundcloud.com/jayhaanofficial" TargetMode="External"/><Relationship Id="rId86" Type="http://schemas.openxmlformats.org/officeDocument/2006/relationships/hyperlink" Target="https://soundcloud.com/iti_mqn" TargetMode="External"/><Relationship Id="rId85" Type="http://schemas.openxmlformats.org/officeDocument/2006/relationships/hyperlink" Target="https://www.instagram.com/iti______/" TargetMode="External"/><Relationship Id="rId88" Type="http://schemas.openxmlformats.org/officeDocument/2006/relationships/hyperlink" Target="https://www.instagram.com/snadmusic/" TargetMode="External"/><Relationship Id="rId150" Type="http://schemas.openxmlformats.org/officeDocument/2006/relationships/hyperlink" Target="https://www.instagram.com/trafficccccc/" TargetMode="External"/><Relationship Id="rId271" Type="http://schemas.openxmlformats.org/officeDocument/2006/relationships/hyperlink" Target="https://soundcloud.com/tashasan" TargetMode="External"/><Relationship Id="rId87" Type="http://schemas.openxmlformats.org/officeDocument/2006/relationships/hyperlink" Target="https://linktr.ee/iti_" TargetMode="External"/><Relationship Id="rId270" Type="http://schemas.openxmlformats.org/officeDocument/2006/relationships/hyperlink" Target="https://www.instagram.com/_natashahassan?igsh=bmFpcmI4dTh6ejJ3&amp;utm_source=qr" TargetMode="External"/><Relationship Id="rId89" Type="http://schemas.openxmlformats.org/officeDocument/2006/relationships/hyperlink" Target="https://soundcloud.com/snad" TargetMode="External"/><Relationship Id="rId80" Type="http://schemas.openxmlformats.org/officeDocument/2006/relationships/hyperlink" Target="https://soundcloud.com/iyrednb" TargetMode="External"/><Relationship Id="rId82" Type="http://schemas.openxmlformats.org/officeDocument/2006/relationships/hyperlink" Target="https://www.instagram.com/jayhaanofficial/" TargetMode="External"/><Relationship Id="rId81" Type="http://schemas.openxmlformats.org/officeDocument/2006/relationships/hyperlink" Target="https://linktr.ee/IYREdnb" TargetMode="External"/><Relationship Id="rId1" Type="http://schemas.openxmlformats.org/officeDocument/2006/relationships/hyperlink" Target="https://linktr.ee/ajdzar" TargetMode="External"/><Relationship Id="rId2" Type="http://schemas.openxmlformats.org/officeDocument/2006/relationships/hyperlink" Target="https://www.mixcloud.com/NoBoundariesLDN_/zar-no-boundaries-guest-mix-001/" TargetMode="External"/><Relationship Id="rId3" Type="http://schemas.openxmlformats.org/officeDocument/2006/relationships/hyperlink" Target="https://www.instagram.com/saadaan__________/" TargetMode="External"/><Relationship Id="rId149" Type="http://schemas.openxmlformats.org/officeDocument/2006/relationships/hyperlink" Target="https://www.thisisnadi.com" TargetMode="External"/><Relationship Id="rId4" Type="http://schemas.openxmlformats.org/officeDocument/2006/relationships/hyperlink" Target="https://www.instagram.com/diamond.sound/" TargetMode="External"/><Relationship Id="rId148" Type="http://schemas.openxmlformats.org/officeDocument/2006/relationships/hyperlink" Target="https://soundcloud.com/thisisnadi" TargetMode="External"/><Relationship Id="rId269" Type="http://schemas.openxmlformats.org/officeDocument/2006/relationships/hyperlink" Target="https://linktr.ee/sharandeep_" TargetMode="External"/><Relationship Id="rId9" Type="http://schemas.openxmlformats.org/officeDocument/2006/relationships/hyperlink" Target="https://linktr.ee/Sitashah" TargetMode="External"/><Relationship Id="rId143" Type="http://schemas.openxmlformats.org/officeDocument/2006/relationships/hyperlink" Target="https://linktr.ee/abana" TargetMode="External"/><Relationship Id="rId264" Type="http://schemas.openxmlformats.org/officeDocument/2006/relationships/hyperlink" Target="http://www.soundcloud.com/syed-artist" TargetMode="External"/><Relationship Id="rId142" Type="http://schemas.openxmlformats.org/officeDocument/2006/relationships/hyperlink" Target="https://www.instagram.com/abanamusic/" TargetMode="External"/><Relationship Id="rId263" Type="http://schemas.openxmlformats.org/officeDocument/2006/relationships/hyperlink" Target="http://www.instagram.com/king_ahmed120" TargetMode="External"/><Relationship Id="rId141" Type="http://schemas.openxmlformats.org/officeDocument/2006/relationships/hyperlink" Target="https://soundcloud.com/yourboykiran" TargetMode="External"/><Relationship Id="rId262" Type="http://schemas.openxmlformats.org/officeDocument/2006/relationships/hyperlink" Target="https://open.spotify.com/artist/1OVeQPd27s1MkICbzBfZTV" TargetMode="External"/><Relationship Id="rId140" Type="http://schemas.openxmlformats.org/officeDocument/2006/relationships/hyperlink" Target="https://lnk.bio/yourboykiran" TargetMode="External"/><Relationship Id="rId261" Type="http://schemas.openxmlformats.org/officeDocument/2006/relationships/hyperlink" Target="https://www.youtube.com/@amdavad" TargetMode="External"/><Relationship Id="rId5" Type="http://schemas.openxmlformats.org/officeDocument/2006/relationships/hyperlink" Target="https://soundcloud.com/michaeldiamonduk" TargetMode="External"/><Relationship Id="rId147" Type="http://schemas.openxmlformats.org/officeDocument/2006/relationships/hyperlink" Target="https://www.instagram.com/nadi_bpm/" TargetMode="External"/><Relationship Id="rId268" Type="http://schemas.openxmlformats.org/officeDocument/2006/relationships/hyperlink" Target="https://on.soundcloud.com/ELg1FI3oCi8hoeMVdg" TargetMode="External"/><Relationship Id="rId6" Type="http://schemas.openxmlformats.org/officeDocument/2006/relationships/hyperlink" Target="https://linktr.ee/diamond.sound" TargetMode="External"/><Relationship Id="rId146" Type="http://schemas.openxmlformats.org/officeDocument/2006/relationships/hyperlink" Target="https://m.soundcloud.com/djpetitp" TargetMode="External"/><Relationship Id="rId267" Type="http://schemas.openxmlformats.org/officeDocument/2006/relationships/hyperlink" Target="https://youtu.be/wXYH0uouw_g?si=NPX4Iv7qucRY1lR5" TargetMode="External"/><Relationship Id="rId7" Type="http://schemas.openxmlformats.org/officeDocument/2006/relationships/hyperlink" Target="https://www.instagram.com/shahmbles/" TargetMode="External"/><Relationship Id="rId145" Type="http://schemas.openxmlformats.org/officeDocument/2006/relationships/hyperlink" Target="https://m.soundcloud.com/djpetitp" TargetMode="External"/><Relationship Id="rId266" Type="http://schemas.openxmlformats.org/officeDocument/2006/relationships/hyperlink" Target="https://linktr.ee/KingAhmed120" TargetMode="External"/><Relationship Id="rId8" Type="http://schemas.openxmlformats.org/officeDocument/2006/relationships/hyperlink" Target="http://soundcloud.com/sitashahdj" TargetMode="External"/><Relationship Id="rId144" Type="http://schemas.openxmlformats.org/officeDocument/2006/relationships/hyperlink" Target="https://instagram.com/djpetitp?r=nametag" TargetMode="External"/><Relationship Id="rId265" Type="http://schemas.openxmlformats.org/officeDocument/2006/relationships/hyperlink" Target="https://www.tiktok.com/@syedahmed6672?_t=ZN-8wT7ccz4WNK&amp;_r=1" TargetMode="External"/><Relationship Id="rId73" Type="http://schemas.openxmlformats.org/officeDocument/2006/relationships/hyperlink" Target="https://www.instagram.com/heeemay/" TargetMode="External"/><Relationship Id="rId72" Type="http://schemas.openxmlformats.org/officeDocument/2006/relationships/hyperlink" Target="https://soundcloud.com/gggeethreethree/bbc-asian-network-pure-spice-guest-mix" TargetMode="External"/><Relationship Id="rId75" Type="http://schemas.openxmlformats.org/officeDocument/2006/relationships/hyperlink" Target="https://soundcloud.com/heeemay" TargetMode="External"/><Relationship Id="rId74" Type="http://schemas.openxmlformats.org/officeDocument/2006/relationships/hyperlink" Target="https://soundcloud.com/heeemay" TargetMode="External"/><Relationship Id="rId77" Type="http://schemas.openxmlformats.org/officeDocument/2006/relationships/hyperlink" Target="https://soundcloud.com/djshortsell" TargetMode="External"/><Relationship Id="rId260" Type="http://schemas.openxmlformats.org/officeDocument/2006/relationships/hyperlink" Target="https://www.instagram.com/skrrtt.skrrrt/?hl=en" TargetMode="External"/><Relationship Id="rId76" Type="http://schemas.openxmlformats.org/officeDocument/2006/relationships/hyperlink" Target="https://www.instagram.com/shortsell.wav/" TargetMode="External"/><Relationship Id="rId79" Type="http://schemas.openxmlformats.org/officeDocument/2006/relationships/hyperlink" Target="https://www.instagram.com/iyre_dnb/" TargetMode="External"/><Relationship Id="rId78" Type="http://schemas.openxmlformats.org/officeDocument/2006/relationships/hyperlink" Target="https://www.mixcloud.com/djshortsell/" TargetMode="External"/><Relationship Id="rId71" Type="http://schemas.openxmlformats.org/officeDocument/2006/relationships/hyperlink" Target="https://soundcloud.com/gggeethreethree" TargetMode="External"/><Relationship Id="rId70" Type="http://schemas.openxmlformats.org/officeDocument/2006/relationships/hyperlink" Target="http://www.instagram.com/gaia_ia/" TargetMode="External"/><Relationship Id="rId139" Type="http://schemas.openxmlformats.org/officeDocument/2006/relationships/hyperlink" Target="https://soundcloud.com/yourboykiran" TargetMode="External"/><Relationship Id="rId138" Type="http://schemas.openxmlformats.org/officeDocument/2006/relationships/hyperlink" Target="https://www.instagram.com/yourboykiran/" TargetMode="External"/><Relationship Id="rId259" Type="http://schemas.openxmlformats.org/officeDocument/2006/relationships/hyperlink" Target="https://soundcloud.com/blooplondon/fortune-favours-radio-w-tease-and-reset-031224?ref=clipboard&amp;p=i&amp;c=0&amp;si=308B77431CCC4C2B88D693E5BB78C0E0&amp;utm_source=clipboard&amp;utm_medium=text&amp;utm_campaign=social_sharing" TargetMode="External"/><Relationship Id="rId137" Type="http://schemas.openxmlformats.org/officeDocument/2006/relationships/hyperlink" Target="http://thelivinglevel.tumblr.com" TargetMode="External"/><Relationship Id="rId258" Type="http://schemas.openxmlformats.org/officeDocument/2006/relationships/hyperlink" Target="https://soundcloud.com/ammaradj/ammara-hor-berlin-mix" TargetMode="External"/><Relationship Id="rId132" Type="http://schemas.openxmlformats.org/officeDocument/2006/relationships/hyperlink" Target="https://www.mixcloud.com/ot/" TargetMode="External"/><Relationship Id="rId253" Type="http://schemas.openxmlformats.org/officeDocument/2006/relationships/hyperlink" Target="https://on.soundcloud.com/ywbsrbE9dXeiVJzR7" TargetMode="External"/><Relationship Id="rId131" Type="http://schemas.openxmlformats.org/officeDocument/2006/relationships/hyperlink" Target="https://twitter.com/o_tariq" TargetMode="External"/><Relationship Id="rId252" Type="http://schemas.openxmlformats.org/officeDocument/2006/relationships/hyperlink" Target="https://www.facebook.com/share/1AJGqMh4ci/?mibextid=wwXIfr" TargetMode="External"/><Relationship Id="rId130" Type="http://schemas.openxmlformats.org/officeDocument/2006/relationships/hyperlink" Target="https://open.spotify.com/artist/6PVOJqMGjo0XqIRuc3v1vs?si=gE1xPku1TUqkGhunC4NKhg&amp;nd=1" TargetMode="External"/><Relationship Id="rId251" Type="http://schemas.openxmlformats.org/officeDocument/2006/relationships/hyperlink" Target="https://www.tiktok.com/@seth.chohan?_t=ZN-8urYLNiPExz&amp;_r=1" TargetMode="External"/><Relationship Id="rId250" Type="http://schemas.openxmlformats.org/officeDocument/2006/relationships/hyperlink" Target="https://on.soundcloud.com/hZbxHop8kNHAt7iw7" TargetMode="External"/><Relationship Id="rId136" Type="http://schemas.openxmlformats.org/officeDocument/2006/relationships/hyperlink" Target="https://www.instagram.com/_nonation/" TargetMode="External"/><Relationship Id="rId257" Type="http://schemas.openxmlformats.org/officeDocument/2006/relationships/hyperlink" Target="https://www.tiktok.com/@ammaradj" TargetMode="External"/><Relationship Id="rId135" Type="http://schemas.openxmlformats.org/officeDocument/2006/relationships/hyperlink" Target="https://youtube.com/channel/UCm8utJlMuE9LFvnS3SWN1XQ" TargetMode="External"/><Relationship Id="rId256" Type="http://schemas.openxmlformats.org/officeDocument/2006/relationships/hyperlink" Target="https://soundcloud.com/ammaradj" TargetMode="External"/><Relationship Id="rId134" Type="http://schemas.openxmlformats.org/officeDocument/2006/relationships/hyperlink" Target="https://soundcloud.app.goo.gl/X94u2oBg7626c3bB8" TargetMode="External"/><Relationship Id="rId255" Type="http://schemas.openxmlformats.org/officeDocument/2006/relationships/hyperlink" Target="https://www.instagram.com/ammaradj/?hl=en" TargetMode="External"/><Relationship Id="rId133" Type="http://schemas.openxmlformats.org/officeDocument/2006/relationships/hyperlink" Target="https://www.instagram.com/alvi_island/" TargetMode="External"/><Relationship Id="rId254" Type="http://schemas.openxmlformats.org/officeDocument/2006/relationships/hyperlink" Target="https://on.soundcloud.com/HZxGR51K9GAtaDSL6" TargetMode="External"/><Relationship Id="rId62" Type="http://schemas.openxmlformats.org/officeDocument/2006/relationships/hyperlink" Target="https://soundcloud.com/krmabeats" TargetMode="External"/><Relationship Id="rId61" Type="http://schemas.openxmlformats.org/officeDocument/2006/relationships/hyperlink" Target="https://www.instagram.com/krma.music/" TargetMode="External"/><Relationship Id="rId64" Type="http://schemas.openxmlformats.org/officeDocument/2006/relationships/hyperlink" Target="https://soundcloud.com/krmabeats" TargetMode="External"/><Relationship Id="rId63" Type="http://schemas.openxmlformats.org/officeDocument/2006/relationships/hyperlink" Target="https://linktr.ee/krma.music" TargetMode="External"/><Relationship Id="rId66" Type="http://schemas.openxmlformats.org/officeDocument/2006/relationships/hyperlink" Target="https://soundcloud.com/djsolarplexus?ref=clipboard&amp;p=i&amp;c=1&amp;si=DA130D71E4104EB5BE04BC096A497BAF&amp;utm_source=clipboard&amp;utm_medium=text&amp;utm_campaign=social_sharing" TargetMode="External"/><Relationship Id="rId172" Type="http://schemas.openxmlformats.org/officeDocument/2006/relationships/hyperlink" Target="https://www.instagram.com/ayshvt" TargetMode="External"/><Relationship Id="rId293" Type="http://schemas.openxmlformats.org/officeDocument/2006/relationships/drawing" Target="../drawings/drawing6.xml"/><Relationship Id="rId65" Type="http://schemas.openxmlformats.org/officeDocument/2006/relationships/hyperlink" Target="https://www.instagram.com/djsolarplexus/?hl=en-gb" TargetMode="External"/><Relationship Id="rId171" Type="http://schemas.openxmlformats.org/officeDocument/2006/relationships/hyperlink" Target="https://www.tiktok.com/@shifaligero" TargetMode="External"/><Relationship Id="rId292" Type="http://schemas.openxmlformats.org/officeDocument/2006/relationships/hyperlink" Target="https://open.spotify.com/artist/0otmCDF5DZjqADtQT9aIkG?si=eGOHNnChSCqyYmfI7NzUyA" TargetMode="External"/><Relationship Id="rId68" Type="http://schemas.openxmlformats.org/officeDocument/2006/relationships/hyperlink" Target="https://soundcloud.com/hazbro/tracks" TargetMode="External"/><Relationship Id="rId170" Type="http://schemas.openxmlformats.org/officeDocument/2006/relationships/hyperlink" Target="https://soundcloud.com/shifaligero" TargetMode="External"/><Relationship Id="rId291" Type="http://schemas.openxmlformats.org/officeDocument/2006/relationships/hyperlink" Target="http://amrisings.com" TargetMode="External"/><Relationship Id="rId67" Type="http://schemas.openxmlformats.org/officeDocument/2006/relationships/hyperlink" Target="https://soundcloud.com/djsolarplexus?ref=clipboard&amp;p=i&amp;c=1&amp;si=DA130D71E4104EB5BE04BC096A497BAF&amp;utm_source=clipboard&amp;utm_medium=text&amp;utm_campaign=social_sharing" TargetMode="External"/><Relationship Id="rId290" Type="http://schemas.openxmlformats.org/officeDocument/2006/relationships/hyperlink" Target="https://www.youtube.com/watch?v=PMA1yLmBEcw&amp;t=413s" TargetMode="External"/><Relationship Id="rId60" Type="http://schemas.openxmlformats.org/officeDocument/2006/relationships/hyperlink" Target="https://soundcloud.com/triqi030" TargetMode="External"/><Relationship Id="rId165" Type="http://schemas.openxmlformats.org/officeDocument/2006/relationships/hyperlink" Target="https://www.instagram.com/insowmya/?hl=en" TargetMode="External"/><Relationship Id="rId286" Type="http://schemas.openxmlformats.org/officeDocument/2006/relationships/hyperlink" Target="https://www.tiktok.com/@prithvi_vip" TargetMode="External"/><Relationship Id="rId69" Type="http://schemas.openxmlformats.org/officeDocument/2006/relationships/hyperlink" Target="https://soundcloud.com/hazbro/tracks" TargetMode="External"/><Relationship Id="rId164" Type="http://schemas.openxmlformats.org/officeDocument/2006/relationships/hyperlink" Target="https://soundcloud.com/robumusic" TargetMode="External"/><Relationship Id="rId285" Type="http://schemas.openxmlformats.org/officeDocument/2006/relationships/hyperlink" Target="https://soundcloud.com/prithviuk" TargetMode="External"/><Relationship Id="rId163" Type="http://schemas.openxmlformats.org/officeDocument/2006/relationships/hyperlink" Target="https://www.instagram.com/robumusic/?hl=en" TargetMode="External"/><Relationship Id="rId284" Type="http://schemas.openxmlformats.org/officeDocument/2006/relationships/hyperlink" Target="https://www.youtube.com/watch?v=bNXxnyvPksw&amp;t=1s" TargetMode="External"/><Relationship Id="rId162" Type="http://schemas.openxmlformats.org/officeDocument/2006/relationships/hyperlink" Target="https://soundcloud.com/xxaetherxx" TargetMode="External"/><Relationship Id="rId283" Type="http://schemas.openxmlformats.org/officeDocument/2006/relationships/hyperlink" Target="https://soundcloud.com/neha-khan" TargetMode="External"/><Relationship Id="rId169" Type="http://schemas.openxmlformats.org/officeDocument/2006/relationships/hyperlink" Target="https://www.instagram.com/shifaligero/" TargetMode="External"/><Relationship Id="rId168" Type="http://schemas.openxmlformats.org/officeDocument/2006/relationships/hyperlink" Target="https://www.instagram.com/kusharora/?igsh=MW8za3VlYmxlYXl0ag%3D%3D" TargetMode="External"/><Relationship Id="rId289" Type="http://schemas.openxmlformats.org/officeDocument/2006/relationships/hyperlink" Target="https://soundcloud.com/sigil-radio/dunya-w-pri-october-2025-sigil-radio" TargetMode="External"/><Relationship Id="rId167" Type="http://schemas.openxmlformats.org/officeDocument/2006/relationships/hyperlink" Target="https://www.instagram.com/benteki_/?igsh=ZzV0NHg1amlta2N1" TargetMode="External"/><Relationship Id="rId288" Type="http://schemas.openxmlformats.org/officeDocument/2006/relationships/hyperlink" Target="https://on.soundcloud.com/Q4KdTq9gXW5chrIinH" TargetMode="External"/><Relationship Id="rId166" Type="http://schemas.openxmlformats.org/officeDocument/2006/relationships/hyperlink" Target="https://www.youtube.com/watch?v=3zKk_Lp7_tk" TargetMode="External"/><Relationship Id="rId287" Type="http://schemas.openxmlformats.org/officeDocument/2006/relationships/hyperlink" Target="https://on.soundcloud.com/RBFFSRYAW3tfCEAKsF" TargetMode="External"/><Relationship Id="rId51" Type="http://schemas.openxmlformats.org/officeDocument/2006/relationships/hyperlink" Target="https://soundcloud.com/sepoys" TargetMode="External"/><Relationship Id="rId50" Type="http://schemas.openxmlformats.org/officeDocument/2006/relationships/hyperlink" Target="https://soundcloud.com/readnb" TargetMode="External"/><Relationship Id="rId53" Type="http://schemas.openxmlformats.org/officeDocument/2006/relationships/hyperlink" Target="https://linktr.ee/merabhaiii" TargetMode="External"/><Relationship Id="rId52" Type="http://schemas.openxmlformats.org/officeDocument/2006/relationships/hyperlink" Target="https://soundcloud.com/sepoys" TargetMode="External"/><Relationship Id="rId55" Type="http://schemas.openxmlformats.org/officeDocument/2006/relationships/hyperlink" Target="https://www.instagram.com/sunayah._/?hl=en" TargetMode="External"/><Relationship Id="rId161" Type="http://schemas.openxmlformats.org/officeDocument/2006/relationships/hyperlink" Target="https://www.instagram.com/xaetherx777/" TargetMode="External"/><Relationship Id="rId282" Type="http://schemas.openxmlformats.org/officeDocument/2006/relationships/hyperlink" Target="https://soundcloud.com/netil-radio/koshari-w-kabir-3rd-june-2025?in=netil-radio/sets/koshari-1st-tuesday-5-7pm" TargetMode="External"/><Relationship Id="rId54" Type="http://schemas.openxmlformats.org/officeDocument/2006/relationships/hyperlink" Target="https://soundcloud.app.goo.gl/aXWw6FdyUhNKSXZi6" TargetMode="External"/><Relationship Id="rId160" Type="http://schemas.openxmlformats.org/officeDocument/2006/relationships/hyperlink" Target="http://shir.in" TargetMode="External"/><Relationship Id="rId281" Type="http://schemas.openxmlformats.org/officeDocument/2006/relationships/hyperlink" Target="https://www.instagram.com/kabirzjo/" TargetMode="External"/><Relationship Id="rId57" Type="http://schemas.openxmlformats.org/officeDocument/2006/relationships/hyperlink" Target="https://soundcloud.com/sunayah" TargetMode="External"/><Relationship Id="rId280" Type="http://schemas.openxmlformats.org/officeDocument/2006/relationships/hyperlink" Target="https://www.instagram.com/rohinacp/" TargetMode="External"/><Relationship Id="rId56" Type="http://schemas.openxmlformats.org/officeDocument/2006/relationships/hyperlink" Target="https://soundcloud.com/sunayah" TargetMode="External"/><Relationship Id="rId159" Type="http://schemas.openxmlformats.org/officeDocument/2006/relationships/hyperlink" Target="https://soundcloud.com/khadura?utm_source=mobi&amp;utm_campaign=social_sharing" TargetMode="External"/><Relationship Id="rId59" Type="http://schemas.openxmlformats.org/officeDocument/2006/relationships/hyperlink" Target="https://soundcloud.com/triqi030" TargetMode="External"/><Relationship Id="rId154" Type="http://schemas.openxmlformats.org/officeDocument/2006/relationships/hyperlink" Target="https://linktr.ee/tommykhosla" TargetMode="External"/><Relationship Id="rId275" Type="http://schemas.openxmlformats.org/officeDocument/2006/relationships/hyperlink" Target="https://on.soundcloud.com/ZoRdvw57HXifrbGOhx" TargetMode="External"/><Relationship Id="rId58" Type="http://schemas.openxmlformats.org/officeDocument/2006/relationships/hyperlink" Target="https://www.instagram.com/triqitrix/?hl=en" TargetMode="External"/><Relationship Id="rId153" Type="http://schemas.openxmlformats.org/officeDocument/2006/relationships/hyperlink" Target="https://www.instagram.com/tommykhosla/" TargetMode="External"/><Relationship Id="rId274" Type="http://schemas.openxmlformats.org/officeDocument/2006/relationships/hyperlink" Target="https://on.soundcloud.com/A0aZ9sbf34JQXDUka2" TargetMode="External"/><Relationship Id="rId152" Type="http://schemas.openxmlformats.org/officeDocument/2006/relationships/hyperlink" Target="https://linktr.ee/trafficcmusic" TargetMode="External"/><Relationship Id="rId273" Type="http://schemas.openxmlformats.org/officeDocument/2006/relationships/hyperlink" Target="https://on.soundcloud.com/vITIuIWiph5bEvb6zu" TargetMode="External"/><Relationship Id="rId151" Type="http://schemas.openxmlformats.org/officeDocument/2006/relationships/hyperlink" Target="https://soundcloud.com/trafficc-music" TargetMode="External"/><Relationship Id="rId272" Type="http://schemas.openxmlformats.org/officeDocument/2006/relationships/hyperlink" Target="https://www.instagram.com/northeastsocialclub?igsh=MWllY2N0YXY3MGprdA==" TargetMode="External"/><Relationship Id="rId158" Type="http://schemas.openxmlformats.org/officeDocument/2006/relationships/hyperlink" Target="https://www.instagram.com/khadura.sound?igsh=NGtmYXowbWYwZHp3" TargetMode="External"/><Relationship Id="rId279" Type="http://schemas.openxmlformats.org/officeDocument/2006/relationships/hyperlink" Target="https://smoovekriminal.bandcamp.com/" TargetMode="External"/><Relationship Id="rId157" Type="http://schemas.openxmlformats.org/officeDocument/2006/relationships/hyperlink" Target="http://cralias.bandcamp.com" TargetMode="External"/><Relationship Id="rId278" Type="http://schemas.openxmlformats.org/officeDocument/2006/relationships/hyperlink" Target="https://soundcloud.com/islaradio/viriss" TargetMode="External"/><Relationship Id="rId156" Type="http://schemas.openxmlformats.org/officeDocument/2006/relationships/hyperlink" Target="http://soundcloud.com/cralias" TargetMode="External"/><Relationship Id="rId277" Type="http://schemas.openxmlformats.org/officeDocument/2006/relationships/hyperlink" Target="https://soundcloud.com/vir_iss" TargetMode="External"/><Relationship Id="rId155" Type="http://schemas.openxmlformats.org/officeDocument/2006/relationships/hyperlink" Target="http://soundcloud.com/djanimebby" TargetMode="External"/><Relationship Id="rId276" Type="http://schemas.openxmlformats.org/officeDocument/2006/relationships/hyperlink" Target="https://www.instagram.com/viriss___/" TargetMode="External"/><Relationship Id="rId107" Type="http://schemas.openxmlformats.org/officeDocument/2006/relationships/hyperlink" Target="https://soundcloud.com/daramadj" TargetMode="External"/><Relationship Id="rId228" Type="http://schemas.openxmlformats.org/officeDocument/2006/relationships/hyperlink" Target="https://on.soundcloud.com/5mW1z7k82xwWLuBE7" TargetMode="External"/><Relationship Id="rId106" Type="http://schemas.openxmlformats.org/officeDocument/2006/relationships/hyperlink" Target="https://www.instagram.com/daramadj/" TargetMode="External"/><Relationship Id="rId227" Type="http://schemas.openxmlformats.org/officeDocument/2006/relationships/hyperlink" Target="https://on.soundcloud.com/5mW1z7k82xwWLuBE7" TargetMode="External"/><Relationship Id="rId105" Type="http://schemas.openxmlformats.org/officeDocument/2006/relationships/hyperlink" Target="https://www.instagram.com/j___d___s___/" TargetMode="External"/><Relationship Id="rId226" Type="http://schemas.openxmlformats.org/officeDocument/2006/relationships/hyperlink" Target="https://soundcloud.com/ayshvt/desi-mix-panjabi-hit-squad?si=af868d13293b46cb8b8a0f72db7a192c&amp;utm_source=clipboard&amp;utm_medium=text&amp;utm_campaign=social_sharing" TargetMode="External"/><Relationship Id="rId104" Type="http://schemas.openxmlformats.org/officeDocument/2006/relationships/hyperlink" Target="https://www.instagram.com/j___d___s___/" TargetMode="External"/><Relationship Id="rId225" Type="http://schemas.openxmlformats.org/officeDocument/2006/relationships/hyperlink" Target="https://soundcloud.com/ayshvt" TargetMode="External"/><Relationship Id="rId109" Type="http://schemas.openxmlformats.org/officeDocument/2006/relationships/hyperlink" Target="https://www.instagram.com/ashlovecraft/" TargetMode="External"/><Relationship Id="rId108" Type="http://schemas.openxmlformats.org/officeDocument/2006/relationships/hyperlink" Target="https://soundcloud.com/daramadj" TargetMode="External"/><Relationship Id="rId229" Type="http://schemas.openxmlformats.org/officeDocument/2006/relationships/hyperlink" Target="https://on.soundcloud.com/E2U8HAQrXBDBnHv48" TargetMode="External"/><Relationship Id="rId220" Type="http://schemas.openxmlformats.org/officeDocument/2006/relationships/hyperlink" Target="https://www.instagram.com/rajahbetta" TargetMode="External"/><Relationship Id="rId103" Type="http://schemas.openxmlformats.org/officeDocument/2006/relationships/hyperlink" Target="https://soundcloud.com/goodmostlybad" TargetMode="External"/><Relationship Id="rId224" Type="http://schemas.openxmlformats.org/officeDocument/2006/relationships/hyperlink" Target="https://www.instagram.com/ayshvt/" TargetMode="External"/><Relationship Id="rId102" Type="http://schemas.openxmlformats.org/officeDocument/2006/relationships/hyperlink" Target="https://soundcloud.com/goodmostlybad" TargetMode="External"/><Relationship Id="rId223" Type="http://schemas.openxmlformats.org/officeDocument/2006/relationships/hyperlink" Target="https://soundcloud.com/nprithiv" TargetMode="External"/><Relationship Id="rId101" Type="http://schemas.openxmlformats.org/officeDocument/2006/relationships/hyperlink" Target="https://www.instagram.com/goodmostlybad__/" TargetMode="External"/><Relationship Id="rId222" Type="http://schemas.openxmlformats.org/officeDocument/2006/relationships/hyperlink" Target="https://www.mixcloud.com/rajahbetta" TargetMode="External"/><Relationship Id="rId100" Type="http://schemas.openxmlformats.org/officeDocument/2006/relationships/hyperlink" Target="https://soundcloud.com/cardamami" TargetMode="External"/><Relationship Id="rId221" Type="http://schemas.openxmlformats.org/officeDocument/2006/relationships/hyperlink" Target="https://soundcloud.com/rajahbetta" TargetMode="External"/><Relationship Id="rId217" Type="http://schemas.openxmlformats.org/officeDocument/2006/relationships/hyperlink" Target="http://instagram.com/vizanomusic" TargetMode="External"/><Relationship Id="rId216" Type="http://schemas.openxmlformats.org/officeDocument/2006/relationships/hyperlink" Target="https://soundcloud.com/dj-ninja" TargetMode="External"/><Relationship Id="rId215" Type="http://schemas.openxmlformats.org/officeDocument/2006/relationships/hyperlink" Target="https://www.linkedin.com/in/farah-nanji/" TargetMode="External"/><Relationship Id="rId214" Type="http://schemas.openxmlformats.org/officeDocument/2006/relationships/hyperlink" Target="https://www.tiktok.com/@dj_n1nja" TargetMode="External"/><Relationship Id="rId219" Type="http://schemas.openxmlformats.org/officeDocument/2006/relationships/hyperlink" Target="https://www.instagram.com/vizanomusic" TargetMode="External"/><Relationship Id="rId218" Type="http://schemas.openxmlformats.org/officeDocument/2006/relationships/hyperlink" Target="https://www.tiktok.com/@vizanomusic" TargetMode="External"/><Relationship Id="rId213" Type="http://schemas.openxmlformats.org/officeDocument/2006/relationships/hyperlink" Target="https://soundcloud.com/dj-ninja" TargetMode="External"/><Relationship Id="rId212" Type="http://schemas.openxmlformats.org/officeDocument/2006/relationships/hyperlink" Target="https://www.instagram.com/dj.n1nja/" TargetMode="External"/><Relationship Id="rId211" Type="http://schemas.openxmlformats.org/officeDocument/2006/relationships/hyperlink" Target="https://on.soundcloud.com/jTAD8913MSNJ8G4U6" TargetMode="External"/><Relationship Id="rId210" Type="http://schemas.openxmlformats.org/officeDocument/2006/relationships/hyperlink" Target="https://on.soundcloud.com/jTAD8913MSNJ8G4U6" TargetMode="External"/><Relationship Id="rId129" Type="http://schemas.openxmlformats.org/officeDocument/2006/relationships/hyperlink" Target="https://linktr.ee/elanvitaluk" TargetMode="External"/><Relationship Id="rId128" Type="http://schemas.openxmlformats.org/officeDocument/2006/relationships/hyperlink" Target="https://soundcloud.com/elanvitaluk" TargetMode="External"/><Relationship Id="rId249" Type="http://schemas.openxmlformats.org/officeDocument/2006/relationships/hyperlink" Target="https://www.youtube.com/watch?v=GumMd3SWz1c" TargetMode="External"/><Relationship Id="rId127" Type="http://schemas.openxmlformats.org/officeDocument/2006/relationships/hyperlink" Target="https://www.instagram.com/elanvitaluk/" TargetMode="External"/><Relationship Id="rId248" Type="http://schemas.openxmlformats.org/officeDocument/2006/relationships/hyperlink" Target="https://www.jordankjoseph.co.uk/" TargetMode="External"/><Relationship Id="rId126" Type="http://schemas.openxmlformats.org/officeDocument/2006/relationships/hyperlink" Target="https://www.mixcloud.com/jaytapesmusic/" TargetMode="External"/><Relationship Id="rId247" Type="http://schemas.openxmlformats.org/officeDocument/2006/relationships/hyperlink" Target="https://soundcloud.com/jordankjoseph" TargetMode="External"/><Relationship Id="rId121" Type="http://schemas.openxmlformats.org/officeDocument/2006/relationships/hyperlink" Target="https://soundcloud.com/orderly-room" TargetMode="External"/><Relationship Id="rId242" Type="http://schemas.openxmlformats.org/officeDocument/2006/relationships/hyperlink" Target="https://www.instagram.com/harmonoize?igsh=eHZ0MG05cnE0aWN4&amp;utm_source=qr" TargetMode="External"/><Relationship Id="rId120" Type="http://schemas.openxmlformats.org/officeDocument/2006/relationships/hyperlink" Target="https://soundcloud.com/orderly-room" TargetMode="External"/><Relationship Id="rId241" Type="http://schemas.openxmlformats.org/officeDocument/2006/relationships/hyperlink" Target="https://open.spotify.com/album/7maIEUpJPrIwuao0S26kav?si=HbtMtPECRfWLqe9bcrg6mQ" TargetMode="External"/><Relationship Id="rId240" Type="http://schemas.openxmlformats.org/officeDocument/2006/relationships/hyperlink" Target="https://soundcloud.com/sejalkargal/sets/dj-ej-mixes?si=7734cfa0fb37407db934d8741ab9bb4e&amp;utm_source=clipboard&amp;utm_medium=text&amp;utm_campaign=social_sharing" TargetMode="External"/><Relationship Id="rId125" Type="http://schemas.openxmlformats.org/officeDocument/2006/relationships/hyperlink" Target="https://linktr.ee/jaytapes" TargetMode="External"/><Relationship Id="rId246" Type="http://schemas.openxmlformats.org/officeDocument/2006/relationships/hyperlink" Target="https://www.mixcloud.com/harmonoize/harmonoize-mix-desi-blend-200225/" TargetMode="External"/><Relationship Id="rId124" Type="http://schemas.openxmlformats.org/officeDocument/2006/relationships/hyperlink" Target="https://www.tiktok.com/@jaytapes" TargetMode="External"/><Relationship Id="rId245" Type="http://schemas.openxmlformats.org/officeDocument/2006/relationships/hyperlink" Target="https://youtube.com/@harmonoizetv?si=aAF2MaGcnDDP_Gos" TargetMode="External"/><Relationship Id="rId123" Type="http://schemas.openxmlformats.org/officeDocument/2006/relationships/hyperlink" Target="https://soundcloud.com/jaytapes" TargetMode="External"/><Relationship Id="rId244" Type="http://schemas.openxmlformats.org/officeDocument/2006/relationships/hyperlink" Target="https://www.tiktok.com/@harmonoizetv?_t=ZN-8u6SYWoFbYU&amp;_r=1" TargetMode="External"/><Relationship Id="rId122" Type="http://schemas.openxmlformats.org/officeDocument/2006/relationships/hyperlink" Target="https://www.instagram.com/jay.tapes/" TargetMode="External"/><Relationship Id="rId243" Type="http://schemas.openxmlformats.org/officeDocument/2006/relationships/hyperlink" Target="https://on.soundcloud.com/bp6nVspvcZznuQ9s7" TargetMode="External"/><Relationship Id="rId95" Type="http://schemas.openxmlformats.org/officeDocument/2006/relationships/hyperlink" Target="https://www.instagram.com/fullmotiondisaster/" TargetMode="External"/><Relationship Id="rId94" Type="http://schemas.openxmlformats.org/officeDocument/2006/relationships/hyperlink" Target="https://soundcloud.com/clydebuiltradio/kai-kasper-7221" TargetMode="External"/><Relationship Id="rId97" Type="http://schemas.openxmlformats.org/officeDocument/2006/relationships/hyperlink" Target="https://soundcloud.com/full-motion-disaster" TargetMode="External"/><Relationship Id="rId96" Type="http://schemas.openxmlformats.org/officeDocument/2006/relationships/hyperlink" Target="https://soundcloud.com/full-motion-disaster" TargetMode="External"/><Relationship Id="rId99" Type="http://schemas.openxmlformats.org/officeDocument/2006/relationships/hyperlink" Target="https://soundcloud.com/cardamami" TargetMode="External"/><Relationship Id="rId98" Type="http://schemas.openxmlformats.org/officeDocument/2006/relationships/hyperlink" Target="https://www.instagram.com/djcardamami/" TargetMode="External"/><Relationship Id="rId91" Type="http://schemas.openxmlformats.org/officeDocument/2006/relationships/hyperlink" Target="http://www.instagram.com/gasingraised/" TargetMode="External"/><Relationship Id="rId90" Type="http://schemas.openxmlformats.org/officeDocument/2006/relationships/hyperlink" Target="https://linktr.ee/snad" TargetMode="External"/><Relationship Id="rId93" Type="http://schemas.openxmlformats.org/officeDocument/2006/relationships/hyperlink" Target="https://www.mixcloud.com/gasingraised/" TargetMode="External"/><Relationship Id="rId92" Type="http://schemas.openxmlformats.org/officeDocument/2006/relationships/hyperlink" Target="https://soundcloud.com/gasingraised" TargetMode="External"/><Relationship Id="rId118" Type="http://schemas.openxmlformats.org/officeDocument/2006/relationships/hyperlink" Target="https://soundcloud.app.goo.gl/jvRkYtRdQbaamWh8A" TargetMode="External"/><Relationship Id="rId239" Type="http://schemas.openxmlformats.org/officeDocument/2006/relationships/hyperlink" Target="https://soundcloud.com/arnav-singh-935815474/sets/mixes" TargetMode="External"/><Relationship Id="rId117" Type="http://schemas.openxmlformats.org/officeDocument/2006/relationships/hyperlink" Target="https://soundcloud.app.goo.gl/jvRkYtRdQbaamWh8A" TargetMode="External"/><Relationship Id="rId238" Type="http://schemas.openxmlformats.org/officeDocument/2006/relationships/hyperlink" Target="https://soundcloud.com/arnav-singh-935815474" TargetMode="External"/><Relationship Id="rId116" Type="http://schemas.openxmlformats.org/officeDocument/2006/relationships/hyperlink" Target="http://www.instagram.com/Nik.ghosty" TargetMode="External"/><Relationship Id="rId237" Type="http://schemas.openxmlformats.org/officeDocument/2006/relationships/hyperlink" Target="https://youtu.be/47M4wAP8430" TargetMode="External"/><Relationship Id="rId115" Type="http://schemas.openxmlformats.org/officeDocument/2006/relationships/hyperlink" Target="https://soundcloud.com/dushume" TargetMode="External"/><Relationship Id="rId236" Type="http://schemas.openxmlformats.org/officeDocument/2006/relationships/hyperlink" Target="https://maham-suhail.com/" TargetMode="External"/><Relationship Id="rId119" Type="http://schemas.openxmlformats.org/officeDocument/2006/relationships/hyperlink" Target="https://www.instagram.com/acertainknot/" TargetMode="External"/><Relationship Id="rId110" Type="http://schemas.openxmlformats.org/officeDocument/2006/relationships/hyperlink" Target="https://www.youtube.com/watch?v=JhsZSmVNGPw" TargetMode="External"/><Relationship Id="rId231" Type="http://schemas.openxmlformats.org/officeDocument/2006/relationships/hyperlink" Target="https://on.soundcloud.com/EGtt5tvTY8UL73nAA" TargetMode="External"/><Relationship Id="rId230" Type="http://schemas.openxmlformats.org/officeDocument/2006/relationships/hyperlink" Target="https://www.tiktok.com/@skippyselectss?_t=ZG-8slHpihfyKn&amp;_r=1" TargetMode="External"/><Relationship Id="rId114" Type="http://schemas.openxmlformats.org/officeDocument/2006/relationships/hyperlink" Target="https://soundcloud.com/dushume" TargetMode="External"/><Relationship Id="rId235" Type="http://schemas.openxmlformats.org/officeDocument/2006/relationships/hyperlink" Target="https://www.soundcloud.com/maham-s." TargetMode="External"/><Relationship Id="rId113" Type="http://schemas.openxmlformats.org/officeDocument/2006/relationships/hyperlink" Target="http://www.instagram.com/dushume" TargetMode="External"/><Relationship Id="rId234" Type="http://schemas.openxmlformats.org/officeDocument/2006/relationships/hyperlink" Target="https://soundcloud.com/rajahbetta" TargetMode="External"/><Relationship Id="rId112" Type="http://schemas.openxmlformats.org/officeDocument/2006/relationships/hyperlink" Target="https://linktr.ee/adnan1198?fbclid=IwAR1RFFnK-rK7SohrsOqfXMyTqflU4LM_MhHgXmHq3o3qZ4QmW9sHmiT9kKk" TargetMode="External"/><Relationship Id="rId233" Type="http://schemas.openxmlformats.org/officeDocument/2006/relationships/hyperlink" Target="https://www.instagram.com/rajahbetta/" TargetMode="External"/><Relationship Id="rId111" Type="http://schemas.openxmlformats.org/officeDocument/2006/relationships/hyperlink" Target="https://soundcloud.com/daytimers_uk/adnan-afghani-disoriented-rhythms" TargetMode="External"/><Relationship Id="rId232" Type="http://schemas.openxmlformats.org/officeDocument/2006/relationships/hyperlink" Target="https://www.tiktok.com/@aalia.farah?_t=ZG-8syzxqQ3Zx2&amp;_r=1" TargetMode="External"/><Relationship Id="rId206" Type="http://schemas.openxmlformats.org/officeDocument/2006/relationships/hyperlink" Target="https://soundcloud.com/user-561233895" TargetMode="External"/><Relationship Id="rId205" Type="http://schemas.openxmlformats.org/officeDocument/2006/relationships/hyperlink" Target="https://www.instagram.com/sofia.aneesa.gillani/" TargetMode="External"/><Relationship Id="rId204" Type="http://schemas.openxmlformats.org/officeDocument/2006/relationships/hyperlink" Target="https://www.tiktok.com/@tusharmusicaus" TargetMode="External"/><Relationship Id="rId203" Type="http://schemas.openxmlformats.org/officeDocument/2006/relationships/hyperlink" Target="https://soundcloud.com/tusharaus" TargetMode="External"/><Relationship Id="rId209" Type="http://schemas.openxmlformats.org/officeDocument/2006/relationships/hyperlink" Target="https://on.soundcloud.com/pKrr9zyaFQy2W7j97" TargetMode="External"/><Relationship Id="rId208" Type="http://schemas.openxmlformats.org/officeDocument/2006/relationships/hyperlink" Target="https://on.soundcloud.com/pKrr9zyaFQy2W7j97" TargetMode="External"/><Relationship Id="rId207" Type="http://schemas.openxmlformats.org/officeDocument/2006/relationships/hyperlink" Target="https://m.youtube.com/@sofiagillani1198" TargetMode="External"/><Relationship Id="rId202" Type="http://schemas.openxmlformats.org/officeDocument/2006/relationships/hyperlink" Target="https://www.instagram.com/tusharmusicaus/" TargetMode="External"/><Relationship Id="rId201" Type="http://schemas.openxmlformats.org/officeDocument/2006/relationships/hyperlink" Target="https://www.tiktok.com/musicbynush" TargetMode="External"/><Relationship Id="rId200" Type="http://schemas.openxmlformats.org/officeDocument/2006/relationships/hyperlink" Target="https://www.soundcloud.com/musicbynu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7.13"/>
    <col customWidth="1" min="3" max="3" width="13.13"/>
    <col customWidth="1" min="4" max="4" width="8.88"/>
    <col customWidth="1" min="5" max="5" width="8.25"/>
    <col customWidth="1" min="6" max="6" width="8.63"/>
    <col customWidth="1" min="7" max="7" width="9.38"/>
    <col customWidth="1" min="8" max="8" width="11.13"/>
    <col customWidth="1" min="9" max="9" width="25.25"/>
    <col customWidth="1" min="10" max="10" width="17.0"/>
    <col customWidth="1" min="11" max="11" width="14.25"/>
    <col customWidth="1" min="12" max="12" width="16.25"/>
    <col customWidth="1" min="13" max="13" width="25.88"/>
    <col customWidth="1" min="14" max="14" width="20.88"/>
    <col customWidth="1" min="15" max="15" width="12.75"/>
    <col customWidth="1" min="16" max="16" width="11.38"/>
    <col customWidth="1" min="17" max="17" width="42.0"/>
    <col customWidth="1" min="18" max="18" width="9.88"/>
    <col customWidth="1" min="19" max="19" width="12.13"/>
    <col customWidth="1" min="20" max="20" width="9.88"/>
  </cols>
  <sheetData>
    <row r="1">
      <c r="A1" s="3" t="s">
        <v>1</v>
      </c>
      <c r="B1" s="5" t="s">
        <v>2</v>
      </c>
      <c r="C1" s="8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12</v>
      </c>
      <c r="K1" s="9" t="s">
        <v>13</v>
      </c>
      <c r="L1" s="13" t="s">
        <v>15</v>
      </c>
      <c r="M1" s="13" t="s">
        <v>16</v>
      </c>
      <c r="N1" s="13" t="s">
        <v>17</v>
      </c>
      <c r="O1" s="13" t="s">
        <v>18</v>
      </c>
      <c r="P1" s="15" t="s">
        <v>19</v>
      </c>
      <c r="Q1" s="13" t="s">
        <v>22</v>
      </c>
      <c r="R1" s="13" t="s">
        <v>23</v>
      </c>
      <c r="S1" s="13" t="s">
        <v>24</v>
      </c>
      <c r="T1" s="13" t="s">
        <v>25</v>
      </c>
      <c r="U1" s="13" t="s">
        <v>26</v>
      </c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9">
        <v>202.0</v>
      </c>
      <c r="B2" s="21" t="s">
        <v>29</v>
      </c>
      <c r="C2" s="21" t="s">
        <v>30</v>
      </c>
      <c r="D2" s="19" t="s">
        <v>31</v>
      </c>
      <c r="E2" s="19"/>
      <c r="F2" s="19" t="s">
        <v>14</v>
      </c>
      <c r="G2" s="22"/>
      <c r="H2" s="19" t="s">
        <v>32</v>
      </c>
      <c r="I2" s="19" t="s">
        <v>33</v>
      </c>
      <c r="J2" s="19" t="s">
        <v>34</v>
      </c>
      <c r="K2" s="23" t="s">
        <v>35</v>
      </c>
      <c r="L2" s="24"/>
      <c r="M2" s="24"/>
      <c r="N2" s="24"/>
      <c r="O2" s="25" t="s">
        <v>36</v>
      </c>
      <c r="P2" s="35">
        <f t="array" ref="P2">MAX(IF($A2='Booking Responses'!F:F,'Booking Responses'!D:D))</f>
        <v>45248</v>
      </c>
      <c r="Q2" s="36" t="str">
        <f t="array" ref="Q2">INDEX('Booking Responses'!C:C,MATCH(1,('Booking Responses'!F:F=A2)*('Booking Responses'!D:D=P2),0))</f>
        <v>Warehouse Project 2023</v>
      </c>
      <c r="R2" s="36">
        <f>COUNTIFS('Booking Responses'!F:F,"="&amp;A2,'Booking Responses'!E:E,"Small*")</f>
        <v>0</v>
      </c>
      <c r="S2" s="36">
        <f>COUNTIFS('Booking Responses'!F:F,"="&amp;A2,'Booking Responses'!E:E,"Medium*")</f>
        <v>2</v>
      </c>
      <c r="T2" s="36">
        <f>COUNTIFS('Booking Responses'!F:F,"="&amp;A2,'Booking Responses'!E:E,"Large*")</f>
        <v>3</v>
      </c>
      <c r="U2" s="37">
        <f t="shared" ref="U2:U222" si="1">SUM((R2)+(S2*2)+(T2*3))</f>
        <v>13</v>
      </c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>
      <c r="A3" s="38">
        <v>203.0</v>
      </c>
      <c r="B3" s="39" t="s">
        <v>37</v>
      </c>
      <c r="C3" s="39" t="s">
        <v>38</v>
      </c>
      <c r="D3" s="38" t="s">
        <v>39</v>
      </c>
      <c r="E3" s="38"/>
      <c r="F3" s="38" t="s">
        <v>40</v>
      </c>
      <c r="G3" s="40"/>
      <c r="H3" s="38" t="s">
        <v>21</v>
      </c>
      <c r="I3" s="38" t="s">
        <v>41</v>
      </c>
      <c r="J3" s="38" t="s">
        <v>42</v>
      </c>
      <c r="K3" s="41" t="s">
        <v>43</v>
      </c>
      <c r="L3" s="42"/>
      <c r="M3" s="43"/>
      <c r="N3" s="42"/>
      <c r="O3" s="43" t="s">
        <v>44</v>
      </c>
      <c r="P3" s="44">
        <f t="array" ref="P3">MAX(IF($A3='Booking Responses'!F:F,'Booking Responses'!D:D))</f>
        <v>45044</v>
      </c>
      <c r="Q3" s="45" t="str">
        <f t="array" ref="Q3">INDEX('Booking Responses'!C:C,MATCH(1,('Booking Responses'!F:F=A3)*('Booking Responses'!D:D=P3),0))</f>
        <v>The Cause Free Party</v>
      </c>
      <c r="R3" s="45">
        <f>COUNTIFS('Booking Responses'!F:F,"="&amp;A3,'Booking Responses'!E:E,"Small*")</f>
        <v>0</v>
      </c>
      <c r="S3" s="45">
        <f>COUNTIFS('Booking Responses'!F:F,"="&amp;A3,'Booking Responses'!E:E,"Medium*")</f>
        <v>2</v>
      </c>
      <c r="T3" s="45">
        <f>COUNTIFS('Booking Responses'!F:F,"="&amp;A3,'Booking Responses'!E:E,"Large*")</f>
        <v>0</v>
      </c>
      <c r="U3" s="42">
        <f t="shared" si="1"/>
        <v>4</v>
      </c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>
      <c r="A4" s="19">
        <v>205.0</v>
      </c>
      <c r="B4" s="21" t="s">
        <v>45</v>
      </c>
      <c r="C4" s="21" t="s">
        <v>45</v>
      </c>
      <c r="D4" s="19"/>
      <c r="E4" s="19"/>
      <c r="F4" s="19" t="s">
        <v>46</v>
      </c>
      <c r="G4" s="19"/>
      <c r="H4" s="19" t="s">
        <v>32</v>
      </c>
      <c r="I4" s="19" t="s">
        <v>47</v>
      </c>
      <c r="J4" s="19" t="s">
        <v>48</v>
      </c>
      <c r="K4" s="25" t="s">
        <v>49</v>
      </c>
      <c r="L4" s="25" t="s">
        <v>50</v>
      </c>
      <c r="M4" s="37"/>
      <c r="N4" s="37"/>
      <c r="O4" s="25" t="s">
        <v>51</v>
      </c>
      <c r="P4" s="35">
        <f t="array" ref="P4">MAX(IF($A4='Booking Responses'!F:F,'Booking Responses'!D:D))</f>
        <v>45205</v>
      </c>
      <c r="Q4" s="36" t="str">
        <f t="array" ref="Q4">INDEX('Booking Responses'!C:C,MATCH(1,('Booking Responses'!F:F=A4)*('Booking Responses'!D:D=P4),0))</f>
        <v>Science Gallery London: Machine Mythologies Oct 2023</v>
      </c>
      <c r="R4" s="36">
        <f>COUNTIFS('Booking Responses'!F:F,"="&amp;A4,'Booking Responses'!E:E,"Small*")</f>
        <v>1</v>
      </c>
      <c r="S4" s="36">
        <f>COUNTIFS('Booking Responses'!F:F,"="&amp;A4,'Booking Responses'!E:E,"Medium*")</f>
        <v>0</v>
      </c>
      <c r="T4" s="36">
        <f>COUNTIFS('Booking Responses'!F:F,"="&amp;A4,'Booking Responses'!E:E,"Large*")</f>
        <v>0</v>
      </c>
      <c r="U4" s="37">
        <f t="shared" si="1"/>
        <v>1</v>
      </c>
      <c r="V4" s="37"/>
      <c r="W4" s="37"/>
      <c r="X4" s="37"/>
      <c r="Y4" s="37"/>
      <c r="Z4" s="37"/>
      <c r="AA4" s="37"/>
      <c r="AB4" s="37"/>
      <c r="AC4" s="37"/>
      <c r="AD4" s="37"/>
      <c r="AE4" s="37"/>
    </row>
    <row r="5">
      <c r="A5" s="38">
        <v>206.0</v>
      </c>
      <c r="B5" s="39" t="s">
        <v>52</v>
      </c>
      <c r="C5" s="39" t="s">
        <v>52</v>
      </c>
      <c r="D5" s="38"/>
      <c r="E5" s="38"/>
      <c r="F5" s="38" t="s">
        <v>14</v>
      </c>
      <c r="G5" s="38"/>
      <c r="H5" s="38" t="s">
        <v>21</v>
      </c>
      <c r="I5" s="38" t="s">
        <v>53</v>
      </c>
      <c r="J5" s="38" t="s">
        <v>54</v>
      </c>
      <c r="K5" s="46" t="s">
        <v>55</v>
      </c>
      <c r="L5" s="46" t="s">
        <v>56</v>
      </c>
      <c r="M5" s="42"/>
      <c r="N5" s="42"/>
      <c r="O5" s="46" t="s">
        <v>57</v>
      </c>
      <c r="P5" s="44">
        <f t="array" ref="P5">MAX(IF($A5='Booking Responses'!F:F,'Booking Responses'!D:D))</f>
        <v>45395</v>
      </c>
      <c r="Q5" s="45" t="str">
        <f t="array" ref="Q5">INDEX('Booking Responses'!C:C,MATCH(1,('Booking Responses'!F:F=A5)*('Booking Responses'!D:D=P5),0))</f>
        <v>DAYTIMERS BERLIN</v>
      </c>
      <c r="R5" s="45">
        <f>COUNTIFS('Booking Responses'!F:F,"="&amp;A5,'Booking Responses'!E:E,"Small*")</f>
        <v>0</v>
      </c>
      <c r="S5" s="45">
        <f>COUNTIFS('Booking Responses'!F:F,"="&amp;A5,'Booking Responses'!E:E,"Medium*")</f>
        <v>4</v>
      </c>
      <c r="T5" s="45">
        <f>COUNTIFS('Booking Responses'!F:F,"="&amp;A5,'Booking Responses'!E:E,"Large*")</f>
        <v>2</v>
      </c>
      <c r="U5" s="42">
        <f t="shared" si="1"/>
        <v>14</v>
      </c>
      <c r="V5" s="42"/>
      <c r="W5" s="42"/>
      <c r="X5" s="42"/>
      <c r="Y5" s="42"/>
      <c r="Z5" s="42"/>
      <c r="AA5" s="42"/>
      <c r="AB5" s="42"/>
      <c r="AC5" s="42"/>
      <c r="AD5" s="42"/>
      <c r="AE5" s="42"/>
    </row>
    <row r="6">
      <c r="A6" s="19">
        <v>207.0</v>
      </c>
      <c r="B6" s="21" t="s">
        <v>58</v>
      </c>
      <c r="C6" s="21" t="s">
        <v>59</v>
      </c>
      <c r="D6" s="19"/>
      <c r="E6" s="19"/>
      <c r="F6" s="19" t="s">
        <v>14</v>
      </c>
      <c r="G6" s="19"/>
      <c r="H6" s="19" t="s">
        <v>32</v>
      </c>
      <c r="I6" s="19" t="s">
        <v>60</v>
      </c>
      <c r="J6" s="19" t="s">
        <v>61</v>
      </c>
      <c r="K6" s="24"/>
      <c r="L6" s="25" t="s">
        <v>62</v>
      </c>
      <c r="M6" s="37"/>
      <c r="N6" s="37"/>
      <c r="O6" s="25" t="s">
        <v>63</v>
      </c>
      <c r="P6" s="35">
        <f t="array" ref="P6">MAX(IF($A6='Booking Responses'!F:F,'Booking Responses'!D:D))</f>
        <v>0</v>
      </c>
      <c r="Q6" s="36" t="str">
        <f t="array" ref="Q6">INDEX('Booking Responses'!C:C,MATCH(1,('Booking Responses'!F:F=A6)*('Booking Responses'!D:D=P6),0))</f>
        <v>#N/A</v>
      </c>
      <c r="R6" s="36">
        <f>COUNTIFS('Booking Responses'!F:F,"="&amp;A6,'Booking Responses'!E:E,"Small*")</f>
        <v>0</v>
      </c>
      <c r="S6" s="36">
        <f>COUNTIFS('Booking Responses'!F:F,"="&amp;A6,'Booking Responses'!E:E,"Medium*")</f>
        <v>0</v>
      </c>
      <c r="T6" s="36">
        <f>COUNTIFS('Booking Responses'!F:F,"="&amp;A6,'Booking Responses'!E:E,"Large*")</f>
        <v>0</v>
      </c>
      <c r="U6" s="37">
        <f t="shared" si="1"/>
        <v>0</v>
      </c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>
      <c r="A7" s="38">
        <v>208.0</v>
      </c>
      <c r="B7" s="39" t="s">
        <v>64</v>
      </c>
      <c r="C7" s="39" t="s">
        <v>65</v>
      </c>
      <c r="D7" s="38"/>
      <c r="E7" s="38"/>
      <c r="F7" s="38" t="s">
        <v>66</v>
      </c>
      <c r="G7" s="38"/>
      <c r="H7" s="38" t="s">
        <v>21</v>
      </c>
      <c r="I7" s="38" t="s">
        <v>67</v>
      </c>
      <c r="J7" s="38" t="s">
        <v>68</v>
      </c>
      <c r="K7" s="46" t="s">
        <v>69</v>
      </c>
      <c r="L7" s="46" t="s">
        <v>70</v>
      </c>
      <c r="M7" s="42"/>
      <c r="N7" s="42"/>
      <c r="O7" s="46" t="s">
        <v>71</v>
      </c>
      <c r="P7" s="44">
        <f t="array" ref="P7">MAX(IF($A7='Booking Responses'!F:F,'Booking Responses'!D:D))</f>
        <v>45178</v>
      </c>
      <c r="Q7" s="45" t="str">
        <f t="array" ref="Q7">INDEX('Booking Responses'!C:C,MATCH(1,('Booking Responses'!F:F=A7)*('Booking Responses'!D:D=P7),0))</f>
        <v>Panjabi MC x Apache Indian: Fox and Firkin 2023</v>
      </c>
      <c r="R7" s="45">
        <f>COUNTIFS('Booking Responses'!F:F,"="&amp;A7,'Booking Responses'!E:E,"Small*")</f>
        <v>0</v>
      </c>
      <c r="S7" s="45">
        <f>COUNTIFS('Booking Responses'!F:F,"="&amp;A7,'Booking Responses'!E:E,"Medium*")</f>
        <v>2</v>
      </c>
      <c r="T7" s="45">
        <f>COUNTIFS('Booking Responses'!F:F,"="&amp;A7,'Booking Responses'!E:E,"Large*")</f>
        <v>1</v>
      </c>
      <c r="U7" s="42">
        <f t="shared" si="1"/>
        <v>7</v>
      </c>
      <c r="V7" s="42"/>
      <c r="W7" s="42"/>
      <c r="X7" s="42"/>
      <c r="Y7" s="42"/>
      <c r="Z7" s="42"/>
      <c r="AA7" s="42"/>
      <c r="AB7" s="42"/>
      <c r="AC7" s="42"/>
      <c r="AD7" s="42"/>
      <c r="AE7" s="42"/>
    </row>
    <row r="8">
      <c r="A8" s="19">
        <v>209.0</v>
      </c>
      <c r="B8" s="21" t="s">
        <v>72</v>
      </c>
      <c r="C8" s="21" t="s">
        <v>73</v>
      </c>
      <c r="D8" s="19"/>
      <c r="E8" s="19"/>
      <c r="F8" s="19" t="s">
        <v>14</v>
      </c>
      <c r="G8" s="19"/>
      <c r="H8" s="19" t="s">
        <v>21</v>
      </c>
      <c r="I8" s="19" t="s">
        <v>74</v>
      </c>
      <c r="J8" s="19" t="s">
        <v>75</v>
      </c>
      <c r="K8" s="25" t="s">
        <v>76</v>
      </c>
      <c r="L8" s="25" t="s">
        <v>77</v>
      </c>
      <c r="M8" s="37"/>
      <c r="N8" s="37"/>
      <c r="O8" s="25" t="s">
        <v>78</v>
      </c>
      <c r="P8" s="35">
        <f t="array" ref="P8">MAX(IF($A8='Booking Responses'!F:F,'Booking Responses'!D:D))</f>
        <v>45098</v>
      </c>
      <c r="Q8" s="36" t="str">
        <f t="array" ref="Q8">INDEX('Booking Responses'!C:C,MATCH(1,('Booking Responses'!F:F=A8)*('Booking Responses'!D:D=P8),0))</f>
        <v>Glasto 2023</v>
      </c>
      <c r="R8" s="36">
        <f>COUNTIFS('Booking Responses'!F:F,"="&amp;A8,'Booking Responses'!E:E,"Small*")</f>
        <v>0</v>
      </c>
      <c r="S8" s="36">
        <f>COUNTIFS('Booking Responses'!F:F,"="&amp;A8,'Booking Responses'!E:E,"Medium*")</f>
        <v>2</v>
      </c>
      <c r="T8" s="36">
        <f>COUNTIFS('Booking Responses'!F:F,"="&amp;A8,'Booking Responses'!E:E,"Large*")</f>
        <v>2</v>
      </c>
      <c r="U8" s="37">
        <f t="shared" si="1"/>
        <v>10</v>
      </c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>
      <c r="A9" s="38">
        <v>210.0</v>
      </c>
      <c r="B9" s="39" t="s">
        <v>82</v>
      </c>
      <c r="C9" s="39" t="s">
        <v>83</v>
      </c>
      <c r="D9" s="38"/>
      <c r="E9" s="38"/>
      <c r="F9" s="38" t="s">
        <v>14</v>
      </c>
      <c r="G9" s="38"/>
      <c r="H9" s="38" t="s">
        <v>21</v>
      </c>
      <c r="I9" s="38" t="s">
        <v>84</v>
      </c>
      <c r="J9" s="38" t="s">
        <v>85</v>
      </c>
      <c r="K9" s="46" t="s">
        <v>86</v>
      </c>
      <c r="L9" s="46" t="s">
        <v>87</v>
      </c>
      <c r="M9" s="42"/>
      <c r="N9" s="42"/>
      <c r="O9" s="46" t="s">
        <v>88</v>
      </c>
      <c r="P9" s="44">
        <f t="array" ref="P9">MAX(IF($A9='Booking Responses'!F:F,'Booking Responses'!D:D))</f>
        <v>45149</v>
      </c>
      <c r="Q9" s="45" t="str">
        <f t="array" ref="Q9">INDEX('Booking Responses'!C:C,MATCH(1,('Booking Responses'!F:F=A9)*('Booking Responses'!D:D=P9),0))</f>
        <v>Dhaga Arts 2023</v>
      </c>
      <c r="R9" s="45">
        <f>COUNTIFS('Booking Responses'!F:F,"="&amp;A9,'Booking Responses'!E:E,"Small*")</f>
        <v>1</v>
      </c>
      <c r="S9" s="45">
        <f>COUNTIFS('Booking Responses'!F:F,"="&amp;A9,'Booking Responses'!E:E,"Medium*")</f>
        <v>2</v>
      </c>
      <c r="T9" s="45">
        <f>COUNTIFS('Booking Responses'!F:F,"="&amp;A9,'Booking Responses'!E:E,"Large*")</f>
        <v>1</v>
      </c>
      <c r="U9" s="42">
        <f t="shared" si="1"/>
        <v>8</v>
      </c>
      <c r="V9" s="42"/>
      <c r="W9" s="42"/>
      <c r="X9" s="42"/>
      <c r="Y9" s="42"/>
      <c r="Z9" s="42"/>
      <c r="AA9" s="42"/>
      <c r="AB9" s="42"/>
      <c r="AC9" s="42"/>
      <c r="AD9" s="42"/>
      <c r="AE9" s="42"/>
    </row>
    <row r="10">
      <c r="A10" s="19">
        <v>211.0</v>
      </c>
      <c r="B10" s="21" t="s">
        <v>89</v>
      </c>
      <c r="C10" s="21" t="s">
        <v>90</v>
      </c>
      <c r="D10" s="19"/>
      <c r="E10" s="19"/>
      <c r="F10" s="19" t="s">
        <v>14</v>
      </c>
      <c r="G10" s="19"/>
      <c r="H10" s="19" t="s">
        <v>21</v>
      </c>
      <c r="I10" s="19" t="s">
        <v>91</v>
      </c>
      <c r="J10" s="19" t="s">
        <v>92</v>
      </c>
      <c r="K10" s="25" t="s">
        <v>93</v>
      </c>
      <c r="L10" s="25" t="s">
        <v>94</v>
      </c>
      <c r="M10" s="37"/>
      <c r="N10" s="37"/>
      <c r="O10" s="25" t="s">
        <v>95</v>
      </c>
      <c r="P10" s="35">
        <f t="array" ref="P10">MAX(IF($A10='Booking Responses'!F:F,'Booking Responses'!D:D))</f>
        <v>45395</v>
      </c>
      <c r="Q10" s="36" t="str">
        <f t="array" ref="Q10">INDEX('Booking Responses'!C:C,MATCH(1,('Booking Responses'!F:F=A10)*('Booking Responses'!D:D=P10),0))</f>
        <v>DAYTIMERS BERLIN</v>
      </c>
      <c r="R10" s="36">
        <f>COUNTIFS('Booking Responses'!F:F,"="&amp;A10,'Booking Responses'!E:E,"Small*")</f>
        <v>0</v>
      </c>
      <c r="S10" s="36">
        <f>COUNTIFS('Booking Responses'!F:F,"="&amp;A10,'Booking Responses'!E:E,"Medium*")</f>
        <v>5</v>
      </c>
      <c r="T10" s="36">
        <f>COUNTIFS('Booking Responses'!F:F,"="&amp;A10,'Booking Responses'!E:E,"Large*")</f>
        <v>1</v>
      </c>
      <c r="U10" s="37">
        <f t="shared" si="1"/>
        <v>13</v>
      </c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>
      <c r="A11" s="38">
        <v>212.0</v>
      </c>
      <c r="B11" s="39" t="s">
        <v>96</v>
      </c>
      <c r="C11" s="39" t="s">
        <v>96</v>
      </c>
      <c r="D11" s="38"/>
      <c r="E11" s="38"/>
      <c r="F11" s="38" t="s">
        <v>14</v>
      </c>
      <c r="G11" s="38"/>
      <c r="H11" s="38" t="s">
        <v>21</v>
      </c>
      <c r="I11" s="38" t="s">
        <v>97</v>
      </c>
      <c r="J11" s="38" t="s">
        <v>98</v>
      </c>
      <c r="K11" s="46" t="s">
        <v>99</v>
      </c>
      <c r="L11" s="46" t="s">
        <v>101</v>
      </c>
      <c r="M11" s="42"/>
      <c r="N11" s="42"/>
      <c r="O11" s="46" t="s">
        <v>102</v>
      </c>
      <c r="P11" s="44">
        <f t="array" ref="P11">MAX(IF($A11='Booking Responses'!F:F,'Booking Responses'!D:D))</f>
        <v>44413</v>
      </c>
      <c r="Q11" s="45" t="str">
        <f t="array" ref="Q11">INDEX('Booking Responses'!C:C,MATCH(1,('Booking Responses'!F:F=A11)*('Booking Responses'!D:D=P11),0))</f>
        <v>Boiler Room</v>
      </c>
      <c r="R11" s="45">
        <f>COUNTIFS('Booking Responses'!F:F,"="&amp;A11,'Booking Responses'!E:E,"Small*")</f>
        <v>0</v>
      </c>
      <c r="S11" s="45">
        <f>COUNTIFS('Booking Responses'!F:F,"="&amp;A11,'Booking Responses'!E:E,"Medium*")</f>
        <v>1</v>
      </c>
      <c r="T11" s="45">
        <f>COUNTIFS('Booking Responses'!F:F,"="&amp;A11,'Booking Responses'!E:E,"Large*")</f>
        <v>2</v>
      </c>
      <c r="U11" s="42">
        <f t="shared" si="1"/>
        <v>8</v>
      </c>
      <c r="V11" s="42"/>
      <c r="W11" s="42"/>
      <c r="X11" s="42"/>
      <c r="Y11" s="42"/>
      <c r="Z11" s="42"/>
      <c r="AA11" s="42"/>
      <c r="AB11" s="42"/>
      <c r="AC11" s="42"/>
      <c r="AD11" s="42"/>
      <c r="AE11" s="42"/>
    </row>
    <row r="12">
      <c r="A12" s="19">
        <v>213.0</v>
      </c>
      <c r="B12" s="21" t="s">
        <v>103</v>
      </c>
      <c r="C12" s="21" t="s">
        <v>104</v>
      </c>
      <c r="D12" s="19"/>
      <c r="E12" s="19"/>
      <c r="F12" s="19" t="s">
        <v>14</v>
      </c>
      <c r="G12" s="19"/>
      <c r="H12" s="19" t="s">
        <v>21</v>
      </c>
      <c r="I12" s="19" t="s">
        <v>105</v>
      </c>
      <c r="J12" s="19" t="s">
        <v>106</v>
      </c>
      <c r="K12" s="25" t="s">
        <v>107</v>
      </c>
      <c r="L12" s="25" t="s">
        <v>108</v>
      </c>
      <c r="M12" s="37"/>
      <c r="N12" s="37"/>
      <c r="O12" s="25" t="s">
        <v>109</v>
      </c>
      <c r="P12" s="35">
        <f t="array" ref="P12">MAX(IF($A12='Booking Responses'!F:F,'Booking Responses'!D:D))</f>
        <v>44701</v>
      </c>
      <c r="Q12" s="36" t="str">
        <f t="array" ref="Q12">INDEX('Booking Responses'!C:C,MATCH(1,('Booking Responses'!F:F=A12)*('Booking Responses'!D:D=P12),0))</f>
        <v>Corsica Studios: 20/05/2022</v>
      </c>
      <c r="R12" s="36">
        <f>COUNTIFS('Booking Responses'!F:F,"="&amp;A12,'Booking Responses'!E:E,"Small*")</f>
        <v>0</v>
      </c>
      <c r="S12" s="36">
        <f>COUNTIFS('Booking Responses'!F:F,"="&amp;A12,'Booking Responses'!E:E,"Medium*")</f>
        <v>1</v>
      </c>
      <c r="T12" s="36">
        <f>COUNTIFS('Booking Responses'!F:F,"="&amp;A12,'Booking Responses'!E:E,"Large*")</f>
        <v>0</v>
      </c>
      <c r="U12" s="37">
        <f t="shared" si="1"/>
        <v>2</v>
      </c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>
      <c r="A13" s="38">
        <v>214.0</v>
      </c>
      <c r="B13" s="39" t="s">
        <v>110</v>
      </c>
      <c r="C13" s="39" t="s">
        <v>111</v>
      </c>
      <c r="D13" s="38"/>
      <c r="E13" s="38"/>
      <c r="F13" s="38" t="s">
        <v>112</v>
      </c>
      <c r="G13" s="38"/>
      <c r="H13" s="38" t="s">
        <v>21</v>
      </c>
      <c r="I13" s="38" t="s">
        <v>113</v>
      </c>
      <c r="J13" s="38" t="s">
        <v>114</v>
      </c>
      <c r="K13" s="46" t="s">
        <v>115</v>
      </c>
      <c r="L13" s="46" t="s">
        <v>116</v>
      </c>
      <c r="M13" s="42"/>
      <c r="N13" s="42"/>
      <c r="O13" s="46" t="s">
        <v>117</v>
      </c>
      <c r="P13" s="44">
        <f t="array" ref="P13">MAX(IF($A13='Booking Responses'!F:F,'Booking Responses'!D:D))</f>
        <v>44646</v>
      </c>
      <c r="Q13" s="45" t="str">
        <f t="array" ref="Q13">INDEX('Booking Responses'!C:C,MATCH(1,('Booking Responses'!F:F=A13)*('Booking Responses'!D:D=P13),0))</f>
        <v>Rich Mix: London Remixed Festival</v>
      </c>
      <c r="R13" s="45">
        <f>COUNTIFS('Booking Responses'!F:F,"="&amp;A13,'Booking Responses'!E:E,"Small*")</f>
        <v>0</v>
      </c>
      <c r="S13" s="45">
        <f>COUNTIFS('Booking Responses'!F:F,"="&amp;A13,'Booking Responses'!E:E,"Medium*")</f>
        <v>3</v>
      </c>
      <c r="T13" s="45">
        <f>COUNTIFS('Booking Responses'!F:F,"="&amp;A13,'Booking Responses'!E:E,"Large*")</f>
        <v>0</v>
      </c>
      <c r="U13" s="42">
        <f t="shared" si="1"/>
        <v>6</v>
      </c>
      <c r="V13" s="42"/>
      <c r="W13" s="42"/>
      <c r="X13" s="42"/>
      <c r="Y13" s="42"/>
      <c r="Z13" s="42"/>
      <c r="AA13" s="42"/>
      <c r="AB13" s="42"/>
      <c r="AC13" s="42"/>
      <c r="AD13" s="42"/>
      <c r="AE13" s="42"/>
    </row>
    <row r="14">
      <c r="A14" s="19">
        <v>215.0</v>
      </c>
      <c r="B14" s="21" t="s">
        <v>120</v>
      </c>
      <c r="C14" s="21" t="s">
        <v>121</v>
      </c>
      <c r="D14" s="19"/>
      <c r="E14" s="19"/>
      <c r="F14" s="19" t="s">
        <v>122</v>
      </c>
      <c r="G14" s="19"/>
      <c r="H14" s="19" t="s">
        <v>21</v>
      </c>
      <c r="I14" s="19" t="s">
        <v>123</v>
      </c>
      <c r="J14" s="19" t="s">
        <v>124</v>
      </c>
      <c r="K14" s="25" t="s">
        <v>125</v>
      </c>
      <c r="L14" s="25" t="s">
        <v>126</v>
      </c>
      <c r="M14" s="25" t="s">
        <v>127</v>
      </c>
      <c r="N14" s="37"/>
      <c r="O14" s="25" t="s">
        <v>128</v>
      </c>
      <c r="P14" s="35">
        <f t="array" ref="P14">MAX(IF($A14='Booking Responses'!F:F,'Booking Responses'!D:D))</f>
        <v>44805</v>
      </c>
      <c r="Q14" s="36" t="str">
        <f t="array" ref="Q14">INDEX('Booking Responses'!C:C,MATCH(1,('Booking Responses'!F:F=A14)*('Booking Responses'!D:D=P14),0))</f>
        <v>Ministry of Sound 2022</v>
      </c>
      <c r="R14" s="36">
        <f>COUNTIFS('Booking Responses'!F:F,"="&amp;A14,'Booking Responses'!E:E,"Small*")</f>
        <v>0</v>
      </c>
      <c r="S14" s="36">
        <f>COUNTIFS('Booking Responses'!F:F,"="&amp;A14,'Booking Responses'!E:E,"Medium*")</f>
        <v>1</v>
      </c>
      <c r="T14" s="36">
        <f>COUNTIFS('Booking Responses'!F:F,"="&amp;A14,'Booking Responses'!E:E,"Large*")</f>
        <v>0</v>
      </c>
      <c r="U14" s="37">
        <f t="shared" si="1"/>
        <v>2</v>
      </c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>
      <c r="A15" s="38">
        <v>216.0</v>
      </c>
      <c r="B15" s="39" t="s">
        <v>129</v>
      </c>
      <c r="C15" s="39" t="s">
        <v>129</v>
      </c>
      <c r="D15" s="38"/>
      <c r="E15" s="38"/>
      <c r="F15" s="38" t="s">
        <v>14</v>
      </c>
      <c r="G15" s="38"/>
      <c r="H15" s="38" t="s">
        <v>21</v>
      </c>
      <c r="I15" s="38" t="s">
        <v>130</v>
      </c>
      <c r="J15" s="38" t="s">
        <v>131</v>
      </c>
      <c r="K15" s="46" t="s">
        <v>132</v>
      </c>
      <c r="L15" s="46" t="s">
        <v>133</v>
      </c>
      <c r="M15" s="42"/>
      <c r="N15" s="42"/>
      <c r="O15" s="46" t="s">
        <v>134</v>
      </c>
      <c r="P15" s="44">
        <f t="array" ref="P15">MAX(IF($A15='Booking Responses'!F:F,'Booking Responses'!D:D))</f>
        <v>45072</v>
      </c>
      <c r="Q15" s="45" t="str">
        <f t="array" ref="Q15">INDEX('Booking Responses'!C:C,MATCH(1,('Booking Responses'!F:F=A15)*('Booking Responses'!D:D=P15),0))</f>
        <v>Jazz Cafe</v>
      </c>
      <c r="R15" s="45">
        <f>COUNTIFS('Booking Responses'!F:F,"="&amp;A15,'Booking Responses'!E:E,"Small*")</f>
        <v>1</v>
      </c>
      <c r="S15" s="45">
        <f>COUNTIFS('Booking Responses'!F:F,"="&amp;A15,'Booking Responses'!E:E,"Medium*")</f>
        <v>2</v>
      </c>
      <c r="T15" s="45">
        <f>COUNTIFS('Booking Responses'!F:F,"="&amp;A15,'Booking Responses'!E:E,"Large*")</f>
        <v>5</v>
      </c>
      <c r="U15" s="42">
        <f t="shared" si="1"/>
        <v>20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</row>
    <row r="16">
      <c r="A16" s="19">
        <v>217.0</v>
      </c>
      <c r="B16" s="21" t="s">
        <v>135</v>
      </c>
      <c r="C16" s="21" t="s">
        <v>136</v>
      </c>
      <c r="D16" s="19"/>
      <c r="E16" s="19"/>
      <c r="F16" s="19" t="s">
        <v>137</v>
      </c>
      <c r="G16" s="19"/>
      <c r="H16" s="19" t="s">
        <v>21</v>
      </c>
      <c r="I16" s="19" t="s">
        <v>138</v>
      </c>
      <c r="J16" s="19" t="s">
        <v>139</v>
      </c>
      <c r="K16" s="25" t="s">
        <v>140</v>
      </c>
      <c r="L16" s="25" t="s">
        <v>141</v>
      </c>
      <c r="M16" s="37"/>
      <c r="N16" s="37"/>
      <c r="O16" s="25" t="s">
        <v>142</v>
      </c>
      <c r="P16" s="35">
        <f t="array" ref="P16">MAX(IF($A16='Booking Responses'!F:F,'Booking Responses'!D:D))</f>
        <v>44763</v>
      </c>
      <c r="Q16" s="36" t="str">
        <f t="array" ref="Q16">INDEX('Booking Responses'!C:C,MATCH(1,('Booking Responses'!F:F=A16)*('Booking Responses'!D:D=P16),0))</f>
        <v>Secret Garden Party</v>
      </c>
      <c r="R16" s="36">
        <f>COUNTIFS('Booking Responses'!F:F,"="&amp;A16,'Booking Responses'!E:E,"Small*")</f>
        <v>0</v>
      </c>
      <c r="S16" s="36">
        <f>COUNTIFS('Booking Responses'!F:F,"="&amp;A16,'Booking Responses'!E:E,"Medium*")</f>
        <v>0</v>
      </c>
      <c r="T16" s="36">
        <f>COUNTIFS('Booking Responses'!F:F,"="&amp;A16,'Booking Responses'!E:E,"Large*")</f>
        <v>1</v>
      </c>
      <c r="U16" s="37">
        <f t="shared" si="1"/>
        <v>3</v>
      </c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>
      <c r="A17" s="38">
        <v>218.0</v>
      </c>
      <c r="B17" s="39" t="s">
        <v>143</v>
      </c>
      <c r="C17" s="39" t="s">
        <v>144</v>
      </c>
      <c r="D17" s="38"/>
      <c r="E17" s="38"/>
      <c r="F17" s="38" t="s">
        <v>14</v>
      </c>
      <c r="G17" s="38"/>
      <c r="H17" s="38" t="s">
        <v>32</v>
      </c>
      <c r="I17" s="38" t="s">
        <v>145</v>
      </c>
      <c r="J17" s="38" t="s">
        <v>146</v>
      </c>
      <c r="K17" s="46" t="s">
        <v>147</v>
      </c>
      <c r="L17" s="46" t="s">
        <v>147</v>
      </c>
      <c r="M17" s="42"/>
      <c r="N17" s="42"/>
      <c r="O17" s="46" t="s">
        <v>148</v>
      </c>
      <c r="P17" s="44">
        <f t="array" ref="P17">MAX(IF($A17='Booking Responses'!F:F,'Booking Responses'!D:D))</f>
        <v>45189</v>
      </c>
      <c r="Q17" s="45" t="str">
        <f t="array" ref="Q17">INDEX('Booking Responses'!C:C,MATCH(1,('Booking Responses'!F:F=A17)*('Booking Responses'!D:D=P17),0))</f>
        <v>Mirrored Cosmos NOW Gallery 2023</v>
      </c>
      <c r="R17" s="45">
        <f>COUNTIFS('Booking Responses'!F:F,"="&amp;A17,'Booking Responses'!E:E,"Small*")</f>
        <v>2</v>
      </c>
      <c r="S17" s="45">
        <f>COUNTIFS('Booking Responses'!F:F,"="&amp;A17,'Booking Responses'!E:E,"Medium*")</f>
        <v>1</v>
      </c>
      <c r="T17" s="45">
        <f>COUNTIFS('Booking Responses'!F:F,"="&amp;A17,'Booking Responses'!E:E,"Large*")</f>
        <v>1</v>
      </c>
      <c r="U17" s="42">
        <f t="shared" si="1"/>
        <v>7</v>
      </c>
      <c r="V17" s="42"/>
      <c r="W17" s="42"/>
      <c r="X17" s="42"/>
      <c r="Y17" s="42"/>
      <c r="Z17" s="42"/>
      <c r="AA17" s="42"/>
      <c r="AB17" s="42"/>
      <c r="AC17" s="42"/>
      <c r="AD17" s="42"/>
      <c r="AE17" s="42"/>
    </row>
    <row r="18">
      <c r="A18" s="19">
        <v>219.0</v>
      </c>
      <c r="B18" s="21" t="s">
        <v>151</v>
      </c>
      <c r="C18" s="21" t="s">
        <v>152</v>
      </c>
      <c r="D18" s="19"/>
      <c r="E18" s="19"/>
      <c r="F18" s="19" t="s">
        <v>153</v>
      </c>
      <c r="G18" s="19"/>
      <c r="H18" s="19" t="s">
        <v>21</v>
      </c>
      <c r="I18" s="19" t="s">
        <v>154</v>
      </c>
      <c r="J18" s="19" t="s">
        <v>155</v>
      </c>
      <c r="K18" s="24"/>
      <c r="L18" s="25" t="s">
        <v>156</v>
      </c>
      <c r="M18" s="37"/>
      <c r="N18" s="37"/>
      <c r="O18" s="25" t="s">
        <v>156</v>
      </c>
      <c r="P18" s="35">
        <f t="array" ref="P18">MAX(IF($A18='Booking Responses'!F:F,'Booking Responses'!D:D))</f>
        <v>0</v>
      </c>
      <c r="Q18" s="36" t="str">
        <f t="array" ref="Q18">INDEX('Booking Responses'!C:C,MATCH(1,('Booking Responses'!F:F=A18)*('Booking Responses'!D:D=P18),0))</f>
        <v>#N/A</v>
      </c>
      <c r="R18" s="36">
        <f>COUNTIFS('Booking Responses'!F:F,"="&amp;A18,'Booking Responses'!E:E,"Small*")</f>
        <v>0</v>
      </c>
      <c r="S18" s="36">
        <f>COUNTIFS('Booking Responses'!F:F,"="&amp;A18,'Booking Responses'!E:E,"Medium*")</f>
        <v>0</v>
      </c>
      <c r="T18" s="36">
        <f>COUNTIFS('Booking Responses'!F:F,"="&amp;A18,'Booking Responses'!E:E,"Large*")</f>
        <v>0</v>
      </c>
      <c r="U18" s="37">
        <f t="shared" si="1"/>
        <v>0</v>
      </c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>
      <c r="A19" s="38">
        <v>220.0</v>
      </c>
      <c r="B19" s="39" t="s">
        <v>157</v>
      </c>
      <c r="C19" s="39"/>
      <c r="D19" s="38"/>
      <c r="E19" s="38"/>
      <c r="F19" s="38"/>
      <c r="G19" s="38"/>
      <c r="H19" s="38" t="s">
        <v>21</v>
      </c>
      <c r="I19" s="38"/>
      <c r="J19" s="38" t="s">
        <v>158</v>
      </c>
      <c r="K19" s="43"/>
      <c r="L19" s="43"/>
      <c r="M19" s="61"/>
      <c r="N19" s="61"/>
      <c r="O19" s="43"/>
      <c r="P19" s="44">
        <f t="array" ref="P19">MAX(IF($A19='Booking Responses'!F:F,'Booking Responses'!D:D))</f>
        <v>45178</v>
      </c>
      <c r="Q19" s="45" t="str">
        <f t="array" ref="Q19">INDEX('Booking Responses'!C:C,MATCH(1,('Booking Responses'!F:F=A19)*('Booking Responses'!D:D=P19),0))</f>
        <v>Panjabi MC x Apache Indian: Fox and Firkin 2023</v>
      </c>
      <c r="R19" s="45">
        <f>COUNTIFS('Booking Responses'!F:F,"="&amp;A19,'Booking Responses'!E:E,"Small*")</f>
        <v>0</v>
      </c>
      <c r="S19" s="45">
        <f>COUNTIFS('Booking Responses'!F:F,"="&amp;A19,'Booking Responses'!E:E,"Medium*")</f>
        <v>2</v>
      </c>
      <c r="T19" s="45">
        <f>COUNTIFS('Booking Responses'!F:F,"="&amp;A19,'Booking Responses'!E:E,"Large*")</f>
        <v>0</v>
      </c>
      <c r="U19" s="42">
        <f t="shared" si="1"/>
        <v>4</v>
      </c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>
      <c r="A20" s="19">
        <v>220.0</v>
      </c>
      <c r="B20" s="21" t="s">
        <v>159</v>
      </c>
      <c r="C20" s="21" t="s">
        <v>160</v>
      </c>
      <c r="D20" s="19"/>
      <c r="E20" s="19"/>
      <c r="F20" s="19" t="s">
        <v>161</v>
      </c>
      <c r="G20" s="19" t="s">
        <v>162</v>
      </c>
      <c r="H20" s="19" t="s">
        <v>21</v>
      </c>
      <c r="I20" s="19" t="s">
        <v>163</v>
      </c>
      <c r="J20" s="19" t="s">
        <v>164</v>
      </c>
      <c r="K20" s="25" t="s">
        <v>165</v>
      </c>
      <c r="L20" s="25" t="s">
        <v>166</v>
      </c>
      <c r="M20" s="37"/>
      <c r="N20" s="37"/>
      <c r="O20" s="25" t="s">
        <v>166</v>
      </c>
      <c r="P20" s="35">
        <f t="array" ref="P20">MAX(IF($A20='Booking Responses'!F:F,'Booking Responses'!D:D))</f>
        <v>45178</v>
      </c>
      <c r="Q20" s="36" t="str">
        <f t="array" ref="Q20">INDEX('Booking Responses'!C:C,MATCH(1,('Booking Responses'!F:F=A20)*('Booking Responses'!D:D=P20),0))</f>
        <v>Panjabi MC x Apache Indian: Fox and Firkin 2023</v>
      </c>
      <c r="R20" s="36">
        <f>COUNTIFS('Booking Responses'!F:F,"="&amp;A20,'Booking Responses'!E:E,"Small*")</f>
        <v>0</v>
      </c>
      <c r="S20" s="36">
        <f>COUNTIFS('Booking Responses'!F:F,"="&amp;A20,'Booking Responses'!E:E,"Medium*")</f>
        <v>2</v>
      </c>
      <c r="T20" s="36">
        <f>COUNTIFS('Booking Responses'!F:F,"="&amp;A20,'Booking Responses'!E:E,"Large*")</f>
        <v>0</v>
      </c>
      <c r="U20" s="37">
        <f t="shared" si="1"/>
        <v>4</v>
      </c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>
      <c r="A21" s="38">
        <v>221.0</v>
      </c>
      <c r="B21" s="39" t="s">
        <v>167</v>
      </c>
      <c r="C21" s="39" t="s">
        <v>168</v>
      </c>
      <c r="D21" s="38"/>
      <c r="E21" s="38"/>
      <c r="F21" s="38"/>
      <c r="G21" s="38" t="s">
        <v>169</v>
      </c>
      <c r="H21" s="38" t="s">
        <v>21</v>
      </c>
      <c r="I21" s="38" t="s">
        <v>170</v>
      </c>
      <c r="J21" s="38" t="s">
        <v>171</v>
      </c>
      <c r="K21" s="43"/>
      <c r="L21" s="46" t="s">
        <v>172</v>
      </c>
      <c r="M21" s="42"/>
      <c r="N21" s="42"/>
      <c r="O21" s="46" t="s">
        <v>172</v>
      </c>
      <c r="P21" s="44">
        <f t="array" ref="P21">MAX(IF($A21='Booking Responses'!F:F,'Booking Responses'!D:D))</f>
        <v>0</v>
      </c>
      <c r="Q21" s="45" t="str">
        <f t="array" ref="Q21">INDEX('Booking Responses'!C:C,MATCH(1,('Booking Responses'!F:F=A21)*('Booking Responses'!D:D=P21),0))</f>
        <v>#N/A</v>
      </c>
      <c r="R21" s="45">
        <f>COUNTIFS('Booking Responses'!F:F,"="&amp;A21,'Booking Responses'!E:E,"Small*")</f>
        <v>0</v>
      </c>
      <c r="S21" s="45">
        <f>COUNTIFS('Booking Responses'!F:F,"="&amp;A21,'Booking Responses'!E:E,"Medium*")</f>
        <v>0</v>
      </c>
      <c r="T21" s="45">
        <f>COUNTIFS('Booking Responses'!F:F,"="&amp;A21,'Booking Responses'!E:E,"Large*")</f>
        <v>0</v>
      </c>
      <c r="U21" s="42">
        <f t="shared" si="1"/>
        <v>0</v>
      </c>
      <c r="V21" s="42"/>
      <c r="W21" s="42"/>
      <c r="X21" s="42"/>
      <c r="Y21" s="42"/>
      <c r="Z21" s="42"/>
      <c r="AA21" s="42"/>
      <c r="AB21" s="42"/>
      <c r="AC21" s="42"/>
      <c r="AD21" s="42"/>
      <c r="AE21" s="42"/>
    </row>
    <row r="22">
      <c r="A22" s="19">
        <v>222.0</v>
      </c>
      <c r="B22" s="21" t="s">
        <v>173</v>
      </c>
      <c r="C22" s="21" t="s">
        <v>174</v>
      </c>
      <c r="D22" s="19"/>
      <c r="E22" s="19"/>
      <c r="F22" s="19" t="s">
        <v>14</v>
      </c>
      <c r="G22" s="19"/>
      <c r="H22" s="19" t="s">
        <v>21</v>
      </c>
      <c r="I22" s="19" t="s">
        <v>175</v>
      </c>
      <c r="J22" s="19" t="s">
        <v>176</v>
      </c>
      <c r="K22" s="24"/>
      <c r="L22" s="24"/>
      <c r="M22" s="37"/>
      <c r="N22" s="37"/>
      <c r="O22" s="24" t="s">
        <v>177</v>
      </c>
      <c r="P22" s="35">
        <f t="array" ref="P22">MAX(IF($A22='Booking Responses'!F:F,'Booking Responses'!D:D))</f>
        <v>45044</v>
      </c>
      <c r="Q22" s="36" t="str">
        <f t="array" ref="Q22">INDEX('Booking Responses'!C:C,MATCH(1,('Booking Responses'!F:F=A22)*('Booking Responses'!D:D=P22),0))</f>
        <v>Cause Free Party</v>
      </c>
      <c r="R22" s="36">
        <f>COUNTIFS('Booking Responses'!F:F,"="&amp;A22,'Booking Responses'!E:E,"Small*")</f>
        <v>0</v>
      </c>
      <c r="S22" s="36">
        <f>COUNTIFS('Booking Responses'!F:F,"="&amp;A22,'Booking Responses'!E:E,"Medium*")</f>
        <v>5</v>
      </c>
      <c r="T22" s="36">
        <f>COUNTIFS('Booking Responses'!F:F,"="&amp;A22,'Booking Responses'!E:E,"Large*")</f>
        <v>0</v>
      </c>
      <c r="U22" s="37">
        <f t="shared" si="1"/>
        <v>10</v>
      </c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>
      <c r="A23" s="38">
        <v>223.0</v>
      </c>
      <c r="B23" s="39" t="s">
        <v>178</v>
      </c>
      <c r="C23" s="39" t="s">
        <v>179</v>
      </c>
      <c r="D23" s="38"/>
      <c r="E23" s="38"/>
      <c r="F23" s="38" t="s">
        <v>14</v>
      </c>
      <c r="G23" s="38"/>
      <c r="H23" s="38" t="s">
        <v>32</v>
      </c>
      <c r="I23" s="38" t="s">
        <v>180</v>
      </c>
      <c r="J23" s="38" t="s">
        <v>181</v>
      </c>
      <c r="K23" s="43"/>
      <c r="L23" s="43"/>
      <c r="M23" s="42"/>
      <c r="N23" s="42"/>
      <c r="O23" s="46" t="s">
        <v>182</v>
      </c>
      <c r="P23" s="44">
        <f t="array" ref="P23">MAX(IF($A23='Booking Responses'!F:F,'Booking Responses'!D:D))</f>
        <v>45164</v>
      </c>
      <c r="Q23" s="45" t="str">
        <f t="array" ref="Q23">INDEX('Booking Responses'!C:C,MATCH(1,('Booking Responses'!F:F=A23)*('Booking Responses'!D:D=P23),0))</f>
        <v>Lost Village Festival 2023</v>
      </c>
      <c r="R23" s="45">
        <f>COUNTIFS('Booking Responses'!F:F,"="&amp;A23,'Booking Responses'!E:E,"Small*")</f>
        <v>0</v>
      </c>
      <c r="S23" s="45">
        <f>COUNTIFS('Booking Responses'!F:F,"="&amp;A23,'Booking Responses'!E:E,"Medium*")</f>
        <v>4</v>
      </c>
      <c r="T23" s="45">
        <f>COUNTIFS('Booking Responses'!F:F,"="&amp;A23,'Booking Responses'!E:E,"Large*")</f>
        <v>3</v>
      </c>
      <c r="U23" s="42">
        <f t="shared" si="1"/>
        <v>17</v>
      </c>
      <c r="V23" s="42"/>
      <c r="W23" s="42"/>
      <c r="X23" s="42"/>
      <c r="Y23" s="42"/>
      <c r="Z23" s="42"/>
      <c r="AA23" s="42"/>
      <c r="AB23" s="42"/>
      <c r="AC23" s="42"/>
      <c r="AD23" s="42"/>
      <c r="AE23" s="42"/>
    </row>
    <row r="24">
      <c r="A24" s="19">
        <v>224.0</v>
      </c>
      <c r="B24" s="21" t="s">
        <v>183</v>
      </c>
      <c r="C24" s="21" t="s">
        <v>184</v>
      </c>
      <c r="D24" s="19"/>
      <c r="E24" s="19"/>
      <c r="F24" s="19" t="s">
        <v>185</v>
      </c>
      <c r="G24" s="19"/>
      <c r="H24" s="19" t="s">
        <v>21</v>
      </c>
      <c r="I24" s="19" t="s">
        <v>186</v>
      </c>
      <c r="J24" s="19" t="s">
        <v>187</v>
      </c>
      <c r="K24" s="24"/>
      <c r="L24" s="24"/>
      <c r="M24" s="37"/>
      <c r="N24" s="37"/>
      <c r="O24" s="25" t="s">
        <v>188</v>
      </c>
      <c r="P24" s="35">
        <f t="array" ref="P24">MAX(IF($A24='Booking Responses'!F:F,'Booking Responses'!D:D))</f>
        <v>45163</v>
      </c>
      <c r="Q24" s="36" t="str">
        <f t="array" ref="Q24">INDEX('Booking Responses'!C:C,MATCH(1,('Booking Responses'!F:F=A24)*('Booking Responses'!D:D=P24),0))</f>
        <v>Phonox Residency August 2023</v>
      </c>
      <c r="R24" s="36">
        <f>COUNTIFS('Booking Responses'!F:F,"="&amp;A24,'Booking Responses'!E:E,"Small*")</f>
        <v>0</v>
      </c>
      <c r="S24" s="36">
        <f>COUNTIFS('Booking Responses'!F:F,"="&amp;A24,'Booking Responses'!E:E,"Medium*")</f>
        <v>2</v>
      </c>
      <c r="T24" s="36">
        <f>COUNTIFS('Booking Responses'!F:F,"="&amp;A24,'Booking Responses'!E:E,"Large*")</f>
        <v>0</v>
      </c>
      <c r="U24" s="37">
        <f t="shared" si="1"/>
        <v>4</v>
      </c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>
      <c r="A25" s="38">
        <v>226.0</v>
      </c>
      <c r="B25" s="39" t="s">
        <v>189</v>
      </c>
      <c r="C25" s="39" t="s">
        <v>190</v>
      </c>
      <c r="D25" s="38"/>
      <c r="E25" s="38"/>
      <c r="F25" s="38" t="s">
        <v>14</v>
      </c>
      <c r="G25" s="38"/>
      <c r="H25" s="38" t="s">
        <v>21</v>
      </c>
      <c r="I25" s="38" t="s">
        <v>191</v>
      </c>
      <c r="J25" s="38" t="s">
        <v>192</v>
      </c>
      <c r="K25" s="46" t="s">
        <v>193</v>
      </c>
      <c r="L25" s="46" t="s">
        <v>194</v>
      </c>
      <c r="M25" s="42"/>
      <c r="N25" s="42"/>
      <c r="O25" s="46" t="s">
        <v>194</v>
      </c>
      <c r="P25" s="44">
        <f t="array" ref="P25">MAX(IF($A25='Booking Responses'!F:F,'Booking Responses'!D:D))</f>
        <v>44701</v>
      </c>
      <c r="Q25" s="45" t="str">
        <f t="array" ref="Q25">INDEX('Booking Responses'!C:C,MATCH(1,('Booking Responses'!F:F=A25)*('Booking Responses'!D:D=P25),0))</f>
        <v>Corsica Studios: 20/05/2022</v>
      </c>
      <c r="R25" s="45">
        <f>COUNTIFS('Booking Responses'!F:F,"="&amp;A25,'Booking Responses'!E:E,"Small*")</f>
        <v>0</v>
      </c>
      <c r="S25" s="45">
        <f>COUNTIFS('Booking Responses'!F:F,"="&amp;A25,'Booking Responses'!E:E,"Medium*")</f>
        <v>1</v>
      </c>
      <c r="T25" s="45">
        <f>COUNTIFS('Booking Responses'!F:F,"="&amp;A25,'Booking Responses'!E:E,"Large*")</f>
        <v>0</v>
      </c>
      <c r="U25" s="42">
        <f t="shared" si="1"/>
        <v>2</v>
      </c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>
      <c r="A26" s="19">
        <v>227.0</v>
      </c>
      <c r="B26" s="21" t="s">
        <v>195</v>
      </c>
      <c r="C26" s="21" t="s">
        <v>196</v>
      </c>
      <c r="D26" s="19"/>
      <c r="E26" s="19"/>
      <c r="F26" s="19"/>
      <c r="G26" s="19" t="s">
        <v>197</v>
      </c>
      <c r="H26" s="19" t="s">
        <v>21</v>
      </c>
      <c r="I26" s="19" t="s">
        <v>198</v>
      </c>
      <c r="J26" s="19" t="s">
        <v>199</v>
      </c>
      <c r="K26" s="25" t="s">
        <v>200</v>
      </c>
      <c r="L26" s="25" t="s">
        <v>201</v>
      </c>
      <c r="M26" s="37"/>
      <c r="N26" s="37"/>
      <c r="O26" s="25" t="s">
        <v>201</v>
      </c>
      <c r="P26" s="35">
        <f t="array" ref="P26">MAX(IF($A26='Booking Responses'!F:F,'Booking Responses'!D:D))</f>
        <v>45395</v>
      </c>
      <c r="Q26" s="36" t="str">
        <f t="array" ref="Q26">INDEX('Booking Responses'!C:C,MATCH(1,('Booking Responses'!F:F=A26)*('Booking Responses'!D:D=P26),0))</f>
        <v>DAYTIMERS BERLIN</v>
      </c>
      <c r="R26" s="36">
        <f>COUNTIFS('Booking Responses'!F:F,"="&amp;A26,'Booking Responses'!E:E,"Small*")</f>
        <v>0</v>
      </c>
      <c r="S26" s="36">
        <f>COUNTIFS('Booking Responses'!F:F,"="&amp;A26,'Booking Responses'!E:E,"Medium*")</f>
        <v>1</v>
      </c>
      <c r="T26" s="36">
        <f>COUNTIFS('Booking Responses'!F:F,"="&amp;A26,'Booking Responses'!E:E,"Large*")</f>
        <v>0</v>
      </c>
      <c r="U26" s="37">
        <f t="shared" si="1"/>
        <v>2</v>
      </c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>
      <c r="A27" s="38">
        <v>228.0</v>
      </c>
      <c r="B27" s="39" t="s">
        <v>202</v>
      </c>
      <c r="C27" s="39" t="s">
        <v>203</v>
      </c>
      <c r="D27" s="38"/>
      <c r="E27" s="38"/>
      <c r="F27" s="38"/>
      <c r="G27" s="38" t="s">
        <v>204</v>
      </c>
      <c r="H27" s="38" t="s">
        <v>21</v>
      </c>
      <c r="I27" s="38" t="s">
        <v>205</v>
      </c>
      <c r="J27" s="38" t="s">
        <v>206</v>
      </c>
      <c r="K27" s="46" t="s">
        <v>207</v>
      </c>
      <c r="L27" s="46" t="s">
        <v>208</v>
      </c>
      <c r="M27" s="42"/>
      <c r="N27" s="65" t="s">
        <v>209</v>
      </c>
      <c r="O27" s="46" t="s">
        <v>208</v>
      </c>
      <c r="P27" s="44">
        <f t="array" ref="P27">MAX(IF($A27='Booking Responses'!F:F,'Booking Responses'!D:D))</f>
        <v>0</v>
      </c>
      <c r="Q27" s="45" t="str">
        <f t="array" ref="Q27">INDEX('Booking Responses'!C:C,MATCH(1,('Booking Responses'!F:F=A27)*('Booking Responses'!D:D=P27),0))</f>
        <v>#N/A</v>
      </c>
      <c r="R27" s="45">
        <f>COUNTIFS('Booking Responses'!F:F,"="&amp;A27,'Booking Responses'!E:E,"Small*")</f>
        <v>0</v>
      </c>
      <c r="S27" s="45">
        <f>COUNTIFS('Booking Responses'!F:F,"="&amp;A27,'Booking Responses'!E:E,"Medium*")</f>
        <v>0</v>
      </c>
      <c r="T27" s="45">
        <f>COUNTIFS('Booking Responses'!F:F,"="&amp;A27,'Booking Responses'!E:E,"Large*")</f>
        <v>0</v>
      </c>
      <c r="U27" s="42">
        <f t="shared" si="1"/>
        <v>0</v>
      </c>
      <c r="V27" s="42"/>
      <c r="W27" s="42"/>
      <c r="X27" s="42"/>
      <c r="Y27" s="42"/>
      <c r="Z27" s="42"/>
      <c r="AA27" s="42"/>
      <c r="AB27" s="42"/>
      <c r="AC27" s="42"/>
      <c r="AD27" s="42"/>
      <c r="AE27" s="42"/>
    </row>
    <row r="28">
      <c r="A28" s="19">
        <v>229.0</v>
      </c>
      <c r="B28" s="21" t="s">
        <v>210</v>
      </c>
      <c r="C28" s="21" t="s">
        <v>211</v>
      </c>
      <c r="D28" s="19"/>
      <c r="E28" s="19"/>
      <c r="F28" s="19" t="s">
        <v>212</v>
      </c>
      <c r="G28" s="19"/>
      <c r="H28" s="19" t="s">
        <v>21</v>
      </c>
      <c r="I28" s="19" t="s">
        <v>213</v>
      </c>
      <c r="J28" s="19"/>
      <c r="K28" s="25" t="s">
        <v>214</v>
      </c>
      <c r="L28" s="25" t="s">
        <v>215</v>
      </c>
      <c r="M28" s="37"/>
      <c r="N28" s="66"/>
      <c r="O28" s="25" t="s">
        <v>215</v>
      </c>
      <c r="P28" s="35">
        <f t="array" ref="P28">MAX(IF($A28='Booking Responses'!F:F,'Booking Responses'!D:D))</f>
        <v>0</v>
      </c>
      <c r="Q28" s="36" t="str">
        <f t="array" ref="Q28">INDEX('Booking Responses'!C:C,MATCH(1,('Booking Responses'!F:F=A28)*('Booking Responses'!D:D=P28),0))</f>
        <v>#N/A</v>
      </c>
      <c r="R28" s="36">
        <f>COUNTIFS('Booking Responses'!F:F,"="&amp;A28,'Booking Responses'!E:E,"Small*")</f>
        <v>0</v>
      </c>
      <c r="S28" s="36">
        <f>COUNTIFS('Booking Responses'!F:F,"="&amp;A28,'Booking Responses'!E:E,"Medium*")</f>
        <v>0</v>
      </c>
      <c r="T28" s="36">
        <f>COUNTIFS('Booking Responses'!F:F,"="&amp;A28,'Booking Responses'!E:E,"Large*")</f>
        <v>0</v>
      </c>
      <c r="U28" s="37">
        <f t="shared" si="1"/>
        <v>0</v>
      </c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>
      <c r="A29" s="38">
        <v>230.0</v>
      </c>
      <c r="B29" s="39" t="s">
        <v>216</v>
      </c>
      <c r="C29" s="39" t="s">
        <v>217</v>
      </c>
      <c r="D29" s="38"/>
      <c r="E29" s="38"/>
      <c r="F29" s="38" t="s">
        <v>14</v>
      </c>
      <c r="G29" s="38"/>
      <c r="H29" s="38" t="s">
        <v>21</v>
      </c>
      <c r="I29" s="38" t="s">
        <v>218</v>
      </c>
      <c r="J29" s="38" t="s">
        <v>219</v>
      </c>
      <c r="K29" s="43"/>
      <c r="L29" s="46" t="s">
        <v>220</v>
      </c>
      <c r="M29" s="42"/>
      <c r="N29" s="61"/>
      <c r="O29" s="46" t="s">
        <v>220</v>
      </c>
      <c r="P29" s="44">
        <f t="array" ref="P29">MAX(IF($A29='Booking Responses'!F:F,'Booking Responses'!D:D))</f>
        <v>0</v>
      </c>
      <c r="Q29" s="45" t="str">
        <f t="array" ref="Q29">INDEX('Booking Responses'!C:C,MATCH(1,('Booking Responses'!F:F=A29)*('Booking Responses'!D:D=P29),0))</f>
        <v>#N/A</v>
      </c>
      <c r="R29" s="45">
        <f>COUNTIFS('Booking Responses'!F:F,"="&amp;A29,'Booking Responses'!E:E,"Small*")</f>
        <v>0</v>
      </c>
      <c r="S29" s="45">
        <f>COUNTIFS('Booking Responses'!F:F,"="&amp;A29,'Booking Responses'!E:E,"Medium*")</f>
        <v>0</v>
      </c>
      <c r="T29" s="45">
        <f>COUNTIFS('Booking Responses'!F:F,"="&amp;A29,'Booking Responses'!E:E,"Large*")</f>
        <v>0</v>
      </c>
      <c r="U29" s="42">
        <f t="shared" si="1"/>
        <v>0</v>
      </c>
      <c r="V29" s="42"/>
      <c r="W29" s="42"/>
      <c r="X29" s="42"/>
      <c r="Y29" s="42"/>
      <c r="Z29" s="42"/>
      <c r="AA29" s="42"/>
      <c r="AB29" s="42"/>
      <c r="AC29" s="42"/>
      <c r="AD29" s="42"/>
      <c r="AE29" s="42"/>
    </row>
    <row r="30">
      <c r="A30" s="19">
        <v>231.0</v>
      </c>
      <c r="B30" s="21" t="s">
        <v>221</v>
      </c>
      <c r="C30" s="21" t="s">
        <v>222</v>
      </c>
      <c r="D30" s="19"/>
      <c r="E30" s="19"/>
      <c r="F30" s="19" t="s">
        <v>223</v>
      </c>
      <c r="G30" s="19"/>
      <c r="H30" s="19" t="s">
        <v>21</v>
      </c>
      <c r="I30" s="19" t="s">
        <v>224</v>
      </c>
      <c r="J30" s="19" t="s">
        <v>225</v>
      </c>
      <c r="K30" s="25" t="s">
        <v>226</v>
      </c>
      <c r="L30" s="25" t="s">
        <v>227</v>
      </c>
      <c r="M30" s="37"/>
      <c r="N30" s="66"/>
      <c r="O30" s="25" t="s">
        <v>228</v>
      </c>
      <c r="P30" s="35">
        <f t="array" ref="P30">MAX(IF($A30='Booking Responses'!F:F,'Booking Responses'!D:D))</f>
        <v>45106</v>
      </c>
      <c r="Q30" s="36" t="str">
        <f t="array" ref="Q30">INDEX('Booking Responses'!C:C,MATCH(1,('Booking Responses'!F:F=A30)*('Booking Responses'!D:D=P30),0))</f>
        <v>MIF</v>
      </c>
      <c r="R30" s="36">
        <f>COUNTIFS('Booking Responses'!F:F,"="&amp;A30,'Booking Responses'!E:E,"Small*")</f>
        <v>0</v>
      </c>
      <c r="S30" s="36">
        <f>COUNTIFS('Booking Responses'!F:F,"="&amp;A30,'Booking Responses'!E:E,"Medium*")</f>
        <v>2</v>
      </c>
      <c r="T30" s="36">
        <f>COUNTIFS('Booking Responses'!F:F,"="&amp;A30,'Booking Responses'!E:E,"Large*")</f>
        <v>1</v>
      </c>
      <c r="U30" s="37">
        <f t="shared" si="1"/>
        <v>7</v>
      </c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>
      <c r="A31" s="38">
        <v>232.0</v>
      </c>
      <c r="B31" s="39" t="s">
        <v>229</v>
      </c>
      <c r="C31" s="39" t="s">
        <v>229</v>
      </c>
      <c r="D31" s="38"/>
      <c r="E31" s="38"/>
      <c r="F31" s="38"/>
      <c r="G31" s="38" t="s">
        <v>230</v>
      </c>
      <c r="H31" s="38" t="s">
        <v>21</v>
      </c>
      <c r="I31" s="38" t="s">
        <v>231</v>
      </c>
      <c r="J31" s="38" t="s">
        <v>232</v>
      </c>
      <c r="K31" s="46" t="s">
        <v>233</v>
      </c>
      <c r="L31" s="46" t="s">
        <v>234</v>
      </c>
      <c r="M31" s="42"/>
      <c r="N31" s="61"/>
      <c r="O31" s="46" t="s">
        <v>234</v>
      </c>
      <c r="P31" s="44">
        <f t="array" ref="P31">MAX(IF($A31='Booking Responses'!F:F,'Booking Responses'!D:D))</f>
        <v>0</v>
      </c>
      <c r="Q31" s="45" t="str">
        <f t="array" ref="Q31">INDEX('Booking Responses'!C:C,MATCH(1,('Booking Responses'!F:F=A31)*('Booking Responses'!D:D=P31),0))</f>
        <v>#N/A</v>
      </c>
      <c r="R31" s="45">
        <f>COUNTIFS('Booking Responses'!F:F,"="&amp;A31,'Booking Responses'!E:E,"Small*")</f>
        <v>0</v>
      </c>
      <c r="S31" s="45">
        <f>COUNTIFS('Booking Responses'!F:F,"="&amp;A31,'Booking Responses'!E:E,"Medium*")</f>
        <v>0</v>
      </c>
      <c r="T31" s="45">
        <f>COUNTIFS('Booking Responses'!F:F,"="&amp;A31,'Booking Responses'!E:E,"Large*")</f>
        <v>0</v>
      </c>
      <c r="U31" s="42">
        <f t="shared" si="1"/>
        <v>0</v>
      </c>
      <c r="V31" s="42"/>
      <c r="W31" s="42"/>
      <c r="X31" s="42"/>
      <c r="Y31" s="42"/>
      <c r="Z31" s="42"/>
      <c r="AA31" s="42"/>
      <c r="AB31" s="42"/>
      <c r="AC31" s="42"/>
      <c r="AD31" s="42"/>
      <c r="AE31" s="42"/>
    </row>
    <row r="32">
      <c r="A32" s="19">
        <v>233.0</v>
      </c>
      <c r="B32" s="21" t="s">
        <v>235</v>
      </c>
      <c r="C32" s="21" t="s">
        <v>236</v>
      </c>
      <c r="D32" s="19"/>
      <c r="E32" s="19"/>
      <c r="F32" s="19"/>
      <c r="G32" s="19" t="s">
        <v>230</v>
      </c>
      <c r="H32" s="19" t="s">
        <v>21</v>
      </c>
      <c r="I32" s="19" t="s">
        <v>237</v>
      </c>
      <c r="J32" s="19"/>
      <c r="K32" s="25" t="s">
        <v>238</v>
      </c>
      <c r="L32" s="25" t="s">
        <v>239</v>
      </c>
      <c r="M32" s="37"/>
      <c r="N32" s="66"/>
      <c r="O32" s="25" t="s">
        <v>240</v>
      </c>
      <c r="P32" s="35">
        <f t="array" ref="P32">MAX(IF($A32='Booking Responses'!F:F,'Booking Responses'!D:D))</f>
        <v>0</v>
      </c>
      <c r="Q32" s="36" t="str">
        <f t="array" ref="Q32">INDEX('Booking Responses'!C:C,MATCH(1,('Booking Responses'!F:F=A32)*('Booking Responses'!D:D=P32),0))</f>
        <v>#N/A</v>
      </c>
      <c r="R32" s="36">
        <f>COUNTIFS('Booking Responses'!F:F,"="&amp;A32,'Booking Responses'!E:E,"Small*")</f>
        <v>0</v>
      </c>
      <c r="S32" s="36">
        <f>COUNTIFS('Booking Responses'!F:F,"="&amp;A32,'Booking Responses'!E:E,"Medium*")</f>
        <v>0</v>
      </c>
      <c r="T32" s="36">
        <f>COUNTIFS('Booking Responses'!F:F,"="&amp;A32,'Booking Responses'!E:E,"Large*")</f>
        <v>0</v>
      </c>
      <c r="U32" s="37">
        <f t="shared" si="1"/>
        <v>0</v>
      </c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>
      <c r="A33" s="38">
        <v>234.0</v>
      </c>
      <c r="B33" s="39" t="s">
        <v>241</v>
      </c>
      <c r="C33" s="39" t="s">
        <v>242</v>
      </c>
      <c r="D33" s="38"/>
      <c r="E33" s="38"/>
      <c r="F33" s="38"/>
      <c r="G33" s="38" t="s">
        <v>243</v>
      </c>
      <c r="H33" s="38" t="s">
        <v>21</v>
      </c>
      <c r="I33" s="38" t="s">
        <v>218</v>
      </c>
      <c r="J33" s="38" t="s">
        <v>244</v>
      </c>
      <c r="K33" s="46" t="s">
        <v>245</v>
      </c>
      <c r="L33" s="46" t="s">
        <v>246</v>
      </c>
      <c r="M33" s="42"/>
      <c r="N33" s="61"/>
      <c r="O33" s="46" t="s">
        <v>247</v>
      </c>
      <c r="P33" s="44">
        <f t="array" ref="P33">MAX(IF($A33='Booking Responses'!F:F,'Booking Responses'!D:D))</f>
        <v>0</v>
      </c>
      <c r="Q33" s="45" t="str">
        <f t="array" ref="Q33">INDEX('Booking Responses'!C:C,MATCH(1,('Booking Responses'!F:F=A33)*('Booking Responses'!D:D=P33),0))</f>
        <v>#N/A</v>
      </c>
      <c r="R33" s="45">
        <f>COUNTIFS('Booking Responses'!F:F,"="&amp;A33,'Booking Responses'!E:E,"Small*")</f>
        <v>0</v>
      </c>
      <c r="S33" s="45">
        <f>COUNTIFS('Booking Responses'!F:F,"="&amp;A33,'Booking Responses'!E:E,"Medium*")</f>
        <v>0</v>
      </c>
      <c r="T33" s="45">
        <f>COUNTIFS('Booking Responses'!F:F,"="&amp;A33,'Booking Responses'!E:E,"Large*")</f>
        <v>0</v>
      </c>
      <c r="U33" s="42">
        <f t="shared" si="1"/>
        <v>0</v>
      </c>
      <c r="V33" s="42"/>
      <c r="W33" s="42"/>
      <c r="X33" s="42"/>
      <c r="Y33" s="42"/>
      <c r="Z33" s="42"/>
      <c r="AA33" s="42"/>
      <c r="AB33" s="42"/>
      <c r="AC33" s="42"/>
      <c r="AD33" s="42"/>
      <c r="AE33" s="42"/>
    </row>
    <row r="34">
      <c r="A34" s="19">
        <v>235.0</v>
      </c>
      <c r="B34" s="21" t="s">
        <v>248</v>
      </c>
      <c r="C34" s="21" t="s">
        <v>249</v>
      </c>
      <c r="D34" s="19"/>
      <c r="E34" s="19"/>
      <c r="F34" s="19"/>
      <c r="G34" s="19" t="s">
        <v>230</v>
      </c>
      <c r="H34" s="19" t="s">
        <v>21</v>
      </c>
      <c r="I34" s="19" t="s">
        <v>250</v>
      </c>
      <c r="J34" s="19" t="s">
        <v>251</v>
      </c>
      <c r="K34" s="25" t="s">
        <v>252</v>
      </c>
      <c r="L34" s="25" t="s">
        <v>253</v>
      </c>
      <c r="M34" s="37"/>
      <c r="N34" s="66"/>
      <c r="O34" s="25" t="s">
        <v>254</v>
      </c>
      <c r="P34" s="35">
        <f t="array" ref="P34">MAX(IF($A34='Booking Responses'!F:F,'Booking Responses'!D:D))</f>
        <v>0</v>
      </c>
      <c r="Q34" s="36" t="str">
        <f t="array" ref="Q34">INDEX('Booking Responses'!C:C,MATCH(1,('Booking Responses'!F:F=A34)*('Booking Responses'!D:D=P34),0))</f>
        <v>#N/A</v>
      </c>
      <c r="R34" s="36">
        <f>COUNTIFS('Booking Responses'!F:F,"="&amp;A34,'Booking Responses'!E:E,"Small*")</f>
        <v>0</v>
      </c>
      <c r="S34" s="36">
        <f>COUNTIFS('Booking Responses'!F:F,"="&amp;A34,'Booking Responses'!E:E,"Medium*")</f>
        <v>0</v>
      </c>
      <c r="T34" s="36">
        <f>COUNTIFS('Booking Responses'!F:F,"="&amp;A34,'Booking Responses'!E:E,"Large*")</f>
        <v>0</v>
      </c>
      <c r="U34" s="37">
        <f t="shared" si="1"/>
        <v>0</v>
      </c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>
      <c r="A35" s="38">
        <v>236.0</v>
      </c>
      <c r="B35" s="39" t="s">
        <v>255</v>
      </c>
      <c r="C35" s="39" t="s">
        <v>256</v>
      </c>
      <c r="D35" s="38"/>
      <c r="E35" s="38"/>
      <c r="F35" s="38"/>
      <c r="G35" s="38" t="s">
        <v>257</v>
      </c>
      <c r="H35" s="38" t="s">
        <v>32</v>
      </c>
      <c r="I35" s="38" t="s">
        <v>258</v>
      </c>
      <c r="J35" s="38" t="s">
        <v>259</v>
      </c>
      <c r="K35" s="46" t="s">
        <v>260</v>
      </c>
      <c r="L35" s="46" t="s">
        <v>261</v>
      </c>
      <c r="M35" s="42"/>
      <c r="N35" s="61"/>
      <c r="O35" s="46" t="s">
        <v>262</v>
      </c>
      <c r="P35" s="44">
        <f t="array" ref="P35">MAX(IF($A35='Booking Responses'!F:F,'Booking Responses'!D:D))</f>
        <v>45163</v>
      </c>
      <c r="Q35" s="45" t="str">
        <f t="array" ref="Q35">INDEX('Booking Responses'!C:C,MATCH(1,('Booking Responses'!F:F=A35)*('Booking Responses'!D:D=P35),0))</f>
        <v>Phonox Residency August 2023</v>
      </c>
      <c r="R35" s="45">
        <f>COUNTIFS('Booking Responses'!F:F,"="&amp;A35,'Booking Responses'!E:E,"Small*")</f>
        <v>0</v>
      </c>
      <c r="S35" s="45">
        <f>COUNTIFS('Booking Responses'!F:F,"="&amp;A35,'Booking Responses'!E:E,"Medium*")</f>
        <v>1</v>
      </c>
      <c r="T35" s="45">
        <f>COUNTIFS('Booking Responses'!F:F,"="&amp;A35,'Booking Responses'!E:E,"Large*")</f>
        <v>0</v>
      </c>
      <c r="U35" s="42">
        <f t="shared" si="1"/>
        <v>2</v>
      </c>
      <c r="V35" s="42"/>
      <c r="W35" s="42"/>
      <c r="X35" s="42"/>
      <c r="Y35" s="42"/>
      <c r="Z35" s="42"/>
      <c r="AA35" s="42"/>
      <c r="AB35" s="42"/>
      <c r="AC35" s="42"/>
      <c r="AD35" s="42"/>
      <c r="AE35" s="42"/>
    </row>
    <row r="36">
      <c r="A36" s="19">
        <v>237.0</v>
      </c>
      <c r="B36" s="21" t="s">
        <v>263</v>
      </c>
      <c r="C36" s="21" t="s">
        <v>264</v>
      </c>
      <c r="D36" s="19"/>
      <c r="E36" s="19"/>
      <c r="F36" s="19"/>
      <c r="G36" s="19" t="s">
        <v>265</v>
      </c>
      <c r="H36" s="19" t="s">
        <v>21</v>
      </c>
      <c r="I36" s="19" t="s">
        <v>266</v>
      </c>
      <c r="J36" s="19" t="s">
        <v>267</v>
      </c>
      <c r="K36" s="25" t="s">
        <v>268</v>
      </c>
      <c r="L36" s="25" t="s">
        <v>269</v>
      </c>
      <c r="M36" s="37"/>
      <c r="N36" s="66"/>
      <c r="O36" s="25" t="s">
        <v>270</v>
      </c>
      <c r="P36" s="35">
        <f t="array" ref="P36">MAX(IF($A36='Booking Responses'!F:F,'Booking Responses'!D:D))</f>
        <v>0</v>
      </c>
      <c r="Q36" s="36" t="str">
        <f t="array" ref="Q36">INDEX('Booking Responses'!C:C,MATCH(1,('Booking Responses'!F:F=A36)*('Booking Responses'!D:D=P36),0))</f>
        <v>#N/A</v>
      </c>
      <c r="R36" s="36">
        <f>COUNTIFS('Booking Responses'!F:F,"="&amp;A36,'Booking Responses'!E:E,"Small*")</f>
        <v>0</v>
      </c>
      <c r="S36" s="36">
        <f>COUNTIFS('Booking Responses'!F:F,"="&amp;A36,'Booking Responses'!E:E,"Medium*")</f>
        <v>0</v>
      </c>
      <c r="T36" s="36">
        <f>COUNTIFS('Booking Responses'!F:F,"="&amp;A36,'Booking Responses'!E:E,"Large*")</f>
        <v>0</v>
      </c>
      <c r="U36" s="37">
        <f t="shared" si="1"/>
        <v>0</v>
      </c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>
      <c r="A37" s="38">
        <v>238.0</v>
      </c>
      <c r="B37" s="39" t="s">
        <v>271</v>
      </c>
      <c r="C37" s="39" t="s">
        <v>272</v>
      </c>
      <c r="D37" s="38"/>
      <c r="E37" s="38"/>
      <c r="F37" s="38" t="s">
        <v>66</v>
      </c>
      <c r="G37" s="38"/>
      <c r="H37" s="38" t="s">
        <v>21</v>
      </c>
      <c r="I37" s="38" t="s">
        <v>273</v>
      </c>
      <c r="J37" s="38" t="s">
        <v>274</v>
      </c>
      <c r="K37" s="46" t="s">
        <v>275</v>
      </c>
      <c r="L37" s="46" t="s">
        <v>276</v>
      </c>
      <c r="M37" s="42"/>
      <c r="N37" s="61"/>
      <c r="O37" s="46" t="s">
        <v>277</v>
      </c>
      <c r="P37" s="44">
        <f t="array" ref="P37">MAX(IF($A37='Booking Responses'!F:F,'Booking Responses'!D:D))</f>
        <v>0</v>
      </c>
      <c r="Q37" s="45" t="str">
        <f t="array" ref="Q37">INDEX('Booking Responses'!C:C,MATCH(1,('Booking Responses'!F:F=A37)*('Booking Responses'!D:D=P37),0))</f>
        <v>#N/A</v>
      </c>
      <c r="R37" s="45">
        <f>COUNTIFS('Booking Responses'!F:F,"="&amp;A37,'Booking Responses'!E:E,"Small*")</f>
        <v>0</v>
      </c>
      <c r="S37" s="45">
        <f>COUNTIFS('Booking Responses'!F:F,"="&amp;A37,'Booking Responses'!E:E,"Medium*")</f>
        <v>0</v>
      </c>
      <c r="T37" s="45">
        <f>COUNTIFS('Booking Responses'!F:F,"="&amp;A37,'Booking Responses'!E:E,"Large*")</f>
        <v>0</v>
      </c>
      <c r="U37" s="42">
        <f t="shared" si="1"/>
        <v>0</v>
      </c>
      <c r="V37" s="42"/>
      <c r="W37" s="42"/>
      <c r="X37" s="42"/>
      <c r="Y37" s="42"/>
      <c r="Z37" s="42"/>
      <c r="AA37" s="42"/>
      <c r="AB37" s="42"/>
      <c r="AC37" s="42"/>
      <c r="AD37" s="42"/>
      <c r="AE37" s="42"/>
    </row>
    <row r="38">
      <c r="A38" s="19">
        <v>239.0</v>
      </c>
      <c r="B38" s="21" t="s">
        <v>278</v>
      </c>
      <c r="C38" s="21" t="s">
        <v>279</v>
      </c>
      <c r="D38" s="19"/>
      <c r="E38" s="19"/>
      <c r="F38" s="19" t="s">
        <v>280</v>
      </c>
      <c r="G38" s="19"/>
      <c r="H38" s="19" t="s">
        <v>21</v>
      </c>
      <c r="I38" s="19" t="s">
        <v>281</v>
      </c>
      <c r="J38" s="19"/>
      <c r="K38" s="24"/>
      <c r="L38" s="24"/>
      <c r="M38" s="37"/>
      <c r="N38" s="66"/>
      <c r="O38" s="67" t="s">
        <v>282</v>
      </c>
      <c r="P38" s="35">
        <f t="array" ref="P38">MAX(IF($A38='Booking Responses'!F:F,'Booking Responses'!D:D))</f>
        <v>0</v>
      </c>
      <c r="Q38" s="36" t="str">
        <f t="array" ref="Q38">INDEX('Booking Responses'!C:C,MATCH(1,('Booking Responses'!F:F=A38)*('Booking Responses'!D:D=P38),0))</f>
        <v>#N/A</v>
      </c>
      <c r="R38" s="36">
        <f>COUNTIFS('Booking Responses'!F:F,"="&amp;A38,'Booking Responses'!E:E,"Small*")</f>
        <v>0</v>
      </c>
      <c r="S38" s="36">
        <f>COUNTIFS('Booking Responses'!F:F,"="&amp;A38,'Booking Responses'!E:E,"Medium*")</f>
        <v>0</v>
      </c>
      <c r="T38" s="36">
        <f>COUNTIFS('Booking Responses'!F:F,"="&amp;A38,'Booking Responses'!E:E,"Large*")</f>
        <v>0</v>
      </c>
      <c r="U38" s="37">
        <f t="shared" si="1"/>
        <v>0</v>
      </c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>
      <c r="A39" s="38">
        <v>240.0</v>
      </c>
      <c r="B39" s="39" t="s">
        <v>283</v>
      </c>
      <c r="C39" s="39" t="s">
        <v>284</v>
      </c>
      <c r="D39" s="38"/>
      <c r="E39" s="38"/>
      <c r="F39" s="38"/>
      <c r="G39" s="38" t="s">
        <v>230</v>
      </c>
      <c r="H39" s="38" t="s">
        <v>21</v>
      </c>
      <c r="I39" s="38" t="s">
        <v>285</v>
      </c>
      <c r="J39" s="38" t="s">
        <v>286</v>
      </c>
      <c r="K39" s="46" t="s">
        <v>287</v>
      </c>
      <c r="L39" s="46" t="s">
        <v>288</v>
      </c>
      <c r="M39" s="42"/>
      <c r="N39" s="61"/>
      <c r="O39" s="46" t="s">
        <v>288</v>
      </c>
      <c r="P39" s="44">
        <f t="array" ref="P39">MAX(IF($A39='Booking Responses'!F:F,'Booking Responses'!D:D))</f>
        <v>0</v>
      </c>
      <c r="Q39" s="45" t="str">
        <f t="array" ref="Q39">INDEX('Booking Responses'!C:C,MATCH(1,('Booking Responses'!F:F=A39)*('Booking Responses'!D:D=P39),0))</f>
        <v>#N/A</v>
      </c>
      <c r="R39" s="45">
        <f>COUNTIFS('Booking Responses'!F:F,"="&amp;A39,'Booking Responses'!E:E,"Small*")</f>
        <v>0</v>
      </c>
      <c r="S39" s="45">
        <f>COUNTIFS('Booking Responses'!F:F,"="&amp;A39,'Booking Responses'!E:E,"Medium*")</f>
        <v>0</v>
      </c>
      <c r="T39" s="45">
        <f>COUNTIFS('Booking Responses'!F:F,"="&amp;A39,'Booking Responses'!E:E,"Large*")</f>
        <v>0</v>
      </c>
      <c r="U39" s="42">
        <f t="shared" si="1"/>
        <v>0</v>
      </c>
      <c r="V39" s="42"/>
      <c r="W39" s="42"/>
      <c r="X39" s="42"/>
      <c r="Y39" s="42"/>
      <c r="Z39" s="42"/>
      <c r="AA39" s="42"/>
      <c r="AB39" s="42"/>
      <c r="AC39" s="42"/>
      <c r="AD39" s="42"/>
      <c r="AE39" s="42"/>
    </row>
    <row r="40">
      <c r="A40" s="19">
        <v>241.0</v>
      </c>
      <c r="B40" s="21" t="s">
        <v>289</v>
      </c>
      <c r="C40" s="21" t="s">
        <v>290</v>
      </c>
      <c r="D40" s="19"/>
      <c r="E40" s="19"/>
      <c r="F40" s="19"/>
      <c r="G40" s="19" t="s">
        <v>291</v>
      </c>
      <c r="H40" s="19" t="s">
        <v>21</v>
      </c>
      <c r="I40" s="19" t="s">
        <v>292</v>
      </c>
      <c r="J40" s="19" t="s">
        <v>293</v>
      </c>
      <c r="K40" s="25" t="s">
        <v>294</v>
      </c>
      <c r="L40" s="25" t="s">
        <v>295</v>
      </c>
      <c r="M40" s="37"/>
      <c r="N40" s="66"/>
      <c r="O40" s="25" t="s">
        <v>295</v>
      </c>
      <c r="P40" s="35">
        <f t="array" ref="P40">MAX(IF($A40='Booking Responses'!F:F,'Booking Responses'!D:D))</f>
        <v>45401</v>
      </c>
      <c r="Q40" s="36" t="str">
        <f t="array" ref="Q40">INDEX('Booking Responses'!C:C,MATCH(1,('Booking Responses'!F:F=A40)*('Booking Responses'!D:D=P40),0))</f>
        <v>Jazz Cafe</v>
      </c>
      <c r="R40" s="36">
        <f>COUNTIFS('Booking Responses'!F:F,"="&amp;A40,'Booking Responses'!E:E,"Small*")</f>
        <v>0</v>
      </c>
      <c r="S40" s="36">
        <f>COUNTIFS('Booking Responses'!F:F,"="&amp;A40,'Booking Responses'!E:E,"Medium*")</f>
        <v>1</v>
      </c>
      <c r="T40" s="36">
        <f>COUNTIFS('Booking Responses'!F:F,"="&amp;A40,'Booking Responses'!E:E,"Large*")</f>
        <v>0</v>
      </c>
      <c r="U40" s="37">
        <f t="shared" si="1"/>
        <v>2</v>
      </c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>
      <c r="A41" s="38">
        <v>242.0</v>
      </c>
      <c r="B41" s="39" t="s">
        <v>296</v>
      </c>
      <c r="C41" s="39" t="s">
        <v>297</v>
      </c>
      <c r="D41" s="38"/>
      <c r="E41" s="38"/>
      <c r="F41" s="38"/>
      <c r="G41" s="38" t="s">
        <v>298</v>
      </c>
      <c r="H41" s="38" t="s">
        <v>21</v>
      </c>
      <c r="I41" s="38" t="s">
        <v>299</v>
      </c>
      <c r="J41" s="38" t="s">
        <v>300</v>
      </c>
      <c r="K41" s="46" t="s">
        <v>301</v>
      </c>
      <c r="L41" s="46" t="s">
        <v>302</v>
      </c>
      <c r="M41" s="42"/>
      <c r="N41" s="61"/>
      <c r="O41" s="46" t="s">
        <v>302</v>
      </c>
      <c r="P41" s="44">
        <f t="array" ref="P41">MAX(IF($A41='Booking Responses'!F:F,'Booking Responses'!D:D))</f>
        <v>45072</v>
      </c>
      <c r="Q41" s="45" t="str">
        <f t="array" ref="Q41">INDEX('Booking Responses'!C:C,MATCH(1,('Booking Responses'!F:F=A41)*('Booking Responses'!D:D=P41),0))</f>
        <v>Jazz Cafe</v>
      </c>
      <c r="R41" s="45">
        <f>COUNTIFS('Booking Responses'!F:F,"="&amp;A41,'Booking Responses'!E:E,"Small*")</f>
        <v>0</v>
      </c>
      <c r="S41" s="45">
        <f>COUNTIFS('Booking Responses'!F:F,"="&amp;A41,'Booking Responses'!E:E,"Medium*")</f>
        <v>1</v>
      </c>
      <c r="T41" s="45">
        <f>COUNTIFS('Booking Responses'!F:F,"="&amp;A41,'Booking Responses'!E:E,"Large*")</f>
        <v>0</v>
      </c>
      <c r="U41" s="42">
        <f t="shared" si="1"/>
        <v>2</v>
      </c>
      <c r="V41" s="42"/>
      <c r="W41" s="42"/>
      <c r="X41" s="42"/>
      <c r="Y41" s="42"/>
      <c r="Z41" s="42"/>
      <c r="AA41" s="42"/>
      <c r="AB41" s="42"/>
      <c r="AC41" s="42"/>
      <c r="AD41" s="42"/>
      <c r="AE41" s="42"/>
    </row>
    <row r="42">
      <c r="A42" s="19">
        <v>243.0</v>
      </c>
      <c r="B42" s="21" t="s">
        <v>303</v>
      </c>
      <c r="C42" s="21" t="s">
        <v>304</v>
      </c>
      <c r="D42" s="19"/>
      <c r="E42" s="19"/>
      <c r="F42" s="19" t="s">
        <v>14</v>
      </c>
      <c r="G42" s="19"/>
      <c r="H42" s="19" t="s">
        <v>21</v>
      </c>
      <c r="I42" s="19" t="s">
        <v>305</v>
      </c>
      <c r="J42" s="19" t="s">
        <v>306</v>
      </c>
      <c r="K42" s="25" t="s">
        <v>307</v>
      </c>
      <c r="L42" s="24"/>
      <c r="M42" s="37"/>
      <c r="N42" s="66"/>
      <c r="O42" s="25" t="s">
        <v>307</v>
      </c>
      <c r="P42" s="35">
        <f t="array" ref="P42">MAX(IF($A42='Booking Responses'!F:F,'Booking Responses'!D:D))</f>
        <v>0</v>
      </c>
      <c r="Q42" s="36" t="str">
        <f t="array" ref="Q42">INDEX('Booking Responses'!C:C,MATCH(1,('Booking Responses'!F:F=A42)*('Booking Responses'!D:D=P42),0))</f>
        <v>#N/A</v>
      </c>
      <c r="R42" s="36">
        <f>COUNTIFS('Booking Responses'!F:F,"="&amp;A42,'Booking Responses'!E:E,"Small*")</f>
        <v>0</v>
      </c>
      <c r="S42" s="36">
        <f>COUNTIFS('Booking Responses'!F:F,"="&amp;A42,'Booking Responses'!E:E,"Medium*")</f>
        <v>0</v>
      </c>
      <c r="T42" s="36">
        <f>COUNTIFS('Booking Responses'!F:F,"="&amp;A42,'Booking Responses'!E:E,"Large*")</f>
        <v>0</v>
      </c>
      <c r="U42" s="37">
        <f t="shared" si="1"/>
        <v>0</v>
      </c>
      <c r="V42" s="37"/>
      <c r="W42" s="37"/>
      <c r="X42" s="37"/>
      <c r="Y42" s="37"/>
      <c r="Z42" s="37"/>
      <c r="AA42" s="37"/>
      <c r="AB42" s="37"/>
      <c r="AC42" s="37"/>
      <c r="AD42" s="37"/>
      <c r="AE42" s="37"/>
    </row>
    <row r="43">
      <c r="A43" s="38">
        <v>244.0</v>
      </c>
      <c r="B43" s="39" t="s">
        <v>308</v>
      </c>
      <c r="C43" s="39" t="s">
        <v>309</v>
      </c>
      <c r="D43" s="38"/>
      <c r="E43" s="38"/>
      <c r="F43" s="38" t="s">
        <v>310</v>
      </c>
      <c r="G43" s="38"/>
      <c r="H43" s="38" t="s">
        <v>21</v>
      </c>
      <c r="I43" s="38" t="s">
        <v>311</v>
      </c>
      <c r="J43" s="38" t="s">
        <v>312</v>
      </c>
      <c r="K43" s="46" t="s">
        <v>313</v>
      </c>
      <c r="L43" s="46" t="s">
        <v>314</v>
      </c>
      <c r="M43" s="42"/>
      <c r="N43" s="61"/>
      <c r="O43" s="46" t="s">
        <v>314</v>
      </c>
      <c r="P43" s="44">
        <f t="array" ref="P43">MAX(IF($A43='Booking Responses'!F:F,'Booking Responses'!D:D))</f>
        <v>45248</v>
      </c>
      <c r="Q43" s="45" t="str">
        <f t="array" ref="Q43">INDEX('Booking Responses'!C:C,MATCH(1,('Booking Responses'!F:F=A43)*('Booking Responses'!D:D=P43),0))</f>
        <v>Warehouse Project 2023</v>
      </c>
      <c r="R43" s="45">
        <f>COUNTIFS('Booking Responses'!F:F,"="&amp;A43,'Booking Responses'!E:E,"Small*")</f>
        <v>0</v>
      </c>
      <c r="S43" s="45">
        <f>COUNTIFS('Booking Responses'!F:F,"="&amp;A43,'Booking Responses'!E:E,"Medium*")</f>
        <v>3</v>
      </c>
      <c r="T43" s="45">
        <f>COUNTIFS('Booking Responses'!F:F,"="&amp;A43,'Booking Responses'!E:E,"Large*")</f>
        <v>2</v>
      </c>
      <c r="U43" s="42">
        <f t="shared" si="1"/>
        <v>12</v>
      </c>
      <c r="V43" s="42"/>
      <c r="W43" s="42"/>
      <c r="X43" s="42"/>
      <c r="Y43" s="42"/>
      <c r="Z43" s="42"/>
      <c r="AA43" s="42"/>
      <c r="AB43" s="42"/>
      <c r="AC43" s="42"/>
      <c r="AD43" s="42"/>
      <c r="AE43" s="42"/>
    </row>
    <row r="44">
      <c r="A44" s="19">
        <v>245.0</v>
      </c>
      <c r="B44" s="21" t="s">
        <v>315</v>
      </c>
      <c r="C44" s="21" t="s">
        <v>316</v>
      </c>
      <c r="D44" s="19"/>
      <c r="E44" s="19"/>
      <c r="F44" s="19"/>
      <c r="G44" s="19" t="s">
        <v>317</v>
      </c>
      <c r="H44" s="19" t="s">
        <v>21</v>
      </c>
      <c r="I44" s="19" t="s">
        <v>318</v>
      </c>
      <c r="J44" s="19" t="s">
        <v>319</v>
      </c>
      <c r="K44" s="25" t="s">
        <v>320</v>
      </c>
      <c r="L44" s="24"/>
      <c r="M44" s="37"/>
      <c r="N44" s="66"/>
      <c r="O44" s="25" t="s">
        <v>321</v>
      </c>
      <c r="P44" s="35">
        <f t="array" ref="P44">MAX(IF($A44='Booking Responses'!F:F,'Booking Responses'!D:D))</f>
        <v>0</v>
      </c>
      <c r="Q44" s="36" t="str">
        <f t="array" ref="Q44">INDEX('Booking Responses'!C:C,MATCH(1,('Booking Responses'!F:F=A44)*('Booking Responses'!D:D=P44),0))</f>
        <v>#N/A</v>
      </c>
      <c r="R44" s="36">
        <f>COUNTIFS('Booking Responses'!F:F,"="&amp;A44,'Booking Responses'!E:E,"Small*")</f>
        <v>0</v>
      </c>
      <c r="S44" s="36">
        <f>COUNTIFS('Booking Responses'!F:F,"="&amp;A44,'Booking Responses'!E:E,"Medium*")</f>
        <v>0</v>
      </c>
      <c r="T44" s="36">
        <f>COUNTIFS('Booking Responses'!F:F,"="&amp;A44,'Booking Responses'!E:E,"Large*")</f>
        <v>0</v>
      </c>
      <c r="U44" s="37">
        <f t="shared" si="1"/>
        <v>0</v>
      </c>
      <c r="V44" s="37"/>
      <c r="W44" s="37"/>
      <c r="X44" s="37"/>
      <c r="Y44" s="37"/>
      <c r="Z44" s="37"/>
      <c r="AA44" s="37"/>
      <c r="AB44" s="37"/>
      <c r="AC44" s="37"/>
      <c r="AD44" s="37"/>
      <c r="AE44" s="37"/>
    </row>
    <row r="45">
      <c r="A45" s="38">
        <v>246.0</v>
      </c>
      <c r="B45" s="39" t="s">
        <v>322</v>
      </c>
      <c r="C45" s="39" t="s">
        <v>323</v>
      </c>
      <c r="D45" s="38"/>
      <c r="E45" s="38"/>
      <c r="F45" s="38" t="s">
        <v>14</v>
      </c>
      <c r="G45" s="38"/>
      <c r="H45" s="38" t="s">
        <v>21</v>
      </c>
      <c r="I45" s="38" t="s">
        <v>324</v>
      </c>
      <c r="J45" s="38" t="s">
        <v>177</v>
      </c>
      <c r="K45" s="43"/>
      <c r="L45" s="46" t="s">
        <v>325</v>
      </c>
      <c r="M45" s="42"/>
      <c r="N45" s="61"/>
      <c r="O45" s="46" t="s">
        <v>326</v>
      </c>
      <c r="P45" s="44">
        <f t="array" ref="P45">MAX(IF($A45='Booking Responses'!F:F,'Booking Responses'!D:D))</f>
        <v>45458</v>
      </c>
      <c r="Q45" s="45" t="str">
        <f t="array" ref="Q45">INDEX('Booking Responses'!C:C,MATCH(1,('Booking Responses'!F:F=A45)*('Booking Responses'!D:D=P45),0))</f>
        <v>DAYTIMERS Festival</v>
      </c>
      <c r="R45" s="45">
        <f>COUNTIFS('Booking Responses'!F:F,"="&amp;A45,'Booking Responses'!E:E,"Small*")</f>
        <v>1</v>
      </c>
      <c r="S45" s="45">
        <f>COUNTIFS('Booking Responses'!F:F,"="&amp;A45,'Booking Responses'!E:E,"Medium*")</f>
        <v>1</v>
      </c>
      <c r="T45" s="45">
        <f>COUNTIFS('Booking Responses'!F:F,"="&amp;A45,'Booking Responses'!E:E,"Large*")</f>
        <v>0</v>
      </c>
      <c r="U45" s="42">
        <f t="shared" si="1"/>
        <v>3</v>
      </c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ht="63.75" customHeight="1">
      <c r="A46" s="19">
        <v>247.0</v>
      </c>
      <c r="B46" s="21" t="s">
        <v>327</v>
      </c>
      <c r="C46" s="21" t="s">
        <v>328</v>
      </c>
      <c r="D46" s="19"/>
      <c r="E46" s="19"/>
      <c r="F46" s="19" t="s">
        <v>329</v>
      </c>
      <c r="G46" s="19"/>
      <c r="H46" s="19" t="s">
        <v>32</v>
      </c>
      <c r="I46" s="19" t="s">
        <v>330</v>
      </c>
      <c r="J46" s="19" t="s">
        <v>331</v>
      </c>
      <c r="K46" s="25" t="s">
        <v>332</v>
      </c>
      <c r="L46" s="25" t="s">
        <v>333</v>
      </c>
      <c r="M46" s="37"/>
      <c r="N46" s="66"/>
      <c r="O46" s="25" t="s">
        <v>333</v>
      </c>
      <c r="P46" s="35">
        <f t="array" ref="P46">MAX(IF($A46='Booking Responses'!F:F,'Booking Responses'!D:D))</f>
        <v>0</v>
      </c>
      <c r="Q46" s="36" t="str">
        <f t="array" ref="Q46">INDEX('Booking Responses'!C:C,MATCH(1,('Booking Responses'!F:F=A46)*('Booking Responses'!D:D=P46),0))</f>
        <v>#N/A</v>
      </c>
      <c r="R46" s="36">
        <f>COUNTIFS('Booking Responses'!F:F,"="&amp;A46,'Booking Responses'!E:E,"Small*")</f>
        <v>0</v>
      </c>
      <c r="S46" s="36">
        <f>COUNTIFS('Booking Responses'!F:F,"="&amp;A46,'Booking Responses'!E:E,"Medium*")</f>
        <v>0</v>
      </c>
      <c r="T46" s="36">
        <f>COUNTIFS('Booking Responses'!F:F,"="&amp;A46,'Booking Responses'!E:E,"Large*")</f>
        <v>0</v>
      </c>
      <c r="U46" s="37">
        <f t="shared" si="1"/>
        <v>0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</row>
    <row r="47" ht="39.0" customHeight="1">
      <c r="A47" s="38">
        <v>248.0</v>
      </c>
      <c r="B47" s="39" t="s">
        <v>334</v>
      </c>
      <c r="C47" s="39" t="s">
        <v>335</v>
      </c>
      <c r="D47" s="38"/>
      <c r="E47" s="38"/>
      <c r="F47" s="38" t="s">
        <v>336</v>
      </c>
      <c r="G47" s="38"/>
      <c r="H47" s="38" t="s">
        <v>21</v>
      </c>
      <c r="I47" s="38" t="s">
        <v>337</v>
      </c>
      <c r="J47" s="38" t="s">
        <v>338</v>
      </c>
      <c r="K47" s="46" t="s">
        <v>339</v>
      </c>
      <c r="L47" s="46" t="s">
        <v>340</v>
      </c>
      <c r="M47" s="42"/>
      <c r="N47" s="61"/>
      <c r="O47" s="46" t="s">
        <v>340</v>
      </c>
      <c r="P47" s="44">
        <f t="array" ref="P47">MAX(IF($A47='Booking Responses'!F:F,'Booking Responses'!D:D))</f>
        <v>0</v>
      </c>
      <c r="Q47" s="45" t="str">
        <f t="array" ref="Q47">INDEX('Booking Responses'!C:C,MATCH(1,('Booking Responses'!F:F=A47)*('Booking Responses'!D:D=P47),0))</f>
        <v>#N/A</v>
      </c>
      <c r="R47" s="45">
        <f>COUNTIFS('Booking Responses'!F:F,"="&amp;A47,'Booking Responses'!E:E,"Small*")</f>
        <v>0</v>
      </c>
      <c r="S47" s="45">
        <f>COUNTIFS('Booking Responses'!F:F,"="&amp;A47,'Booking Responses'!E:E,"Medium*")</f>
        <v>0</v>
      </c>
      <c r="T47" s="45">
        <f>COUNTIFS('Booking Responses'!F:F,"="&amp;A47,'Booking Responses'!E:E,"Large*")</f>
        <v>0</v>
      </c>
      <c r="U47" s="42">
        <f t="shared" si="1"/>
        <v>0</v>
      </c>
      <c r="V47" s="42"/>
      <c r="W47" s="42"/>
      <c r="X47" s="42"/>
      <c r="Y47" s="42"/>
      <c r="Z47" s="42"/>
      <c r="AA47" s="42"/>
      <c r="AB47" s="42"/>
      <c r="AC47" s="42"/>
      <c r="AD47" s="42"/>
      <c r="AE47" s="42"/>
    </row>
    <row r="48" ht="23.25" customHeight="1">
      <c r="A48" s="19">
        <v>249.0</v>
      </c>
      <c r="B48" s="21" t="s">
        <v>341</v>
      </c>
      <c r="C48" s="21" t="s">
        <v>342</v>
      </c>
      <c r="D48" s="19"/>
      <c r="E48" s="19"/>
      <c r="F48" s="19" t="s">
        <v>66</v>
      </c>
      <c r="G48" s="19"/>
      <c r="H48" s="19" t="s">
        <v>21</v>
      </c>
      <c r="I48" s="19" t="s">
        <v>343</v>
      </c>
      <c r="J48" s="19" t="s">
        <v>344</v>
      </c>
      <c r="K48" s="25" t="s">
        <v>345</v>
      </c>
      <c r="L48" s="25" t="s">
        <v>346</v>
      </c>
      <c r="M48" s="37"/>
      <c r="N48" s="66"/>
      <c r="O48" s="25" t="s">
        <v>346</v>
      </c>
      <c r="P48" s="35">
        <f t="array" ref="P48">MAX(IF($A48='Booking Responses'!F:F,'Booking Responses'!D:D))</f>
        <v>0</v>
      </c>
      <c r="Q48" s="36" t="str">
        <f t="array" ref="Q48">INDEX('Booking Responses'!C:C,MATCH(1,('Booking Responses'!F:F=A48)*('Booking Responses'!D:D=P48),0))</f>
        <v>#N/A</v>
      </c>
      <c r="R48" s="36">
        <f>COUNTIFS('Booking Responses'!F:F,"="&amp;A48,'Booking Responses'!E:E,"Small*")</f>
        <v>0</v>
      </c>
      <c r="S48" s="36">
        <f>COUNTIFS('Booking Responses'!F:F,"="&amp;A48,'Booking Responses'!E:E,"Medium*")</f>
        <v>0</v>
      </c>
      <c r="T48" s="36">
        <f>COUNTIFS('Booking Responses'!F:F,"="&amp;A48,'Booking Responses'!E:E,"Large*")</f>
        <v>0</v>
      </c>
      <c r="U48" s="37">
        <f t="shared" si="1"/>
        <v>0</v>
      </c>
      <c r="V48" s="37"/>
      <c r="W48" s="37"/>
      <c r="X48" s="37"/>
      <c r="Y48" s="37"/>
      <c r="Z48" s="37"/>
      <c r="AA48" s="37"/>
      <c r="AB48" s="37"/>
      <c r="AC48" s="37"/>
      <c r="AD48" s="37"/>
      <c r="AE48" s="37"/>
    </row>
    <row r="49">
      <c r="A49" s="38">
        <v>250.0</v>
      </c>
      <c r="B49" s="39" t="s">
        <v>347</v>
      </c>
      <c r="C49" s="39" t="s">
        <v>348</v>
      </c>
      <c r="D49" s="38"/>
      <c r="E49" s="38"/>
      <c r="F49" s="38" t="s">
        <v>14</v>
      </c>
      <c r="G49" s="38"/>
      <c r="H49" s="38" t="s">
        <v>21</v>
      </c>
      <c r="I49" s="38" t="s">
        <v>349</v>
      </c>
      <c r="J49" s="38" t="s">
        <v>350</v>
      </c>
      <c r="K49" s="46" t="s">
        <v>351</v>
      </c>
      <c r="L49" s="46" t="s">
        <v>352</v>
      </c>
      <c r="M49" s="65" t="s">
        <v>353</v>
      </c>
      <c r="N49" s="65" t="s">
        <v>354</v>
      </c>
      <c r="O49" s="46" t="s">
        <v>355</v>
      </c>
      <c r="P49" s="44">
        <f t="array" ref="P49">MAX(IF($A49='Booking Responses'!F:F,'Booking Responses'!D:D))</f>
        <v>0</v>
      </c>
      <c r="Q49" s="45" t="str">
        <f t="array" ref="Q49">INDEX('Booking Responses'!C:C,MATCH(1,('Booking Responses'!F:F=A49)*('Booking Responses'!D:D=P49),0))</f>
        <v>#N/A</v>
      </c>
      <c r="R49" s="45">
        <f>COUNTIFS('Booking Responses'!F:F,"="&amp;A49,'Booking Responses'!E:E,"Small*")</f>
        <v>0</v>
      </c>
      <c r="S49" s="45">
        <f>COUNTIFS('Booking Responses'!F:F,"="&amp;A49,'Booking Responses'!E:E,"Medium*")</f>
        <v>0</v>
      </c>
      <c r="T49" s="45">
        <f>COUNTIFS('Booking Responses'!F:F,"="&amp;A49,'Booking Responses'!E:E,"Large*")</f>
        <v>0</v>
      </c>
      <c r="U49" s="42">
        <f t="shared" si="1"/>
        <v>0</v>
      </c>
      <c r="V49" s="42"/>
      <c r="W49" s="42"/>
      <c r="X49" s="42"/>
      <c r="Y49" s="42"/>
      <c r="Z49" s="42"/>
      <c r="AA49" s="42"/>
      <c r="AB49" s="42"/>
      <c r="AC49" s="42"/>
      <c r="AD49" s="42"/>
      <c r="AE49" s="42"/>
    </row>
    <row r="50">
      <c r="A50" s="19">
        <v>251.0</v>
      </c>
      <c r="B50" s="21" t="s">
        <v>356</v>
      </c>
      <c r="C50" s="21" t="s">
        <v>357</v>
      </c>
      <c r="D50" s="19"/>
      <c r="E50" s="19"/>
      <c r="F50" s="19" t="s">
        <v>122</v>
      </c>
      <c r="G50" s="19"/>
      <c r="H50" s="19" t="s">
        <v>32</v>
      </c>
      <c r="I50" s="19" t="s">
        <v>358</v>
      </c>
      <c r="J50" s="19" t="s">
        <v>359</v>
      </c>
      <c r="K50" s="25" t="s">
        <v>360</v>
      </c>
      <c r="L50" s="25" t="s">
        <v>361</v>
      </c>
      <c r="M50" s="66"/>
      <c r="N50" s="68" t="s">
        <v>362</v>
      </c>
      <c r="O50" s="25" t="s">
        <v>363</v>
      </c>
      <c r="P50" s="35">
        <f t="array" ref="P50">MAX(IF($A50='Booking Responses'!F:F,'Booking Responses'!D:D))</f>
        <v>0</v>
      </c>
      <c r="Q50" s="36" t="str">
        <f t="array" ref="Q50">INDEX('Booking Responses'!C:C,MATCH(1,('Booking Responses'!F:F=A50)*('Booking Responses'!D:D=P50),0))</f>
        <v>#N/A</v>
      </c>
      <c r="R50" s="36">
        <f>COUNTIFS('Booking Responses'!F:F,"="&amp;A50,'Booking Responses'!E:E,"Small*")</f>
        <v>0</v>
      </c>
      <c r="S50" s="36">
        <f>COUNTIFS('Booking Responses'!F:F,"="&amp;A50,'Booking Responses'!E:E,"Medium*")</f>
        <v>0</v>
      </c>
      <c r="T50" s="36">
        <f>COUNTIFS('Booking Responses'!F:F,"="&amp;A50,'Booking Responses'!E:E,"Large*")</f>
        <v>0</v>
      </c>
      <c r="U50" s="37">
        <f t="shared" si="1"/>
        <v>0</v>
      </c>
      <c r="V50" s="37"/>
      <c r="W50" s="37"/>
      <c r="X50" s="37"/>
      <c r="Y50" s="37"/>
      <c r="Z50" s="37"/>
      <c r="AA50" s="37"/>
      <c r="AB50" s="37"/>
      <c r="AC50" s="37"/>
      <c r="AD50" s="37"/>
      <c r="AE50" s="37"/>
    </row>
    <row r="51">
      <c r="A51" s="38">
        <v>252.0</v>
      </c>
      <c r="B51" s="39" t="s">
        <v>364</v>
      </c>
      <c r="C51" s="39" t="s">
        <v>365</v>
      </c>
      <c r="D51" s="38"/>
      <c r="E51" s="38"/>
      <c r="F51" s="38" t="s">
        <v>366</v>
      </c>
      <c r="G51" s="38"/>
      <c r="H51" s="38" t="s">
        <v>21</v>
      </c>
      <c r="I51" s="38" t="s">
        <v>367</v>
      </c>
      <c r="J51" s="38"/>
      <c r="K51" s="43"/>
      <c r="L51" s="43"/>
      <c r="M51" s="61"/>
      <c r="N51" s="65" t="s">
        <v>368</v>
      </c>
      <c r="O51" s="46" t="s">
        <v>369</v>
      </c>
      <c r="P51" s="44">
        <f t="array" ref="P51">MAX(IF($A51='Booking Responses'!F:F,'Booking Responses'!D:D))</f>
        <v>0</v>
      </c>
      <c r="Q51" s="45" t="str">
        <f t="array" ref="Q51">INDEX('Booking Responses'!C:C,MATCH(1,('Booking Responses'!F:F=A51)*('Booking Responses'!D:D=P51),0))</f>
        <v>#N/A</v>
      </c>
      <c r="R51" s="45">
        <f>COUNTIFS('Booking Responses'!F:F,"="&amp;A51,'Booking Responses'!E:E,"Small*")</f>
        <v>0</v>
      </c>
      <c r="S51" s="45">
        <f>COUNTIFS('Booking Responses'!F:F,"="&amp;A51,'Booking Responses'!E:E,"Medium*")</f>
        <v>0</v>
      </c>
      <c r="T51" s="45">
        <f>COUNTIFS('Booking Responses'!F:F,"="&amp;A51,'Booking Responses'!E:E,"Large*")</f>
        <v>0</v>
      </c>
      <c r="U51" s="42">
        <f t="shared" si="1"/>
        <v>0</v>
      </c>
      <c r="V51" s="42"/>
      <c r="W51" s="42"/>
      <c r="X51" s="42"/>
      <c r="Y51" s="42"/>
      <c r="Z51" s="42"/>
      <c r="AA51" s="42"/>
      <c r="AB51" s="42"/>
      <c r="AC51" s="42"/>
      <c r="AD51" s="42"/>
      <c r="AE51" s="42"/>
    </row>
    <row r="52">
      <c r="A52" s="19">
        <v>253.0</v>
      </c>
      <c r="B52" s="21" t="s">
        <v>370</v>
      </c>
      <c r="C52" s="21" t="s">
        <v>371</v>
      </c>
      <c r="D52" s="19"/>
      <c r="E52" s="19"/>
      <c r="F52" s="19" t="s">
        <v>14</v>
      </c>
      <c r="G52" s="19"/>
      <c r="H52" s="19" t="s">
        <v>21</v>
      </c>
      <c r="I52" s="19" t="s">
        <v>372</v>
      </c>
      <c r="J52" s="19"/>
      <c r="K52" s="25" t="s">
        <v>373</v>
      </c>
      <c r="L52" s="25" t="s">
        <v>374</v>
      </c>
      <c r="M52" s="66"/>
      <c r="N52" s="66"/>
      <c r="O52" s="25" t="s">
        <v>375</v>
      </c>
      <c r="P52" s="35">
        <f t="array" ref="P52">MAX(IF($A52='Booking Responses'!F:F,'Booking Responses'!D:D))</f>
        <v>0</v>
      </c>
      <c r="Q52" s="36" t="str">
        <f t="array" ref="Q52">INDEX('Booking Responses'!C:C,MATCH(1,('Booking Responses'!F:F=A52)*('Booking Responses'!D:D=P52),0))</f>
        <v>#N/A</v>
      </c>
      <c r="R52" s="36">
        <f>COUNTIFS('Booking Responses'!F:F,"="&amp;A52,'Booking Responses'!E:E,"Small*")</f>
        <v>0</v>
      </c>
      <c r="S52" s="36">
        <f>COUNTIFS('Booking Responses'!F:F,"="&amp;A52,'Booking Responses'!E:E,"Medium*")</f>
        <v>0</v>
      </c>
      <c r="T52" s="36">
        <f>COUNTIFS('Booking Responses'!F:F,"="&amp;A52,'Booking Responses'!E:E,"Large*")</f>
        <v>0</v>
      </c>
      <c r="U52" s="37">
        <f t="shared" si="1"/>
        <v>0</v>
      </c>
      <c r="V52" s="37"/>
      <c r="W52" s="37"/>
      <c r="X52" s="37"/>
      <c r="Y52" s="37"/>
      <c r="Z52" s="37"/>
      <c r="AA52" s="37"/>
      <c r="AB52" s="37"/>
      <c r="AC52" s="37"/>
      <c r="AD52" s="37"/>
      <c r="AE52" s="37"/>
    </row>
    <row r="53">
      <c r="A53" s="38">
        <v>254.0</v>
      </c>
      <c r="B53" s="39" t="s">
        <v>376</v>
      </c>
      <c r="C53" s="39" t="s">
        <v>377</v>
      </c>
      <c r="D53" s="38"/>
      <c r="E53" s="38"/>
      <c r="F53" s="38" t="s">
        <v>66</v>
      </c>
      <c r="G53" s="38"/>
      <c r="H53" s="38" t="s">
        <v>21</v>
      </c>
      <c r="I53" s="38" t="s">
        <v>378</v>
      </c>
      <c r="J53" s="38" t="s">
        <v>379</v>
      </c>
      <c r="K53" s="46" t="s">
        <v>380</v>
      </c>
      <c r="L53" s="43"/>
      <c r="M53" s="61"/>
      <c r="N53" s="61"/>
      <c r="O53" s="46" t="s">
        <v>381</v>
      </c>
      <c r="P53" s="44">
        <f t="array" ref="P53">MAX(IF($A53='Booking Responses'!F:F,'Booking Responses'!D:D))</f>
        <v>44317</v>
      </c>
      <c r="Q53" s="45" t="str">
        <f t="array" ref="Q53">INDEX('Booking Responses'!C:C,MATCH(1,('Booking Responses'!F:F=A53)*('Booking Responses'!D:D=P53),0))</f>
        <v>Late Night Shopper Stream 2021</v>
      </c>
      <c r="R53" s="45">
        <f>COUNTIFS('Booking Responses'!F:F,"="&amp;A53,'Booking Responses'!E:E,"Small*")</f>
        <v>0</v>
      </c>
      <c r="S53" s="45">
        <f>COUNTIFS('Booking Responses'!F:F,"="&amp;A53,'Booking Responses'!E:E,"Medium*")</f>
        <v>1</v>
      </c>
      <c r="T53" s="45">
        <f>COUNTIFS('Booking Responses'!F:F,"="&amp;A53,'Booking Responses'!E:E,"Large*")</f>
        <v>0</v>
      </c>
      <c r="U53" s="42">
        <f t="shared" si="1"/>
        <v>2</v>
      </c>
      <c r="V53" s="42"/>
      <c r="W53" s="42"/>
      <c r="X53" s="42"/>
      <c r="Y53" s="42"/>
      <c r="Z53" s="42"/>
      <c r="AA53" s="42"/>
      <c r="AB53" s="42"/>
      <c r="AC53" s="42"/>
      <c r="AD53" s="42"/>
      <c r="AE53" s="42"/>
    </row>
    <row r="54">
      <c r="A54" s="19">
        <v>255.0</v>
      </c>
      <c r="B54" s="21" t="s">
        <v>382</v>
      </c>
      <c r="C54" s="21" t="s">
        <v>383</v>
      </c>
      <c r="D54" s="19"/>
      <c r="E54" s="19"/>
      <c r="F54" s="19" t="s">
        <v>14</v>
      </c>
      <c r="G54" s="19"/>
      <c r="H54" s="19" t="s">
        <v>21</v>
      </c>
      <c r="I54" s="19" t="s">
        <v>384</v>
      </c>
      <c r="J54" s="19" t="s">
        <v>385</v>
      </c>
      <c r="K54" s="25" t="s">
        <v>386</v>
      </c>
      <c r="L54" s="25" t="s">
        <v>387</v>
      </c>
      <c r="M54" s="66"/>
      <c r="N54" s="68" t="s">
        <v>388</v>
      </c>
      <c r="O54" s="25" t="s">
        <v>387</v>
      </c>
      <c r="P54" s="35">
        <f t="array" ref="P54">MAX(IF($A54='Booking Responses'!F:F,'Booking Responses'!D:D))</f>
        <v>45325</v>
      </c>
      <c r="Q54" s="36" t="str">
        <f t="array" ref="Q54">INDEX('Booking Responses'!C:C,MATCH(1,('Booking Responses'!F:F=A54)*('Booking Responses'!D:D=P54),0))</f>
        <v>DT x NDR Versus</v>
      </c>
      <c r="R54" s="36">
        <f>COUNTIFS('Booking Responses'!F:F,"="&amp;A54,'Booking Responses'!E:E,"Small*")</f>
        <v>1</v>
      </c>
      <c r="S54" s="36">
        <f>COUNTIFS('Booking Responses'!F:F,"="&amp;A54,'Booking Responses'!E:E,"Medium*")</f>
        <v>4</v>
      </c>
      <c r="T54" s="36">
        <f>COUNTIFS('Booking Responses'!F:F,"="&amp;A54,'Booking Responses'!E:E,"Large*")</f>
        <v>2</v>
      </c>
      <c r="U54" s="37">
        <f t="shared" si="1"/>
        <v>15</v>
      </c>
      <c r="V54" s="37"/>
      <c r="W54" s="37"/>
      <c r="X54" s="37"/>
      <c r="Y54" s="37"/>
      <c r="Z54" s="37"/>
      <c r="AA54" s="37"/>
      <c r="AB54" s="37"/>
      <c r="AC54" s="37"/>
      <c r="AD54" s="37"/>
      <c r="AE54" s="37"/>
    </row>
    <row r="55">
      <c r="A55" s="38">
        <v>256.0</v>
      </c>
      <c r="B55" s="39" t="s">
        <v>389</v>
      </c>
      <c r="C55" s="39" t="s">
        <v>390</v>
      </c>
      <c r="D55" s="38"/>
      <c r="E55" s="38"/>
      <c r="F55" s="38" t="s">
        <v>14</v>
      </c>
      <c r="G55" s="38" t="s">
        <v>204</v>
      </c>
      <c r="H55" s="38" t="s">
        <v>21</v>
      </c>
      <c r="I55" s="38" t="s">
        <v>391</v>
      </c>
      <c r="J55" s="38"/>
      <c r="K55" s="46" t="s">
        <v>392</v>
      </c>
      <c r="L55" s="43"/>
      <c r="M55" s="61"/>
      <c r="N55" s="61"/>
      <c r="O55" s="46" t="s">
        <v>393</v>
      </c>
      <c r="P55" s="44">
        <f t="array" ref="P55">MAX(IF($A55='Booking Responses'!F:F,'Booking Responses'!D:D))</f>
        <v>0</v>
      </c>
      <c r="Q55" s="45" t="str">
        <f t="array" ref="Q55">INDEX('Booking Responses'!C:C,MATCH(1,('Booking Responses'!F:F=A55)*('Booking Responses'!D:D=P55),0))</f>
        <v>#N/A</v>
      </c>
      <c r="R55" s="45">
        <f>COUNTIFS('Booking Responses'!F:F,"="&amp;A55,'Booking Responses'!E:E,"Small*")</f>
        <v>0</v>
      </c>
      <c r="S55" s="45">
        <f>COUNTIFS('Booking Responses'!F:F,"="&amp;A55,'Booking Responses'!E:E,"Medium*")</f>
        <v>0</v>
      </c>
      <c r="T55" s="45">
        <f>COUNTIFS('Booking Responses'!F:F,"="&amp;A55,'Booking Responses'!E:E,"Large*")</f>
        <v>0</v>
      </c>
      <c r="U55" s="42">
        <f t="shared" si="1"/>
        <v>0</v>
      </c>
      <c r="V55" s="42"/>
      <c r="W55" s="42"/>
      <c r="X55" s="42"/>
      <c r="Y55" s="42"/>
      <c r="Z55" s="42"/>
      <c r="AA55" s="42"/>
      <c r="AB55" s="42"/>
      <c r="AC55" s="42"/>
      <c r="AD55" s="42"/>
      <c r="AE55" s="42"/>
    </row>
    <row r="56">
      <c r="A56" s="19">
        <v>257.0</v>
      </c>
      <c r="B56" s="21" t="s">
        <v>394</v>
      </c>
      <c r="C56" s="21" t="s">
        <v>395</v>
      </c>
      <c r="D56" s="19"/>
      <c r="E56" s="19"/>
      <c r="F56" s="19" t="s">
        <v>14</v>
      </c>
      <c r="G56" s="19"/>
      <c r="H56" s="19" t="s">
        <v>21</v>
      </c>
      <c r="I56" s="19" t="s">
        <v>396</v>
      </c>
      <c r="J56" s="19"/>
      <c r="K56" s="25" t="s">
        <v>397</v>
      </c>
      <c r="L56" s="25" t="s">
        <v>398</v>
      </c>
      <c r="M56" s="66"/>
      <c r="N56" s="66"/>
      <c r="O56" s="25" t="s">
        <v>398</v>
      </c>
      <c r="P56" s="35">
        <f t="array" ref="P56">MAX(IF($A56='Booking Responses'!F:F,'Booking Responses'!D:D))</f>
        <v>45017</v>
      </c>
      <c r="Q56" s="36" t="str">
        <f t="array" ref="Q56">INDEX('Booking Responses'!C:C,MATCH(1,('Booking Responses'!F:F=A56)*('Booking Responses'!D:D=P56),0))</f>
        <v>Spotify Launch Party 2023</v>
      </c>
      <c r="R56" s="36">
        <f>COUNTIFS('Booking Responses'!F:F,"="&amp;A56,'Booking Responses'!E:E,"Small*")</f>
        <v>1</v>
      </c>
      <c r="S56" s="36">
        <f>COUNTIFS('Booking Responses'!F:F,"="&amp;A56,'Booking Responses'!E:E,"Medium*")</f>
        <v>1</v>
      </c>
      <c r="T56" s="36">
        <f>COUNTIFS('Booking Responses'!F:F,"="&amp;A56,'Booking Responses'!E:E,"Large*")</f>
        <v>0</v>
      </c>
      <c r="U56" s="37">
        <f t="shared" si="1"/>
        <v>3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</row>
    <row r="57">
      <c r="A57" s="38">
        <v>258.0</v>
      </c>
      <c r="B57" s="39" t="s">
        <v>399</v>
      </c>
      <c r="C57" s="39" t="s">
        <v>400</v>
      </c>
      <c r="D57" s="38"/>
      <c r="E57" s="38"/>
      <c r="F57" s="38" t="s">
        <v>14</v>
      </c>
      <c r="G57" s="38"/>
      <c r="H57" s="38" t="s">
        <v>21</v>
      </c>
      <c r="I57" s="38" t="s">
        <v>401</v>
      </c>
      <c r="J57" s="38" t="s">
        <v>402</v>
      </c>
      <c r="K57" s="46" t="s">
        <v>403</v>
      </c>
      <c r="L57" s="46" t="s">
        <v>404</v>
      </c>
      <c r="M57" s="61"/>
      <c r="N57" s="61"/>
      <c r="O57" s="46" t="s">
        <v>405</v>
      </c>
      <c r="P57" s="44">
        <f t="array" ref="P57">MAX(IF($A57='Booking Responses'!F:F,'Booking Responses'!D:D))</f>
        <v>45149</v>
      </c>
      <c r="Q57" s="45" t="str">
        <f t="array" ref="Q57">INDEX('Booking Responses'!C:C,MATCH(1,('Booking Responses'!F:F=A57)*('Booking Responses'!D:D=P57),0))</f>
        <v>Phonox Residency August 2023</v>
      </c>
      <c r="R57" s="45">
        <f>COUNTIFS('Booking Responses'!F:F,"="&amp;A57,'Booking Responses'!E:E,"Small*")</f>
        <v>4</v>
      </c>
      <c r="S57" s="45">
        <f>COUNTIFS('Booking Responses'!F:F,"="&amp;A57,'Booking Responses'!E:E,"Medium*")</f>
        <v>4</v>
      </c>
      <c r="T57" s="45">
        <f>COUNTIFS('Booking Responses'!F:F,"="&amp;A57,'Booking Responses'!E:E,"Large*")</f>
        <v>2</v>
      </c>
      <c r="U57" s="42">
        <f t="shared" si="1"/>
        <v>18</v>
      </c>
      <c r="V57" s="42"/>
      <c r="W57" s="42"/>
      <c r="X57" s="42"/>
      <c r="Y57" s="42"/>
      <c r="Z57" s="42"/>
      <c r="AA57" s="42"/>
      <c r="AB57" s="42"/>
      <c r="AC57" s="42"/>
      <c r="AD57" s="42"/>
      <c r="AE57" s="42"/>
    </row>
    <row r="58">
      <c r="A58" s="19">
        <v>259.0</v>
      </c>
      <c r="B58" s="21" t="s">
        <v>406</v>
      </c>
      <c r="C58" s="21" t="s">
        <v>407</v>
      </c>
      <c r="D58" s="19"/>
      <c r="E58" s="19"/>
      <c r="F58" s="19"/>
      <c r="G58" s="19" t="s">
        <v>408</v>
      </c>
      <c r="H58" s="19" t="s">
        <v>21</v>
      </c>
      <c r="I58" s="19" t="s">
        <v>409</v>
      </c>
      <c r="J58" s="19" t="s">
        <v>410</v>
      </c>
      <c r="K58" s="25" t="s">
        <v>411</v>
      </c>
      <c r="L58" s="25" t="s">
        <v>412</v>
      </c>
      <c r="M58" s="66"/>
      <c r="N58" s="66"/>
      <c r="O58" s="25" t="s">
        <v>413</v>
      </c>
      <c r="P58" s="35">
        <f t="array" ref="P58">MAX(IF($A58='Booking Responses'!F:F,'Booking Responses'!D:D))</f>
        <v>0</v>
      </c>
      <c r="Q58" s="36" t="str">
        <f t="array" ref="Q58">INDEX('Booking Responses'!C:C,MATCH(1,('Booking Responses'!F:F=A58)*('Booking Responses'!D:D=P58),0))</f>
        <v>#N/A</v>
      </c>
      <c r="R58" s="36">
        <f>COUNTIFS('Booking Responses'!F:F,"="&amp;A58,'Booking Responses'!E:E,"Small*")</f>
        <v>0</v>
      </c>
      <c r="S58" s="36">
        <f>COUNTIFS('Booking Responses'!F:F,"="&amp;A58,'Booking Responses'!E:E,"Medium*")</f>
        <v>0</v>
      </c>
      <c r="T58" s="36">
        <f>COUNTIFS('Booking Responses'!F:F,"="&amp;A58,'Booking Responses'!E:E,"Large*")</f>
        <v>0</v>
      </c>
      <c r="U58" s="37">
        <f t="shared" si="1"/>
        <v>0</v>
      </c>
      <c r="V58" s="37"/>
      <c r="W58" s="37"/>
      <c r="X58" s="37"/>
      <c r="Y58" s="37"/>
      <c r="Z58" s="37"/>
      <c r="AA58" s="37"/>
      <c r="AB58" s="37"/>
      <c r="AC58" s="37"/>
      <c r="AD58" s="37"/>
      <c r="AE58" s="37"/>
    </row>
    <row r="59">
      <c r="A59" s="38">
        <v>260.0</v>
      </c>
      <c r="B59" s="39" t="s">
        <v>414</v>
      </c>
      <c r="C59" s="39" t="s">
        <v>414</v>
      </c>
      <c r="D59" s="38"/>
      <c r="E59" s="38"/>
      <c r="F59" s="38" t="s">
        <v>14</v>
      </c>
      <c r="G59" s="38"/>
      <c r="H59" s="38" t="s">
        <v>415</v>
      </c>
      <c r="I59" s="38" t="s">
        <v>416</v>
      </c>
      <c r="J59" s="38" t="s">
        <v>417</v>
      </c>
      <c r="K59" s="46" t="s">
        <v>418</v>
      </c>
      <c r="L59" s="43"/>
      <c r="M59" s="61"/>
      <c r="N59" s="61"/>
      <c r="O59" s="46" t="s">
        <v>419</v>
      </c>
      <c r="P59" s="44">
        <f t="array" ref="P59">MAX(IF($A59='Booking Responses'!F:F,'Booking Responses'!D:D))</f>
        <v>0</v>
      </c>
      <c r="Q59" s="45" t="str">
        <f t="array" ref="Q59">INDEX('Booking Responses'!C:C,MATCH(1,('Booking Responses'!F:F=A59)*('Booking Responses'!D:D=P59),0))</f>
        <v>#N/A</v>
      </c>
      <c r="R59" s="45">
        <f>COUNTIFS('Booking Responses'!F:F,"="&amp;A59,'Booking Responses'!E:E,"Small*")</f>
        <v>0</v>
      </c>
      <c r="S59" s="45">
        <f>COUNTIFS('Booking Responses'!F:F,"="&amp;A59,'Booking Responses'!E:E,"Medium*")</f>
        <v>0</v>
      </c>
      <c r="T59" s="45">
        <f>COUNTIFS('Booking Responses'!F:F,"="&amp;A59,'Booking Responses'!E:E,"Large*")</f>
        <v>0</v>
      </c>
      <c r="U59" s="42">
        <f t="shared" si="1"/>
        <v>0</v>
      </c>
      <c r="V59" s="42"/>
      <c r="W59" s="42"/>
      <c r="X59" s="42"/>
      <c r="Y59" s="42"/>
      <c r="Z59" s="42"/>
      <c r="AA59" s="42"/>
      <c r="AB59" s="42"/>
      <c r="AC59" s="42"/>
      <c r="AD59" s="42"/>
      <c r="AE59" s="42"/>
    </row>
    <row r="60">
      <c r="A60" s="19">
        <v>261.0</v>
      </c>
      <c r="B60" s="21" t="s">
        <v>420</v>
      </c>
      <c r="C60" s="21" t="s">
        <v>421</v>
      </c>
      <c r="D60" s="19"/>
      <c r="E60" s="19"/>
      <c r="F60" s="19" t="s">
        <v>14</v>
      </c>
      <c r="G60" s="19"/>
      <c r="H60" s="19" t="s">
        <v>21</v>
      </c>
      <c r="I60" s="19" t="s">
        <v>422</v>
      </c>
      <c r="J60" s="19"/>
      <c r="K60" s="24"/>
      <c r="L60" s="25" t="s">
        <v>423</v>
      </c>
      <c r="M60" s="66"/>
      <c r="N60" s="68" t="s">
        <v>424</v>
      </c>
      <c r="O60" s="25" t="s">
        <v>425</v>
      </c>
      <c r="P60" s="35">
        <f t="array" ref="P60">MAX(IF($A60='Booking Responses'!F:F,'Booking Responses'!D:D))</f>
        <v>0</v>
      </c>
      <c r="Q60" s="36" t="str">
        <f t="array" ref="Q60">INDEX('Booking Responses'!C:C,MATCH(1,('Booking Responses'!F:F=A60)*('Booking Responses'!D:D=P60),0))</f>
        <v>#N/A</v>
      </c>
      <c r="R60" s="36">
        <f>COUNTIFS('Booking Responses'!F:F,"="&amp;A60,'Booking Responses'!E:E,"Small*")</f>
        <v>0</v>
      </c>
      <c r="S60" s="36">
        <f>COUNTIFS('Booking Responses'!F:F,"="&amp;A60,'Booking Responses'!E:E,"Medium*")</f>
        <v>0</v>
      </c>
      <c r="T60" s="36">
        <f>COUNTIFS('Booking Responses'!F:F,"="&amp;A60,'Booking Responses'!E:E,"Large*")</f>
        <v>0</v>
      </c>
      <c r="U60" s="37">
        <f t="shared" si="1"/>
        <v>0</v>
      </c>
      <c r="V60" s="37"/>
      <c r="W60" s="37"/>
      <c r="X60" s="37"/>
      <c r="Y60" s="37"/>
      <c r="Z60" s="37"/>
      <c r="AA60" s="37"/>
      <c r="AB60" s="37"/>
      <c r="AC60" s="37"/>
      <c r="AD60" s="37"/>
      <c r="AE60" s="37"/>
    </row>
    <row r="61">
      <c r="A61" s="38">
        <v>262.0</v>
      </c>
      <c r="B61" s="39" t="s">
        <v>426</v>
      </c>
      <c r="C61" s="39"/>
      <c r="D61" s="38"/>
      <c r="E61" s="38"/>
      <c r="F61" s="38"/>
      <c r="G61" s="38"/>
      <c r="H61" s="38" t="s">
        <v>21</v>
      </c>
      <c r="I61" s="38"/>
      <c r="J61" s="38"/>
      <c r="K61" s="43"/>
      <c r="L61" s="43"/>
      <c r="M61" s="61"/>
      <c r="N61" s="61"/>
      <c r="O61" s="43"/>
      <c r="P61" s="44">
        <f t="array" ref="P61">MAX(IF($A61='Booking Responses'!F:F,'Booking Responses'!D:D))</f>
        <v>44413</v>
      </c>
      <c r="Q61" s="45" t="str">
        <f t="array" ref="Q61">INDEX('Booking Responses'!C:C,MATCH(1,('Booking Responses'!F:F=A61)*('Booking Responses'!D:D=P61),0))</f>
        <v>Boiler Room</v>
      </c>
      <c r="R61" s="45">
        <f>COUNTIFS('Booking Responses'!F:F,"="&amp;A61,'Booking Responses'!E:E,"Small*")</f>
        <v>0</v>
      </c>
      <c r="S61" s="45">
        <f>COUNTIFS('Booking Responses'!F:F,"="&amp;A61,'Booking Responses'!E:E,"Medium*")</f>
        <v>0</v>
      </c>
      <c r="T61" s="45">
        <f>COUNTIFS('Booking Responses'!F:F,"="&amp;A61,'Booking Responses'!E:E,"Large*")</f>
        <v>1</v>
      </c>
      <c r="U61" s="42">
        <f t="shared" si="1"/>
        <v>3</v>
      </c>
      <c r="V61" s="42"/>
      <c r="W61" s="42"/>
      <c r="X61" s="42"/>
      <c r="Y61" s="42"/>
      <c r="Z61" s="42"/>
      <c r="AA61" s="42"/>
      <c r="AB61" s="42"/>
      <c r="AC61" s="42"/>
      <c r="AD61" s="42"/>
      <c r="AE61" s="42"/>
    </row>
    <row r="62">
      <c r="A62" s="19">
        <v>263.0</v>
      </c>
      <c r="B62" s="21" t="s">
        <v>427</v>
      </c>
      <c r="C62" s="21"/>
      <c r="D62" s="19"/>
      <c r="E62" s="19"/>
      <c r="F62" s="19"/>
      <c r="G62" s="19"/>
      <c r="H62" s="19" t="s">
        <v>21</v>
      </c>
      <c r="I62" s="19"/>
      <c r="J62" s="19"/>
      <c r="K62" s="24"/>
      <c r="L62" s="24"/>
      <c r="M62" s="66"/>
      <c r="N62" s="66"/>
      <c r="O62" s="24"/>
      <c r="P62" s="35">
        <f t="array" ref="P62">MAX(IF($A62='Booking Responses'!F:F,'Booking Responses'!D:D))</f>
        <v>45098</v>
      </c>
      <c r="Q62" s="36" t="str">
        <f t="array" ref="Q62">INDEX('Booking Responses'!C:C,MATCH(1,('Booking Responses'!F:F=A62)*('Booking Responses'!D:D=P62),0))</f>
        <v>Glasto 2023</v>
      </c>
      <c r="R62" s="36">
        <f>COUNTIFS('Booking Responses'!F:F,"="&amp;A62,'Booking Responses'!E:E,"Small*")</f>
        <v>0</v>
      </c>
      <c r="S62" s="36">
        <f>COUNTIFS('Booking Responses'!F:F,"="&amp;A62,'Booking Responses'!E:E,"Medium*")</f>
        <v>0</v>
      </c>
      <c r="T62" s="36">
        <f>COUNTIFS('Booking Responses'!F:F,"="&amp;A62,'Booking Responses'!E:E,"Large*")</f>
        <v>2</v>
      </c>
      <c r="U62" s="37">
        <f t="shared" si="1"/>
        <v>6</v>
      </c>
      <c r="V62" s="37"/>
      <c r="W62" s="37"/>
      <c r="X62" s="37"/>
      <c r="Y62" s="37"/>
      <c r="Z62" s="37"/>
      <c r="AA62" s="37"/>
      <c r="AB62" s="37"/>
      <c r="AC62" s="37"/>
      <c r="AD62" s="37"/>
      <c r="AE62" s="37"/>
    </row>
    <row r="63">
      <c r="A63" s="38">
        <v>264.0</v>
      </c>
      <c r="B63" s="39" t="s">
        <v>428</v>
      </c>
      <c r="C63" s="39"/>
      <c r="D63" s="38"/>
      <c r="E63" s="38"/>
      <c r="F63" s="38"/>
      <c r="G63" s="38"/>
      <c r="H63" s="38" t="s">
        <v>21</v>
      </c>
      <c r="I63" s="38"/>
      <c r="J63" s="38"/>
      <c r="K63" s="43"/>
      <c r="L63" s="43"/>
      <c r="M63" s="61"/>
      <c r="N63" s="61"/>
      <c r="O63" s="43"/>
      <c r="P63" s="44">
        <f t="array" ref="P63">MAX(IF($A63='Booking Responses'!F:F,'Booking Responses'!D:D))</f>
        <v>45248</v>
      </c>
      <c r="Q63" s="45" t="str">
        <f t="array" ref="Q63">INDEX('Booking Responses'!C:C,MATCH(1,('Booking Responses'!F:F=A63)*('Booking Responses'!D:D=P63),0))</f>
        <v>Warehouse Project 2023</v>
      </c>
      <c r="R63" s="45">
        <f>COUNTIFS('Booking Responses'!F:F,"="&amp;A63,'Booking Responses'!E:E,"Small*")</f>
        <v>2</v>
      </c>
      <c r="S63" s="45">
        <f>COUNTIFS('Booking Responses'!F:F,"="&amp;A63,'Booking Responses'!E:E,"Medium*")</f>
        <v>4</v>
      </c>
      <c r="T63" s="45">
        <f>COUNTIFS('Booking Responses'!F:F,"="&amp;A63,'Booking Responses'!E:E,"Large*")</f>
        <v>5</v>
      </c>
      <c r="U63" s="42">
        <f t="shared" si="1"/>
        <v>25</v>
      </c>
      <c r="V63" s="42"/>
      <c r="W63" s="42"/>
      <c r="X63" s="42"/>
      <c r="Y63" s="42"/>
      <c r="Z63" s="42"/>
      <c r="AA63" s="42"/>
      <c r="AB63" s="42"/>
      <c r="AC63" s="42"/>
      <c r="AD63" s="42"/>
      <c r="AE63" s="42"/>
    </row>
    <row r="64">
      <c r="A64" s="19">
        <v>265.0</v>
      </c>
      <c r="B64" s="21" t="s">
        <v>429</v>
      </c>
      <c r="C64" s="21" t="s">
        <v>430</v>
      </c>
      <c r="D64" s="19"/>
      <c r="E64" s="19"/>
      <c r="F64" s="19"/>
      <c r="G64" s="19"/>
      <c r="H64" s="19" t="s">
        <v>21</v>
      </c>
      <c r="I64" s="19"/>
      <c r="J64" s="19"/>
      <c r="K64" s="24"/>
      <c r="L64" s="24"/>
      <c r="M64" s="66"/>
      <c r="N64" s="66"/>
      <c r="O64" s="24"/>
      <c r="P64" s="35">
        <f t="array" ref="P64">MAX(IF($A64='Booking Responses'!F:F,'Booking Responses'!D:D))</f>
        <v>44806</v>
      </c>
      <c r="Q64" s="36" t="str">
        <f t="array" ref="Q64">INDEX('Booking Responses'!C:C,MATCH(1,('Booking Responses'!F:F=A64)*('Booking Responses'!D:D=P64),0))</f>
        <v>Field Maneuvers 2022</v>
      </c>
      <c r="R64" s="36">
        <f>COUNTIFS('Booking Responses'!F:F,"="&amp;A64,'Booking Responses'!E:E,"Small*")</f>
        <v>3</v>
      </c>
      <c r="S64" s="36">
        <f>COUNTIFS('Booking Responses'!F:F,"="&amp;A64,'Booking Responses'!E:E,"Medium*")</f>
        <v>3</v>
      </c>
      <c r="T64" s="36">
        <f>COUNTIFS('Booking Responses'!F:F,"="&amp;A64,'Booking Responses'!E:E,"Large*")</f>
        <v>1</v>
      </c>
      <c r="U64" s="37">
        <f t="shared" si="1"/>
        <v>12</v>
      </c>
      <c r="V64" s="37"/>
      <c r="W64" s="37"/>
      <c r="X64" s="37"/>
      <c r="Y64" s="37"/>
      <c r="Z64" s="37"/>
      <c r="AA64" s="37"/>
      <c r="AB64" s="37"/>
      <c r="AC64" s="37"/>
      <c r="AD64" s="37"/>
      <c r="AE64" s="37"/>
    </row>
    <row r="65">
      <c r="A65" s="38">
        <v>266.0</v>
      </c>
      <c r="B65" s="39" t="s">
        <v>431</v>
      </c>
      <c r="C65" s="39" t="s">
        <v>431</v>
      </c>
      <c r="D65" s="38"/>
      <c r="E65" s="38"/>
      <c r="F65" s="38"/>
      <c r="G65" s="38"/>
      <c r="H65" s="38" t="s">
        <v>415</v>
      </c>
      <c r="I65" s="38"/>
      <c r="J65" s="38"/>
      <c r="K65" s="43"/>
      <c r="L65" s="43"/>
      <c r="M65" s="61"/>
      <c r="N65" s="61"/>
      <c r="O65" s="43"/>
      <c r="P65" s="44">
        <f t="array" ref="P65">MAX(IF($A65='Booking Responses'!F:F,'Booking Responses'!D:D))</f>
        <v>44675</v>
      </c>
      <c r="Q65" s="45" t="str">
        <f t="array" ref="Q65">INDEX('Booking Responses'!C:C,MATCH(1,('Booking Responses'!F:F=A65)*('Booking Responses'!D:D=P65),0))</f>
        <v>Daytimers x SUP? Supper Club</v>
      </c>
      <c r="R65" s="45">
        <f>COUNTIFS('Booking Responses'!F:F,"="&amp;A65,'Booking Responses'!E:E,"Small*")</f>
        <v>1</v>
      </c>
      <c r="S65" s="45">
        <f>COUNTIFS('Booking Responses'!F:F,"="&amp;A65,'Booking Responses'!E:E,"Medium*")</f>
        <v>1</v>
      </c>
      <c r="T65" s="45">
        <f>COUNTIFS('Booking Responses'!F:F,"="&amp;A65,'Booking Responses'!E:E,"Large*")</f>
        <v>0</v>
      </c>
      <c r="U65" s="42">
        <f t="shared" si="1"/>
        <v>3</v>
      </c>
      <c r="V65" s="42"/>
      <c r="W65" s="42"/>
      <c r="X65" s="42"/>
      <c r="Y65" s="42"/>
      <c r="Z65" s="42"/>
      <c r="AA65" s="42"/>
      <c r="AB65" s="42"/>
      <c r="AC65" s="42"/>
      <c r="AD65" s="42"/>
      <c r="AE65" s="42"/>
    </row>
    <row r="66">
      <c r="A66" s="19">
        <v>267.0</v>
      </c>
      <c r="B66" s="21" t="s">
        <v>432</v>
      </c>
      <c r="C66" s="21" t="s">
        <v>432</v>
      </c>
      <c r="D66" s="19"/>
      <c r="E66" s="19"/>
      <c r="F66" s="19"/>
      <c r="G66" s="19"/>
      <c r="H66" s="19" t="s">
        <v>21</v>
      </c>
      <c r="I66" s="19"/>
      <c r="J66" s="19"/>
      <c r="K66" s="24"/>
      <c r="L66" s="24"/>
      <c r="M66" s="66"/>
      <c r="N66" s="66"/>
      <c r="O66" s="24"/>
      <c r="P66" s="35">
        <f t="array" ref="P66">MAX(IF($A66='Booking Responses'!F:F,'Booking Responses'!D:D))</f>
        <v>45248</v>
      </c>
      <c r="Q66" s="36" t="str">
        <f t="array" ref="Q66">INDEX('Booking Responses'!C:C,MATCH(1,('Booking Responses'!F:F=A66)*('Booking Responses'!D:D=P66),0))</f>
        <v>Warehouse Project 2023</v>
      </c>
      <c r="R66" s="36">
        <f>COUNTIFS('Booking Responses'!F:F,"="&amp;A66,'Booking Responses'!E:E,"Small*")</f>
        <v>0</v>
      </c>
      <c r="S66" s="36">
        <f>COUNTIFS('Booking Responses'!F:F,"="&amp;A66,'Booking Responses'!E:E,"Medium*")</f>
        <v>1</v>
      </c>
      <c r="T66" s="36">
        <f>COUNTIFS('Booking Responses'!F:F,"="&amp;A66,'Booking Responses'!E:E,"Large*")</f>
        <v>1</v>
      </c>
      <c r="U66" s="37">
        <f t="shared" si="1"/>
        <v>5</v>
      </c>
      <c r="V66" s="37"/>
      <c r="W66" s="37"/>
      <c r="X66" s="37"/>
      <c r="Y66" s="37"/>
      <c r="Z66" s="37"/>
      <c r="AA66" s="37"/>
      <c r="AB66" s="37"/>
      <c r="AC66" s="37"/>
      <c r="AD66" s="37"/>
      <c r="AE66" s="37"/>
    </row>
    <row r="67">
      <c r="A67" s="38">
        <v>268.0</v>
      </c>
      <c r="B67" s="39" t="s">
        <v>433</v>
      </c>
      <c r="C67" s="39" t="s">
        <v>433</v>
      </c>
      <c r="D67" s="38"/>
      <c r="E67" s="38"/>
      <c r="F67" s="38"/>
      <c r="G67" s="38"/>
      <c r="H67" s="38" t="s">
        <v>21</v>
      </c>
      <c r="I67" s="38"/>
      <c r="J67" s="38"/>
      <c r="K67" s="43"/>
      <c r="L67" s="43"/>
      <c r="M67" s="61"/>
      <c r="N67" s="61"/>
      <c r="O67" s="43"/>
      <c r="P67" s="44">
        <f t="array" ref="P67">MAX(IF($A67='Booking Responses'!F:F,'Booking Responses'!D:D))</f>
        <v>44953</v>
      </c>
      <c r="Q67" s="45" t="str">
        <f t="array" ref="Q67">INDEX('Booking Responses'!C:C,MATCH(1,('Booking Responses'!F:F=A67)*('Booking Responses'!D:D=P67),0))</f>
        <v>Watch the Drop </v>
      </c>
      <c r="R67" s="45">
        <f>COUNTIFS('Booking Responses'!F:F,"="&amp;A67,'Booking Responses'!E:E,"Small*")</f>
        <v>1</v>
      </c>
      <c r="S67" s="45">
        <f>COUNTIFS('Booking Responses'!F:F,"="&amp;A67,'Booking Responses'!E:E,"Medium*")</f>
        <v>3</v>
      </c>
      <c r="T67" s="45">
        <f>COUNTIFS('Booking Responses'!F:F,"="&amp;A67,'Booking Responses'!E:E,"Large*")</f>
        <v>1</v>
      </c>
      <c r="U67" s="42">
        <f t="shared" si="1"/>
        <v>10</v>
      </c>
      <c r="V67" s="42"/>
      <c r="W67" s="42"/>
      <c r="X67" s="42"/>
      <c r="Y67" s="42"/>
      <c r="Z67" s="42"/>
      <c r="AA67" s="42"/>
      <c r="AB67" s="42"/>
      <c r="AC67" s="42"/>
      <c r="AD67" s="42"/>
      <c r="AE67" s="42"/>
    </row>
    <row r="68">
      <c r="A68" s="19">
        <v>269.0</v>
      </c>
      <c r="B68" s="21" t="s">
        <v>434</v>
      </c>
      <c r="C68" s="21" t="s">
        <v>434</v>
      </c>
      <c r="D68" s="19"/>
      <c r="E68" s="19"/>
      <c r="F68" s="19"/>
      <c r="G68" s="19"/>
      <c r="H68" s="19" t="s">
        <v>21</v>
      </c>
      <c r="I68" s="19"/>
      <c r="J68" s="19"/>
      <c r="K68" s="24"/>
      <c r="L68" s="24"/>
      <c r="M68" s="66"/>
      <c r="N68" s="66"/>
      <c r="O68" s="24"/>
      <c r="P68" s="35">
        <f t="array" ref="P68">MAX(IF($A68='Booking Responses'!F:F,'Booking Responses'!D:D))</f>
        <v>45395</v>
      </c>
      <c r="Q68" s="36" t="str">
        <f t="array" ref="Q68">INDEX('Booking Responses'!C:C,MATCH(1,('Booking Responses'!F:F=A68)*('Booking Responses'!D:D=P68),0))</f>
        <v>DAYTIMERS BERLIN</v>
      </c>
      <c r="R68" s="36">
        <f>COUNTIFS('Booking Responses'!F:F,"="&amp;A68,'Booking Responses'!E:E,"Small*")</f>
        <v>0</v>
      </c>
      <c r="S68" s="36">
        <f>COUNTIFS('Booking Responses'!F:F,"="&amp;A68,'Booking Responses'!E:E,"Medium*")</f>
        <v>2</v>
      </c>
      <c r="T68" s="36">
        <f>COUNTIFS('Booking Responses'!F:F,"="&amp;A68,'Booking Responses'!E:E,"Large*")</f>
        <v>0</v>
      </c>
      <c r="U68" s="37">
        <f t="shared" si="1"/>
        <v>4</v>
      </c>
      <c r="V68" s="37"/>
      <c r="W68" s="37"/>
      <c r="X68" s="37"/>
      <c r="Y68" s="37"/>
      <c r="Z68" s="37"/>
      <c r="AA68" s="37"/>
      <c r="AB68" s="37"/>
      <c r="AC68" s="37"/>
      <c r="AD68" s="37"/>
      <c r="AE68" s="37"/>
    </row>
    <row r="69">
      <c r="A69" s="38">
        <v>270.0</v>
      </c>
      <c r="B69" s="39" t="s">
        <v>435</v>
      </c>
      <c r="C69" s="39" t="s">
        <v>435</v>
      </c>
      <c r="D69" s="38"/>
      <c r="E69" s="38"/>
      <c r="F69" s="38"/>
      <c r="G69" s="38"/>
      <c r="H69" s="38" t="s">
        <v>32</v>
      </c>
      <c r="I69" s="38"/>
      <c r="J69" s="38"/>
      <c r="K69" s="43"/>
      <c r="L69" s="43"/>
      <c r="M69" s="61"/>
      <c r="N69" s="61"/>
      <c r="O69" s="43"/>
      <c r="P69" s="44">
        <f t="array" ref="P69">MAX(IF($A69='Booking Responses'!F:F,'Booking Responses'!D:D))</f>
        <v>45072</v>
      </c>
      <c r="Q69" s="45" t="str">
        <f t="array" ref="Q69">INDEX('Booking Responses'!C:C,MATCH(1,('Booking Responses'!F:F=A69)*('Booking Responses'!D:D=P69),0))</f>
        <v>Jazz Cafe </v>
      </c>
      <c r="R69" s="45">
        <f>COUNTIFS('Booking Responses'!F:F,"="&amp;A69,'Booking Responses'!E:E,"Small*")</f>
        <v>0</v>
      </c>
      <c r="S69" s="45">
        <f>COUNTIFS('Booking Responses'!F:F,"="&amp;A69,'Booking Responses'!E:E,"Medium*")</f>
        <v>1</v>
      </c>
      <c r="T69" s="45">
        <f>COUNTIFS('Booking Responses'!F:F,"="&amp;A69,'Booking Responses'!E:E,"Large*")</f>
        <v>2</v>
      </c>
      <c r="U69" s="42">
        <f t="shared" si="1"/>
        <v>8</v>
      </c>
      <c r="V69" s="42"/>
      <c r="W69" s="42"/>
      <c r="X69" s="42"/>
      <c r="Y69" s="42"/>
      <c r="Z69" s="42"/>
      <c r="AA69" s="42"/>
      <c r="AB69" s="42"/>
      <c r="AC69" s="42"/>
      <c r="AD69" s="42"/>
      <c r="AE69" s="42"/>
    </row>
    <row r="70">
      <c r="A70" s="19">
        <v>271.0</v>
      </c>
      <c r="B70" s="21" t="s">
        <v>436</v>
      </c>
      <c r="C70" s="21" t="s">
        <v>436</v>
      </c>
      <c r="D70" s="19"/>
      <c r="E70" s="19"/>
      <c r="F70" s="19"/>
      <c r="G70" s="19"/>
      <c r="H70" s="19" t="s">
        <v>415</v>
      </c>
      <c r="I70" s="19"/>
      <c r="J70" s="19"/>
      <c r="K70" s="24"/>
      <c r="L70" s="24"/>
      <c r="M70" s="66"/>
      <c r="N70" s="66"/>
      <c r="O70" s="24"/>
      <c r="P70" s="35">
        <f t="array" ref="P70">MAX(IF($A70='Booking Responses'!F:F,'Booking Responses'!D:D))</f>
        <v>44651</v>
      </c>
      <c r="Q70" s="36" t="str">
        <f t="array" ref="Q70">INDEX('Booking Responses'!C:C,MATCH(1,('Booking Responses'!F:F=A70)*('Booking Responses'!D:D=P70),0))</f>
        <v>Mehfil 001</v>
      </c>
      <c r="R70" s="36">
        <f>COUNTIFS('Booking Responses'!F:F,"="&amp;A70,'Booking Responses'!E:E,"Small*")</f>
        <v>0</v>
      </c>
      <c r="S70" s="36">
        <f>COUNTIFS('Booking Responses'!F:F,"="&amp;A70,'Booking Responses'!E:E,"Medium*")</f>
        <v>1</v>
      </c>
      <c r="T70" s="36">
        <f>COUNTIFS('Booking Responses'!F:F,"="&amp;A70,'Booking Responses'!E:E,"Large*")</f>
        <v>0</v>
      </c>
      <c r="U70" s="37">
        <f t="shared" si="1"/>
        <v>2</v>
      </c>
      <c r="V70" s="37"/>
      <c r="W70" s="37"/>
      <c r="X70" s="37"/>
      <c r="Y70" s="37"/>
      <c r="Z70" s="37"/>
      <c r="AA70" s="37"/>
      <c r="AB70" s="37"/>
      <c r="AC70" s="37"/>
      <c r="AD70" s="37"/>
      <c r="AE70" s="37"/>
    </row>
    <row r="71">
      <c r="A71" s="38">
        <v>272.0</v>
      </c>
      <c r="B71" s="39" t="s">
        <v>437</v>
      </c>
      <c r="C71" s="39"/>
      <c r="D71" s="38"/>
      <c r="E71" s="38"/>
      <c r="F71" s="38"/>
      <c r="G71" s="38"/>
      <c r="H71" s="38" t="s">
        <v>415</v>
      </c>
      <c r="I71" s="38"/>
      <c r="J71" s="38"/>
      <c r="K71" s="43"/>
      <c r="L71" s="43"/>
      <c r="M71" s="61"/>
      <c r="N71" s="61"/>
      <c r="O71" s="43"/>
      <c r="P71" s="44">
        <f t="array" ref="P71">MAX(IF($A71='Booking Responses'!F:F,'Booking Responses'!D:D))</f>
        <v>44646</v>
      </c>
      <c r="Q71" s="45" t="str">
        <f t="array" ref="Q71">INDEX('Booking Responses'!C:C,MATCH(1,('Booking Responses'!F:F=A71)*('Booking Responses'!D:D=P71),0))</f>
        <v>Rich Mix: London Remixed Festival</v>
      </c>
      <c r="R71" s="45">
        <f>COUNTIFS('Booking Responses'!F:F,"="&amp;A71,'Booking Responses'!E:E,"Small*")</f>
        <v>0</v>
      </c>
      <c r="S71" s="45">
        <f>COUNTIFS('Booking Responses'!F:F,"="&amp;A71,'Booking Responses'!E:E,"Medium*")</f>
        <v>1</v>
      </c>
      <c r="T71" s="45">
        <f>COUNTIFS('Booking Responses'!F:F,"="&amp;A71,'Booking Responses'!E:E,"Large*")</f>
        <v>0</v>
      </c>
      <c r="U71" s="42">
        <f t="shared" si="1"/>
        <v>2</v>
      </c>
      <c r="V71" s="42"/>
      <c r="W71" s="42"/>
      <c r="X71" s="42"/>
      <c r="Y71" s="42"/>
      <c r="Z71" s="42"/>
      <c r="AA71" s="42"/>
      <c r="AB71" s="42"/>
      <c r="AC71" s="42"/>
      <c r="AD71" s="42"/>
      <c r="AE71" s="42"/>
    </row>
    <row r="72">
      <c r="A72" s="19">
        <v>273.0</v>
      </c>
      <c r="B72" s="21" t="s">
        <v>438</v>
      </c>
      <c r="C72" s="21"/>
      <c r="D72" s="19"/>
      <c r="E72" s="19"/>
      <c r="F72" s="19"/>
      <c r="G72" s="19"/>
      <c r="H72" s="19" t="s">
        <v>21</v>
      </c>
      <c r="I72" s="19"/>
      <c r="J72" s="19"/>
      <c r="K72" s="24"/>
      <c r="L72" s="24"/>
      <c r="M72" s="66"/>
      <c r="N72" s="66"/>
      <c r="O72" s="24"/>
      <c r="P72" s="35">
        <f t="array" ref="P72">MAX(IF($A72='Booking Responses'!F:F,'Booking Responses'!D:D))</f>
        <v>44744</v>
      </c>
      <c r="Q72" s="36" t="str">
        <f t="array" ref="Q72">INDEX('Booking Responses'!C:C,MATCH(1,('Booking Responses'!F:F=A72)*('Booking Responses'!D:D=P72),0))</f>
        <v>Daytimers x Middle Of Nowhere</v>
      </c>
      <c r="R72" s="36">
        <f>COUNTIFS('Booking Responses'!F:F,"="&amp;A72,'Booking Responses'!E:E,"Small*")</f>
        <v>0</v>
      </c>
      <c r="S72" s="36">
        <f>COUNTIFS('Booking Responses'!F:F,"="&amp;A72,'Booking Responses'!E:E,"Medium*")</f>
        <v>0</v>
      </c>
      <c r="T72" s="36">
        <f>COUNTIFS('Booking Responses'!F:F,"="&amp;A72,'Booking Responses'!E:E,"Large*")</f>
        <v>1</v>
      </c>
      <c r="U72" s="37">
        <f t="shared" si="1"/>
        <v>3</v>
      </c>
      <c r="V72" s="37"/>
      <c r="W72" s="37"/>
      <c r="X72" s="37"/>
      <c r="Y72" s="37"/>
      <c r="Z72" s="37"/>
      <c r="AA72" s="37"/>
      <c r="AB72" s="37"/>
      <c r="AC72" s="37"/>
      <c r="AD72" s="37"/>
      <c r="AE72" s="37"/>
    </row>
    <row r="73">
      <c r="A73" s="38">
        <v>274.0</v>
      </c>
      <c r="B73" s="39" t="s">
        <v>439</v>
      </c>
      <c r="C73" s="39"/>
      <c r="D73" s="38"/>
      <c r="E73" s="38"/>
      <c r="F73" s="38"/>
      <c r="G73" s="38"/>
      <c r="H73" s="38" t="s">
        <v>415</v>
      </c>
      <c r="I73" s="38"/>
      <c r="J73" s="38"/>
      <c r="K73" s="43"/>
      <c r="L73" s="43"/>
      <c r="M73" s="61"/>
      <c r="N73" s="61"/>
      <c r="O73" s="43"/>
      <c r="P73" s="44">
        <f t="array" ref="P73">MAX(IF($A73='Booking Responses'!F:F,'Booking Responses'!D:D))</f>
        <v>44799</v>
      </c>
      <c r="Q73" s="45" t="str">
        <f t="array" ref="Q73">INDEX('Booking Responses'!C:C,MATCH(1,('Booking Responses'!F:F=A73)*('Booking Responses'!D:D=P73),0))</f>
        <v>This Bright Land: Somerset House</v>
      </c>
      <c r="R73" s="45">
        <f>COUNTIFS('Booking Responses'!F:F,"="&amp;A73,'Booking Responses'!E:E,"Small*")</f>
        <v>0</v>
      </c>
      <c r="S73" s="45">
        <f>COUNTIFS('Booking Responses'!F:F,"="&amp;A73,'Booking Responses'!E:E,"Medium*")</f>
        <v>2</v>
      </c>
      <c r="T73" s="45">
        <f>COUNTIFS('Booking Responses'!F:F,"="&amp;A73,'Booking Responses'!E:E,"Large*")</f>
        <v>0</v>
      </c>
      <c r="U73" s="42">
        <f t="shared" si="1"/>
        <v>4</v>
      </c>
      <c r="V73" s="42"/>
      <c r="W73" s="42"/>
      <c r="X73" s="42"/>
      <c r="Y73" s="42"/>
      <c r="Z73" s="42"/>
      <c r="AA73" s="42"/>
      <c r="AB73" s="42"/>
      <c r="AC73" s="42"/>
      <c r="AD73" s="42"/>
      <c r="AE73" s="42"/>
    </row>
    <row r="74">
      <c r="A74" s="19">
        <v>275.0</v>
      </c>
      <c r="B74" s="21" t="s">
        <v>440</v>
      </c>
      <c r="C74" s="21"/>
      <c r="D74" s="19"/>
      <c r="E74" s="19"/>
      <c r="F74" s="19"/>
      <c r="G74" s="19"/>
      <c r="H74" s="19" t="s">
        <v>21</v>
      </c>
      <c r="I74" s="19"/>
      <c r="J74" s="19"/>
      <c r="K74" s="24"/>
      <c r="L74" s="24"/>
      <c r="M74" s="66"/>
      <c r="N74" s="66"/>
      <c r="O74" s="24"/>
      <c r="P74" s="35">
        <f t="array" ref="P74">MAX(IF($A74='Booking Responses'!F:F,'Booking Responses'!D:D))</f>
        <v>44744</v>
      </c>
      <c r="Q74" s="36" t="str">
        <f t="array" ref="Q74">INDEX('Booking Responses'!C:C,MATCH(1,('Booking Responses'!F:F=A74)*('Booking Responses'!D:D=P74),0))</f>
        <v>Daytimers x Middle Of Nowhere</v>
      </c>
      <c r="R74" s="36">
        <f>COUNTIFS('Booking Responses'!F:F,"="&amp;A74,'Booking Responses'!E:E,"Small*")</f>
        <v>0</v>
      </c>
      <c r="S74" s="36">
        <f>COUNTIFS('Booking Responses'!F:F,"="&amp;A74,'Booking Responses'!E:E,"Medium*")</f>
        <v>0</v>
      </c>
      <c r="T74" s="36">
        <f>COUNTIFS('Booking Responses'!F:F,"="&amp;A74,'Booking Responses'!E:E,"Large*")</f>
        <v>1</v>
      </c>
      <c r="U74" s="37">
        <f t="shared" si="1"/>
        <v>3</v>
      </c>
      <c r="V74" s="37"/>
      <c r="W74" s="37"/>
      <c r="X74" s="37"/>
      <c r="Y74" s="37"/>
      <c r="Z74" s="37"/>
      <c r="AA74" s="37"/>
      <c r="AB74" s="37"/>
      <c r="AC74" s="37"/>
      <c r="AD74" s="37"/>
      <c r="AE74" s="37"/>
    </row>
    <row r="75">
      <c r="A75" s="38">
        <v>276.0</v>
      </c>
      <c r="B75" s="39" t="s">
        <v>441</v>
      </c>
      <c r="C75" s="39"/>
      <c r="D75" s="38"/>
      <c r="E75" s="38"/>
      <c r="F75" s="38"/>
      <c r="G75" s="38"/>
      <c r="H75" s="38" t="s">
        <v>21</v>
      </c>
      <c r="I75" s="38"/>
      <c r="J75" s="38"/>
      <c r="K75" s="43"/>
      <c r="L75" s="43"/>
      <c r="M75" s="61"/>
      <c r="N75" s="61"/>
      <c r="O75" s="43"/>
      <c r="P75" s="44">
        <f t="array" ref="P75">MAX(IF($A75='Booking Responses'!F:F,'Booking Responses'!D:D))</f>
        <v>44799</v>
      </c>
      <c r="Q75" s="45" t="str">
        <f t="array" ref="Q75">INDEX('Booking Responses'!C:C,MATCH(1,('Booking Responses'!F:F=A75)*('Booking Responses'!D:D=P75),0))</f>
        <v>This Bright Land: Somerset House</v>
      </c>
      <c r="R75" s="45">
        <f>COUNTIFS('Booking Responses'!F:F,"="&amp;A75,'Booking Responses'!E:E,"Small*")</f>
        <v>0</v>
      </c>
      <c r="S75" s="45">
        <f>COUNTIFS('Booking Responses'!F:F,"="&amp;A75,'Booking Responses'!E:E,"Medium*")</f>
        <v>1</v>
      </c>
      <c r="T75" s="45">
        <f>COUNTIFS('Booking Responses'!F:F,"="&amp;A75,'Booking Responses'!E:E,"Large*")</f>
        <v>0</v>
      </c>
      <c r="U75" s="42">
        <f t="shared" si="1"/>
        <v>2</v>
      </c>
      <c r="V75" s="42"/>
      <c r="W75" s="42"/>
      <c r="X75" s="42"/>
      <c r="Y75" s="42"/>
      <c r="Z75" s="42"/>
      <c r="AA75" s="42"/>
      <c r="AB75" s="42"/>
      <c r="AC75" s="42"/>
      <c r="AD75" s="42"/>
      <c r="AE75" s="42"/>
    </row>
    <row r="76">
      <c r="A76" s="19">
        <v>277.0</v>
      </c>
      <c r="B76" s="21" t="s">
        <v>394</v>
      </c>
      <c r="C76" s="21"/>
      <c r="D76" s="19"/>
      <c r="E76" s="19"/>
      <c r="F76" s="19"/>
      <c r="G76" s="19"/>
      <c r="H76" s="19" t="s">
        <v>21</v>
      </c>
      <c r="I76" s="19"/>
      <c r="J76" s="19"/>
      <c r="K76" s="24"/>
      <c r="L76" s="24"/>
      <c r="M76" s="66"/>
      <c r="N76" s="66"/>
      <c r="O76" s="24"/>
      <c r="P76" s="35">
        <f t="array" ref="P76">MAX(IF($A76='Booking Responses'!F:F,'Booking Responses'!D:D))</f>
        <v>0</v>
      </c>
      <c r="Q76" s="36" t="str">
        <f t="array" ref="Q76">INDEX('Booking Responses'!C:C,MATCH(1,('Booking Responses'!F:F=A76)*('Booking Responses'!D:D=P76),0))</f>
        <v>#N/A</v>
      </c>
      <c r="R76" s="36">
        <f>COUNTIFS('Booking Responses'!F:F,"="&amp;A76,'Booking Responses'!E:E,"Small*")</f>
        <v>0</v>
      </c>
      <c r="S76" s="36">
        <f>COUNTIFS('Booking Responses'!F:F,"="&amp;A76,'Booking Responses'!E:E,"Medium*")</f>
        <v>0</v>
      </c>
      <c r="T76" s="36">
        <f>COUNTIFS('Booking Responses'!F:F,"="&amp;A76,'Booking Responses'!E:E,"Large*")</f>
        <v>0</v>
      </c>
      <c r="U76" s="37">
        <f t="shared" si="1"/>
        <v>0</v>
      </c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>
      <c r="A77" s="38">
        <v>278.0</v>
      </c>
      <c r="B77" s="39" t="s">
        <v>442</v>
      </c>
      <c r="C77" s="39" t="s">
        <v>443</v>
      </c>
      <c r="D77" s="38"/>
      <c r="E77" s="38"/>
      <c r="F77" s="38"/>
      <c r="G77" s="38"/>
      <c r="H77" s="38" t="s">
        <v>21</v>
      </c>
      <c r="I77" s="38"/>
      <c r="J77" s="38"/>
      <c r="K77" s="43"/>
      <c r="L77" s="43"/>
      <c r="M77" s="61"/>
      <c r="N77" s="61"/>
      <c r="O77" s="43"/>
      <c r="P77" s="44">
        <f t="array" ref="P77">MAX(IF($A77='Booking Responses'!F:F,'Booking Responses'!D:D))</f>
        <v>45325</v>
      </c>
      <c r="Q77" s="45" t="str">
        <f t="array" ref="Q77">INDEX('Booking Responses'!C:C,MATCH(1,('Booking Responses'!F:F=A77)*('Booking Responses'!D:D=P77),0))</f>
        <v>DT X NDR Versus</v>
      </c>
      <c r="R77" s="45">
        <f>COUNTIFS('Booking Responses'!F:F,"="&amp;A77,'Booking Responses'!E:E,"Small*")</f>
        <v>2</v>
      </c>
      <c r="S77" s="45">
        <f>COUNTIFS('Booking Responses'!F:F,"="&amp;A77,'Booking Responses'!E:E,"Medium*")</f>
        <v>1</v>
      </c>
      <c r="T77" s="45">
        <f>COUNTIFS('Booking Responses'!F:F,"="&amp;A77,'Booking Responses'!E:E,"Large*")</f>
        <v>1</v>
      </c>
      <c r="U77" s="42">
        <f t="shared" si="1"/>
        <v>7</v>
      </c>
      <c r="V77" s="42"/>
      <c r="W77" s="42"/>
      <c r="X77" s="42"/>
      <c r="Y77" s="42"/>
      <c r="Z77" s="42"/>
      <c r="AA77" s="42"/>
      <c r="AB77" s="42"/>
      <c r="AC77" s="42"/>
      <c r="AD77" s="42"/>
      <c r="AE77" s="42"/>
    </row>
    <row r="78">
      <c r="A78" s="19">
        <v>279.0</v>
      </c>
      <c r="B78" s="21" t="s">
        <v>444</v>
      </c>
      <c r="C78" s="21"/>
      <c r="D78" s="19"/>
      <c r="E78" s="19"/>
      <c r="F78" s="19"/>
      <c r="G78" s="19"/>
      <c r="H78" s="19" t="s">
        <v>21</v>
      </c>
      <c r="I78" s="19"/>
      <c r="J78" s="19"/>
      <c r="K78" s="24"/>
      <c r="L78" s="24"/>
      <c r="M78" s="66"/>
      <c r="N78" s="66"/>
      <c r="O78" s="24"/>
      <c r="P78" s="35">
        <f t="array" ref="P78">MAX(IF($A78='Booking Responses'!F:F,'Booking Responses'!D:D))</f>
        <v>44715</v>
      </c>
      <c r="Q78" s="36" t="str">
        <f t="array" ref="Q78">INDEX('Booking Responses'!C:C,MATCH(1,('Booking Responses'!F:F=A78)*('Booking Responses'!D:D=P78),0))</f>
        <v>Mahalla x My Kali (Paris)</v>
      </c>
      <c r="R78" s="36">
        <f>COUNTIFS('Booking Responses'!F:F,"="&amp;A78,'Booking Responses'!E:E,"Small*")</f>
        <v>0</v>
      </c>
      <c r="S78" s="36">
        <f>COUNTIFS('Booking Responses'!F:F,"="&amp;A78,'Booking Responses'!E:E,"Medium*")</f>
        <v>1</v>
      </c>
      <c r="T78" s="36">
        <f>COUNTIFS('Booking Responses'!F:F,"="&amp;A78,'Booking Responses'!E:E,"Large*")</f>
        <v>0</v>
      </c>
      <c r="U78" s="37">
        <f t="shared" si="1"/>
        <v>2</v>
      </c>
      <c r="V78" s="37"/>
      <c r="W78" s="37"/>
      <c r="X78" s="37"/>
      <c r="Y78" s="37"/>
      <c r="Z78" s="37"/>
      <c r="AA78" s="37"/>
      <c r="AB78" s="37"/>
      <c r="AC78" s="37"/>
      <c r="AD78" s="37"/>
      <c r="AE78" s="37"/>
    </row>
    <row r="79">
      <c r="A79" s="38">
        <v>280.0</v>
      </c>
      <c r="B79" s="39" t="s">
        <v>445</v>
      </c>
      <c r="C79" s="39"/>
      <c r="D79" s="38"/>
      <c r="E79" s="38"/>
      <c r="F79" s="38"/>
      <c r="G79" s="38"/>
      <c r="H79" s="38" t="s">
        <v>21</v>
      </c>
      <c r="I79" s="38"/>
      <c r="J79" s="38"/>
      <c r="K79" s="43"/>
      <c r="L79" s="43"/>
      <c r="M79" s="61"/>
      <c r="N79" s="61"/>
      <c r="O79" s="43"/>
      <c r="P79" s="44">
        <f t="array" ref="P79">MAX(IF($A79='Booking Responses'!F:F,'Booking Responses'!D:D))</f>
        <v>44505</v>
      </c>
      <c r="Q79" s="45" t="str">
        <f t="array" ref="Q79">INDEX('Booking Responses'!C:C,MATCH(1,('Booking Responses'!F:F=A79)*('Booking Responses'!D:D=P79),0))</f>
        <v>Keep Hush: Eastern Margins x Daytimers</v>
      </c>
      <c r="R79" s="45">
        <f>COUNTIFS('Booking Responses'!F:F,"="&amp;A79,'Booking Responses'!E:E,"Small*")</f>
        <v>0</v>
      </c>
      <c r="S79" s="45">
        <f>COUNTIFS('Booking Responses'!F:F,"="&amp;A79,'Booking Responses'!E:E,"Medium*")</f>
        <v>1</v>
      </c>
      <c r="T79" s="45">
        <f>COUNTIFS('Booking Responses'!F:F,"="&amp;A79,'Booking Responses'!E:E,"Large*")</f>
        <v>0</v>
      </c>
      <c r="U79" s="42">
        <f t="shared" si="1"/>
        <v>2</v>
      </c>
      <c r="V79" s="42"/>
      <c r="W79" s="42"/>
      <c r="X79" s="42"/>
      <c r="Y79" s="42"/>
      <c r="Z79" s="42"/>
      <c r="AA79" s="42"/>
      <c r="AB79" s="42"/>
      <c r="AC79" s="42"/>
      <c r="AD79" s="42"/>
      <c r="AE79" s="42"/>
    </row>
    <row r="80">
      <c r="A80" s="19">
        <v>281.0</v>
      </c>
      <c r="B80" s="21" t="s">
        <v>446</v>
      </c>
      <c r="C80" s="21"/>
      <c r="D80" s="19"/>
      <c r="E80" s="19"/>
      <c r="F80" s="19"/>
      <c r="G80" s="19"/>
      <c r="H80" s="19" t="s">
        <v>21</v>
      </c>
      <c r="I80" s="19"/>
      <c r="J80" s="19"/>
      <c r="K80" s="24"/>
      <c r="L80" s="24"/>
      <c r="M80" s="66"/>
      <c r="N80" s="66"/>
      <c r="O80" s="24"/>
      <c r="P80" s="35">
        <f t="array" ref="P80">MAX(IF($A80='Booking Responses'!F:F,'Booking Responses'!D:D))</f>
        <v>44799</v>
      </c>
      <c r="Q80" s="36" t="str">
        <f t="array" ref="Q80">INDEX('Booking Responses'!C:C,MATCH(1,('Booking Responses'!F:F=A80)*('Booking Responses'!D:D=P80),0))</f>
        <v>This Bright Land: Somerset House</v>
      </c>
      <c r="R80" s="36">
        <f>COUNTIFS('Booking Responses'!F:F,"="&amp;A80,'Booking Responses'!E:E,"Small*")</f>
        <v>0</v>
      </c>
      <c r="S80" s="36">
        <f>COUNTIFS('Booking Responses'!F:F,"="&amp;A80,'Booking Responses'!E:E,"Medium*")</f>
        <v>1</v>
      </c>
      <c r="T80" s="36">
        <f>COUNTIFS('Booking Responses'!F:F,"="&amp;A80,'Booking Responses'!E:E,"Large*")</f>
        <v>0</v>
      </c>
      <c r="U80" s="37">
        <f t="shared" si="1"/>
        <v>2</v>
      </c>
      <c r="V80" s="37"/>
      <c r="W80" s="37"/>
      <c r="X80" s="37"/>
      <c r="Y80" s="37"/>
      <c r="Z80" s="37"/>
      <c r="AA80" s="37"/>
      <c r="AB80" s="37"/>
      <c r="AC80" s="37"/>
      <c r="AD80" s="37"/>
      <c r="AE80" s="37"/>
    </row>
    <row r="81">
      <c r="A81" s="38">
        <v>282.0</v>
      </c>
      <c r="B81" s="39" t="s">
        <v>447</v>
      </c>
      <c r="C81" s="39"/>
      <c r="D81" s="38"/>
      <c r="E81" s="38"/>
      <c r="F81" s="38"/>
      <c r="G81" s="38"/>
      <c r="H81" s="38" t="s">
        <v>415</v>
      </c>
      <c r="I81" s="38"/>
      <c r="J81" s="38"/>
      <c r="K81" s="43"/>
      <c r="L81" s="43"/>
      <c r="M81" s="61"/>
      <c r="N81" s="61"/>
      <c r="O81" s="43"/>
      <c r="P81" s="44">
        <f t="array" ref="P81">MAX(IF($A81='Booking Responses'!F:F,'Booking Responses'!D:D))</f>
        <v>44651</v>
      </c>
      <c r="Q81" s="45" t="str">
        <f t="array" ref="Q81">INDEX('Booking Responses'!C:C,MATCH(1,('Booking Responses'!F:F=A81)*('Booking Responses'!D:D=P81),0))</f>
        <v>Mehfil 001</v>
      </c>
      <c r="R81" s="45">
        <f>COUNTIFS('Booking Responses'!F:F,"="&amp;A81,'Booking Responses'!E:E,"Small*")</f>
        <v>0</v>
      </c>
      <c r="S81" s="45">
        <f>COUNTIFS('Booking Responses'!F:F,"="&amp;A81,'Booking Responses'!E:E,"Medium*")</f>
        <v>1</v>
      </c>
      <c r="T81" s="45">
        <f>COUNTIFS('Booking Responses'!F:F,"="&amp;A81,'Booking Responses'!E:E,"Large*")</f>
        <v>0</v>
      </c>
      <c r="U81" s="42">
        <f t="shared" si="1"/>
        <v>2</v>
      </c>
      <c r="V81" s="42"/>
      <c r="W81" s="42"/>
      <c r="X81" s="42"/>
      <c r="Y81" s="42"/>
      <c r="Z81" s="42"/>
      <c r="AA81" s="42"/>
      <c r="AB81" s="42"/>
      <c r="AC81" s="42"/>
      <c r="AD81" s="42"/>
      <c r="AE81" s="42"/>
    </row>
    <row r="82">
      <c r="A82" s="19">
        <v>283.0</v>
      </c>
      <c r="B82" s="21" t="s">
        <v>448</v>
      </c>
      <c r="C82" s="21"/>
      <c r="D82" s="19"/>
      <c r="E82" s="19"/>
      <c r="F82" s="19"/>
      <c r="G82" s="19"/>
      <c r="H82" s="19" t="s">
        <v>21</v>
      </c>
      <c r="I82" s="19"/>
      <c r="J82" s="19"/>
      <c r="K82" s="24"/>
      <c r="L82" s="24"/>
      <c r="M82" s="66"/>
      <c r="N82" s="66"/>
      <c r="O82" s="24"/>
      <c r="P82" s="35">
        <f t="array" ref="P82">MAX(IF($A82='Booking Responses'!F:F,'Booking Responses'!D:D))</f>
        <v>44675</v>
      </c>
      <c r="Q82" s="36" t="str">
        <f t="array" ref="Q82">INDEX('Booking Responses'!C:C,MATCH(1,('Booking Responses'!F:F=A82)*('Booking Responses'!D:D=P82),0))</f>
        <v>Daytimers x SUP? Supper Club</v>
      </c>
      <c r="R82" s="36">
        <f>COUNTIFS('Booking Responses'!F:F,"="&amp;A82,'Booking Responses'!E:E,"Small*")</f>
        <v>1</v>
      </c>
      <c r="S82" s="36">
        <f>COUNTIFS('Booking Responses'!F:F,"="&amp;A82,'Booking Responses'!E:E,"Medium*")</f>
        <v>0</v>
      </c>
      <c r="T82" s="36">
        <f>COUNTIFS('Booking Responses'!F:F,"="&amp;A82,'Booking Responses'!E:E,"Large*")</f>
        <v>0</v>
      </c>
      <c r="U82" s="37">
        <f t="shared" si="1"/>
        <v>1</v>
      </c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>
      <c r="A83" s="38">
        <v>284.0</v>
      </c>
      <c r="B83" s="39" t="s">
        <v>449</v>
      </c>
      <c r="C83" s="39"/>
      <c r="D83" s="38"/>
      <c r="E83" s="38"/>
      <c r="F83" s="38"/>
      <c r="G83" s="38"/>
      <c r="H83" s="38" t="s">
        <v>21</v>
      </c>
      <c r="I83" s="38"/>
      <c r="J83" s="38"/>
      <c r="K83" s="43"/>
      <c r="L83" s="43"/>
      <c r="M83" s="61"/>
      <c r="N83" s="61"/>
      <c r="O83" s="43"/>
      <c r="P83" s="44">
        <f t="array" ref="P83">MAX(IF($A83='Booking Responses'!F:F,'Booking Responses'!D:D))</f>
        <v>45248</v>
      </c>
      <c r="Q83" s="45" t="str">
        <f t="array" ref="Q83">INDEX('Booking Responses'!C:C,MATCH(1,('Booking Responses'!F:F=A83)*('Booking Responses'!D:D=P83),0))</f>
        <v>Warehouse Project 2023</v>
      </c>
      <c r="R83" s="45">
        <f>COUNTIFS('Booking Responses'!F:F,"="&amp;A83,'Booking Responses'!E:E,"Small*")</f>
        <v>0</v>
      </c>
      <c r="S83" s="45">
        <f>COUNTIFS('Booking Responses'!F:F,"="&amp;A83,'Booking Responses'!E:E,"Medium*")</f>
        <v>1</v>
      </c>
      <c r="T83" s="45">
        <f>COUNTIFS('Booking Responses'!F:F,"="&amp;A83,'Booking Responses'!E:E,"Large*")</f>
        <v>2</v>
      </c>
      <c r="U83" s="42">
        <f t="shared" si="1"/>
        <v>8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</row>
    <row r="84">
      <c r="A84" s="19">
        <v>285.0</v>
      </c>
      <c r="B84" s="21" t="s">
        <v>135</v>
      </c>
      <c r="C84" s="21"/>
      <c r="D84" s="19"/>
      <c r="E84" s="19"/>
      <c r="F84" s="19"/>
      <c r="G84" s="19"/>
      <c r="H84" s="19" t="s">
        <v>21</v>
      </c>
      <c r="I84" s="19"/>
      <c r="J84" s="19"/>
      <c r="K84" s="24"/>
      <c r="L84" s="24"/>
      <c r="M84" s="66"/>
      <c r="N84" s="66"/>
      <c r="O84" s="24"/>
      <c r="P84" s="35">
        <f t="array" ref="P84">MAX(IF($A84='Booking Responses'!F:F,'Booking Responses'!D:D))</f>
        <v>0</v>
      </c>
      <c r="Q84" s="36" t="str">
        <f t="array" ref="Q84">INDEX('Booking Responses'!C:C,MATCH(1,('Booking Responses'!F:F=A84)*('Booking Responses'!D:D=P84),0))</f>
        <v>#N/A</v>
      </c>
      <c r="R84" s="36">
        <f>COUNTIFS('Booking Responses'!F:F,"="&amp;A84,'Booking Responses'!E:E,"Small*")</f>
        <v>0</v>
      </c>
      <c r="S84" s="36">
        <f>COUNTIFS('Booking Responses'!F:F,"="&amp;A84,'Booking Responses'!E:E,"Medium*")</f>
        <v>0</v>
      </c>
      <c r="T84" s="36">
        <f>COUNTIFS('Booking Responses'!F:F,"="&amp;A84,'Booking Responses'!E:E,"Large*")</f>
        <v>0</v>
      </c>
      <c r="U84" s="37">
        <f t="shared" si="1"/>
        <v>0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>
      <c r="A85" s="38">
        <v>286.0</v>
      </c>
      <c r="B85" s="39" t="s">
        <v>347</v>
      </c>
      <c r="C85" s="39"/>
      <c r="D85" s="38"/>
      <c r="E85" s="38"/>
      <c r="F85" s="38"/>
      <c r="G85" s="38"/>
      <c r="H85" s="38" t="s">
        <v>21</v>
      </c>
      <c r="I85" s="38"/>
      <c r="J85" s="38"/>
      <c r="K85" s="43"/>
      <c r="L85" s="43"/>
      <c r="M85" s="61"/>
      <c r="N85" s="61"/>
      <c r="O85" s="43"/>
      <c r="P85" s="44">
        <f t="array" ref="P85">MAX(IF($A85='Booking Responses'!F:F,'Booking Responses'!D:D))</f>
        <v>0</v>
      </c>
      <c r="Q85" s="45" t="str">
        <f t="array" ref="Q85">INDEX('Booking Responses'!C:C,MATCH(1,('Booking Responses'!F:F=A85)*('Booking Responses'!D:D=P85),0))</f>
        <v>#N/A</v>
      </c>
      <c r="R85" s="45">
        <f>COUNTIFS('Booking Responses'!F:F,"="&amp;A85,'Booking Responses'!E:E,"Small*")</f>
        <v>0</v>
      </c>
      <c r="S85" s="45">
        <f>COUNTIFS('Booking Responses'!F:F,"="&amp;A85,'Booking Responses'!E:E,"Medium*")</f>
        <v>0</v>
      </c>
      <c r="T85" s="45">
        <f>COUNTIFS('Booking Responses'!F:F,"="&amp;A85,'Booking Responses'!E:E,"Large*")</f>
        <v>0</v>
      </c>
      <c r="U85" s="42">
        <f t="shared" si="1"/>
        <v>0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</row>
    <row r="86">
      <c r="A86" s="19">
        <v>287.0</v>
      </c>
      <c r="B86" s="21" t="s">
        <v>450</v>
      </c>
      <c r="C86" s="21"/>
      <c r="D86" s="19"/>
      <c r="E86" s="19"/>
      <c r="F86" s="19"/>
      <c r="G86" s="19"/>
      <c r="H86" s="19" t="s">
        <v>21</v>
      </c>
      <c r="I86" s="19"/>
      <c r="J86" s="19"/>
      <c r="K86" s="24"/>
      <c r="L86" s="24"/>
      <c r="M86" s="66"/>
      <c r="N86" s="66"/>
      <c r="O86" s="24"/>
      <c r="P86" s="35">
        <f t="array" ref="P86">MAX(IF($A86='Booking Responses'!F:F,'Booking Responses'!D:D))</f>
        <v>45164</v>
      </c>
      <c r="Q86" s="36" t="str">
        <f t="array" ref="Q86">INDEX('Booking Responses'!C:C,MATCH(1,('Booking Responses'!F:F=A86)*('Booking Responses'!D:D=P86),0))</f>
        <v>Lost Village Festival 2023</v>
      </c>
      <c r="R86" s="36">
        <f>COUNTIFS('Booking Responses'!F:F,"="&amp;A86,'Booking Responses'!E:E,"Small*")</f>
        <v>0</v>
      </c>
      <c r="S86" s="36">
        <f>COUNTIFS('Booking Responses'!F:F,"="&amp;A86,'Booking Responses'!E:E,"Medium*")</f>
        <v>2</v>
      </c>
      <c r="T86" s="36">
        <f>COUNTIFS('Booking Responses'!F:F,"="&amp;A86,'Booking Responses'!E:E,"Large*")</f>
        <v>1</v>
      </c>
      <c r="U86" s="37">
        <f t="shared" si="1"/>
        <v>7</v>
      </c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>
      <c r="A87" s="38">
        <v>288.0</v>
      </c>
      <c r="B87" s="39" t="s">
        <v>451</v>
      </c>
      <c r="C87" s="39" t="s">
        <v>451</v>
      </c>
      <c r="D87" s="38"/>
      <c r="E87" s="38"/>
      <c r="F87" s="38"/>
      <c r="G87" s="38"/>
      <c r="H87" s="38" t="s">
        <v>21</v>
      </c>
      <c r="I87" s="38"/>
      <c r="J87" s="38"/>
      <c r="K87" s="43"/>
      <c r="L87" s="43"/>
      <c r="M87" s="61"/>
      <c r="N87" s="61"/>
      <c r="O87" s="43"/>
      <c r="P87" s="44">
        <f t="array" ref="P87">MAX(IF($A87='Booking Responses'!F:F,'Booking Responses'!D:D))</f>
        <v>44799</v>
      </c>
      <c r="Q87" s="45" t="str">
        <f t="array" ref="Q87">INDEX('Booking Responses'!C:C,MATCH(1,('Booking Responses'!F:F=A87)*('Booking Responses'!D:D=P87),0))</f>
        <v>This Bright Land: Somerset House</v>
      </c>
      <c r="R87" s="45">
        <f>COUNTIFS('Booking Responses'!F:F,"="&amp;A87,'Booking Responses'!E:E,"Small*")</f>
        <v>0</v>
      </c>
      <c r="S87" s="45">
        <f>COUNTIFS('Booking Responses'!F:F,"="&amp;A87,'Booking Responses'!E:E,"Medium*")</f>
        <v>1</v>
      </c>
      <c r="T87" s="45">
        <f>COUNTIFS('Booking Responses'!F:F,"="&amp;A87,'Booking Responses'!E:E,"Large*")</f>
        <v>0</v>
      </c>
      <c r="U87" s="42">
        <f t="shared" si="1"/>
        <v>2</v>
      </c>
      <c r="V87" s="42"/>
      <c r="W87" s="42"/>
      <c r="X87" s="42"/>
      <c r="Y87" s="42"/>
      <c r="Z87" s="42"/>
      <c r="AA87" s="42"/>
      <c r="AB87" s="42"/>
      <c r="AC87" s="42"/>
      <c r="AD87" s="42"/>
      <c r="AE87" s="42"/>
    </row>
    <row r="88">
      <c r="A88" s="19">
        <v>289.0</v>
      </c>
      <c r="B88" s="21"/>
      <c r="C88" s="21"/>
      <c r="D88" s="19"/>
      <c r="E88" s="19"/>
      <c r="F88" s="19"/>
      <c r="G88" s="19"/>
      <c r="H88" s="19"/>
      <c r="I88" s="19"/>
      <c r="J88" s="19"/>
      <c r="K88" s="24"/>
      <c r="L88" s="24"/>
      <c r="M88" s="66"/>
      <c r="N88" s="66"/>
      <c r="O88" s="24"/>
      <c r="P88" s="35">
        <f t="array" ref="P88">MAX(IF($A88='Booking Responses'!F:F,'Booking Responses'!D:D))</f>
        <v>0</v>
      </c>
      <c r="Q88" s="36" t="str">
        <f t="array" ref="Q88">INDEX('Booking Responses'!C:C,MATCH(1,('Booking Responses'!F:F=A88)*('Booking Responses'!D:D=P88),0))</f>
        <v>#N/A</v>
      </c>
      <c r="R88" s="36">
        <f>COUNTIFS('Booking Responses'!F:F,"="&amp;A88,'Booking Responses'!E:E,"Small*")</f>
        <v>0</v>
      </c>
      <c r="S88" s="36">
        <f>COUNTIFS('Booking Responses'!F:F,"="&amp;A88,'Booking Responses'!E:E,"Medium*")</f>
        <v>0</v>
      </c>
      <c r="T88" s="36">
        <f>COUNTIFS('Booking Responses'!F:F,"="&amp;A88,'Booking Responses'!E:E,"Large*")</f>
        <v>0</v>
      </c>
      <c r="U88" s="37">
        <f t="shared" si="1"/>
        <v>0</v>
      </c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>
      <c r="A89" s="38">
        <v>290.0</v>
      </c>
      <c r="B89" s="39" t="s">
        <v>452</v>
      </c>
      <c r="C89" s="39" t="s">
        <v>452</v>
      </c>
      <c r="D89" s="38"/>
      <c r="E89" s="38"/>
      <c r="F89" s="38"/>
      <c r="G89" s="38"/>
      <c r="H89" s="38" t="s">
        <v>21</v>
      </c>
      <c r="I89" s="38"/>
      <c r="J89" s="38"/>
      <c r="K89" s="43"/>
      <c r="L89" s="43"/>
      <c r="M89" s="61"/>
      <c r="N89" s="61"/>
      <c r="O89" s="43"/>
      <c r="P89" s="44">
        <f t="array" ref="P89">MAX(IF($A89='Booking Responses'!F:F,'Booking Responses'!D:D))</f>
        <v>44744</v>
      </c>
      <c r="Q89" s="45" t="str">
        <f t="array" ref="Q89">INDEX('Booking Responses'!C:C,MATCH(1,('Booking Responses'!F:F=A89)*('Booking Responses'!D:D=P89),0))</f>
        <v>Daytimers x Middle Of Nowhere</v>
      </c>
      <c r="R89" s="45">
        <f>COUNTIFS('Booking Responses'!F:F,"="&amp;A89,'Booking Responses'!E:E,"Small*")</f>
        <v>0</v>
      </c>
      <c r="S89" s="45">
        <f>COUNTIFS('Booking Responses'!F:F,"="&amp;A89,'Booking Responses'!E:E,"Medium*")</f>
        <v>0</v>
      </c>
      <c r="T89" s="45">
        <f>COUNTIFS('Booking Responses'!F:F,"="&amp;A89,'Booking Responses'!E:E,"Large*")</f>
        <v>1</v>
      </c>
      <c r="U89" s="42">
        <f t="shared" si="1"/>
        <v>3</v>
      </c>
      <c r="V89" s="42"/>
      <c r="W89" s="42"/>
      <c r="X89" s="42"/>
      <c r="Y89" s="42"/>
      <c r="Z89" s="42"/>
      <c r="AA89" s="42"/>
      <c r="AB89" s="42"/>
      <c r="AC89" s="42"/>
      <c r="AD89" s="42"/>
      <c r="AE89" s="42"/>
    </row>
    <row r="90">
      <c r="A90" s="19">
        <v>292.0</v>
      </c>
      <c r="B90" s="21" t="s">
        <v>453</v>
      </c>
      <c r="C90" s="21" t="s">
        <v>453</v>
      </c>
      <c r="D90" s="19"/>
      <c r="E90" s="19"/>
      <c r="F90" s="19"/>
      <c r="G90" s="19"/>
      <c r="H90" s="19" t="s">
        <v>415</v>
      </c>
      <c r="I90" s="19"/>
      <c r="J90" s="19"/>
      <c r="K90" s="24"/>
      <c r="L90" s="24"/>
      <c r="M90" s="66"/>
      <c r="N90" s="66"/>
      <c r="O90" s="24"/>
      <c r="P90" s="35">
        <f t="array" ref="P90">MAX(IF($A90='Booking Responses'!F:F,'Booking Responses'!D:D))</f>
        <v>44744</v>
      </c>
      <c r="Q90" s="36" t="str">
        <f t="array" ref="Q90">INDEX('Booking Responses'!C:C,MATCH(1,('Booking Responses'!F:F=A90)*('Booking Responses'!D:D=P90),0))</f>
        <v>Daytimers x Middle Of Nowhere (Mehfil)</v>
      </c>
      <c r="R90" s="36">
        <f>COUNTIFS('Booking Responses'!F:F,"="&amp;A90,'Booking Responses'!E:E,"Small*")</f>
        <v>0</v>
      </c>
      <c r="S90" s="36">
        <f>COUNTIFS('Booking Responses'!F:F,"="&amp;A90,'Booking Responses'!E:E,"Medium*")</f>
        <v>0</v>
      </c>
      <c r="T90" s="36">
        <f>COUNTIFS('Booking Responses'!F:F,"="&amp;A90,'Booking Responses'!E:E,"Large*")</f>
        <v>1</v>
      </c>
      <c r="U90" s="37">
        <f t="shared" si="1"/>
        <v>3</v>
      </c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>
      <c r="A91" s="38">
        <v>293.0</v>
      </c>
      <c r="B91" s="39" t="s">
        <v>454</v>
      </c>
      <c r="C91" s="39"/>
      <c r="D91" s="38"/>
      <c r="E91" s="38"/>
      <c r="F91" s="38"/>
      <c r="G91" s="38"/>
      <c r="H91" s="38" t="s">
        <v>21</v>
      </c>
      <c r="I91" s="38"/>
      <c r="J91" s="38"/>
      <c r="K91" s="43"/>
      <c r="L91" s="43"/>
      <c r="M91" s="61"/>
      <c r="N91" s="61"/>
      <c r="O91" s="43"/>
      <c r="P91" s="44">
        <f t="array" ref="P91">MAX(IF($A91='Booking Responses'!F:F,'Booking Responses'!D:D))</f>
        <v>45415</v>
      </c>
      <c r="Q91" s="45" t="str">
        <f t="array" ref="Q91">INDEX('Booking Responses'!C:C,MATCH(1,('Booking Responses'!F:F=A91)*('Booking Responses'!D:D=P91),0))</f>
        <v>Liberation Squares Press Night</v>
      </c>
      <c r="R91" s="45">
        <f>COUNTIFS('Booking Responses'!F:F,"="&amp;A91,'Booking Responses'!E:E,"Small*")</f>
        <v>1</v>
      </c>
      <c r="S91" s="45">
        <f>COUNTIFS('Booking Responses'!F:F,"="&amp;A91,'Booking Responses'!E:E,"Medium*")</f>
        <v>3</v>
      </c>
      <c r="T91" s="45">
        <f>COUNTIFS('Booking Responses'!F:F,"="&amp;A91,'Booking Responses'!E:E,"Large*")</f>
        <v>2</v>
      </c>
      <c r="U91" s="42">
        <f t="shared" si="1"/>
        <v>13</v>
      </c>
      <c r="V91" s="42"/>
      <c r="W91" s="42"/>
      <c r="X91" s="42"/>
      <c r="Y91" s="42"/>
      <c r="Z91" s="42"/>
      <c r="AA91" s="42"/>
      <c r="AB91" s="42"/>
      <c r="AC91" s="42"/>
      <c r="AD91" s="42"/>
      <c r="AE91" s="42"/>
    </row>
    <row r="92">
      <c r="A92" s="19">
        <v>294.0</v>
      </c>
      <c r="B92" s="21" t="s">
        <v>455</v>
      </c>
      <c r="C92" s="21"/>
      <c r="D92" s="19"/>
      <c r="E92" s="19"/>
      <c r="F92" s="19"/>
      <c r="G92" s="19"/>
      <c r="H92" s="19" t="s">
        <v>21</v>
      </c>
      <c r="I92" s="19"/>
      <c r="J92" s="19"/>
      <c r="K92" s="24"/>
      <c r="L92" s="24"/>
      <c r="M92" s="66"/>
      <c r="N92" s="66"/>
      <c r="O92" s="24"/>
      <c r="P92" s="35">
        <f t="array" ref="P92">MAX(IF($A92='Booking Responses'!F:F,'Booking Responses'!D:D))</f>
        <v>44744</v>
      </c>
      <c r="Q92" s="36" t="str">
        <f t="array" ref="Q92">INDEX('Booking Responses'!C:C,MATCH(1,('Booking Responses'!F:F=A92)*('Booking Responses'!D:D=P92),0))</f>
        <v>Daytimers x Middle Of Nowhere</v>
      </c>
      <c r="R92" s="36">
        <f>COUNTIFS('Booking Responses'!F:F,"="&amp;A92,'Booking Responses'!E:E,"Small*")</f>
        <v>0</v>
      </c>
      <c r="S92" s="36">
        <f>COUNTIFS('Booking Responses'!F:F,"="&amp;A92,'Booking Responses'!E:E,"Medium*")</f>
        <v>0</v>
      </c>
      <c r="T92" s="36">
        <f>COUNTIFS('Booking Responses'!F:F,"="&amp;A92,'Booking Responses'!E:E,"Large*")</f>
        <v>2</v>
      </c>
      <c r="U92" s="37">
        <f t="shared" si="1"/>
        <v>6</v>
      </c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>
      <c r="A93" s="38">
        <v>296.0</v>
      </c>
      <c r="B93" s="39" t="s">
        <v>456</v>
      </c>
      <c r="C93" s="39"/>
      <c r="D93" s="38"/>
      <c r="E93" s="38"/>
      <c r="F93" s="38"/>
      <c r="G93" s="38"/>
      <c r="H93" s="38" t="s">
        <v>21</v>
      </c>
      <c r="I93" s="38"/>
      <c r="J93" s="38"/>
      <c r="K93" s="43"/>
      <c r="L93" s="43"/>
      <c r="M93" s="61"/>
      <c r="N93" s="61"/>
      <c r="O93" s="43"/>
      <c r="P93" s="44">
        <f t="array" ref="P93">MAX(IF($A93='Booking Responses'!F:F,'Booking Responses'!D:D))</f>
        <v>44701</v>
      </c>
      <c r="Q93" s="45" t="str">
        <f t="array" ref="Q93">INDEX('Booking Responses'!C:C,MATCH(1,('Booking Responses'!F:F=A93)*('Booking Responses'!D:D=P93),0))</f>
        <v>Corsica Studios: 20/05/2022</v>
      </c>
      <c r="R93" s="45">
        <f>COUNTIFS('Booking Responses'!F:F,"="&amp;A93,'Booking Responses'!E:E,"Small*")</f>
        <v>0</v>
      </c>
      <c r="S93" s="45">
        <f>COUNTIFS('Booking Responses'!F:F,"="&amp;A93,'Booking Responses'!E:E,"Medium*")</f>
        <v>1</v>
      </c>
      <c r="T93" s="45">
        <f>COUNTIFS('Booking Responses'!F:F,"="&amp;A93,'Booking Responses'!E:E,"Large*")</f>
        <v>0</v>
      </c>
      <c r="U93" s="42">
        <f t="shared" si="1"/>
        <v>2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</row>
    <row r="94">
      <c r="A94" s="19">
        <v>297.0</v>
      </c>
      <c r="B94" s="21" t="s">
        <v>457</v>
      </c>
      <c r="C94" s="21"/>
      <c r="D94" s="19"/>
      <c r="E94" s="19"/>
      <c r="F94" s="19"/>
      <c r="G94" s="19"/>
      <c r="H94" s="19" t="s">
        <v>21</v>
      </c>
      <c r="I94" s="19"/>
      <c r="J94" s="19"/>
      <c r="K94" s="24"/>
      <c r="L94" s="24"/>
      <c r="M94" s="66"/>
      <c r="N94" s="66"/>
      <c r="O94" s="24"/>
      <c r="P94" s="35">
        <f t="array" ref="P94">MAX(IF($A94='Booking Responses'!F:F,'Booking Responses'!D:D))</f>
        <v>44638</v>
      </c>
      <c r="Q94" s="36" t="str">
        <f t="array" ref="Q94">INDEX('Booking Responses'!C:C,MATCH(1,('Booking Responses'!F:F=A94)*('Booking Responses'!D:D=P94),0))</f>
        <v>The Carpet Shop (Daytimers Takeover)</v>
      </c>
      <c r="R94" s="36">
        <f>COUNTIFS('Booking Responses'!F:F,"="&amp;A94,'Booking Responses'!E:E,"Small*")</f>
        <v>0</v>
      </c>
      <c r="S94" s="36">
        <f>COUNTIFS('Booking Responses'!F:F,"="&amp;A94,'Booking Responses'!E:E,"Medium*")</f>
        <v>2</v>
      </c>
      <c r="T94" s="36">
        <f>COUNTIFS('Booking Responses'!F:F,"="&amp;A94,'Booking Responses'!E:E,"Large*")</f>
        <v>0</v>
      </c>
      <c r="U94" s="37">
        <f t="shared" si="1"/>
        <v>4</v>
      </c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>
      <c r="A95" s="38">
        <v>298.0</v>
      </c>
      <c r="B95" s="39" t="s">
        <v>458</v>
      </c>
      <c r="C95" s="39"/>
      <c r="D95" s="38"/>
      <c r="E95" s="38"/>
      <c r="F95" s="38"/>
      <c r="G95" s="38"/>
      <c r="H95" s="38" t="s">
        <v>21</v>
      </c>
      <c r="I95" s="38"/>
      <c r="J95" s="38"/>
      <c r="K95" s="43"/>
      <c r="L95" s="43"/>
      <c r="M95" s="61"/>
      <c r="N95" s="61"/>
      <c r="O95" s="43"/>
      <c r="P95" s="44">
        <f t="array" ref="P95">MAX(IF($A95='Booking Responses'!F:F,'Booking Responses'!D:D))</f>
        <v>44715</v>
      </c>
      <c r="Q95" s="45" t="str">
        <f t="array" ref="Q95">INDEX('Booking Responses'!C:C,MATCH(1,('Booking Responses'!F:F=A95)*('Booking Responses'!D:D=P95),0))</f>
        <v>Mahalla x My Kali (Paris)</v>
      </c>
      <c r="R95" s="45">
        <f>COUNTIFS('Booking Responses'!F:F,"="&amp;A95,'Booking Responses'!E:E,"Small*")</f>
        <v>0</v>
      </c>
      <c r="S95" s="45">
        <f>COUNTIFS('Booking Responses'!F:F,"="&amp;A95,'Booking Responses'!E:E,"Medium*")</f>
        <v>1</v>
      </c>
      <c r="T95" s="45">
        <f>COUNTIFS('Booking Responses'!F:F,"="&amp;A95,'Booking Responses'!E:E,"Large*")</f>
        <v>0</v>
      </c>
      <c r="U95" s="42">
        <f t="shared" si="1"/>
        <v>2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</row>
    <row r="96">
      <c r="A96" s="19">
        <v>299.0</v>
      </c>
      <c r="B96" s="21" t="s">
        <v>459</v>
      </c>
      <c r="C96" s="21"/>
      <c r="D96" s="19"/>
      <c r="E96" s="19"/>
      <c r="F96" s="19"/>
      <c r="G96" s="19"/>
      <c r="H96" s="19" t="s">
        <v>21</v>
      </c>
      <c r="I96" s="19"/>
      <c r="J96" s="19"/>
      <c r="K96" s="24"/>
      <c r="L96" s="24"/>
      <c r="M96" s="66"/>
      <c r="N96" s="66"/>
      <c r="O96" s="24"/>
      <c r="P96" s="35">
        <f t="array" ref="P96">MAX(IF($A96='Booking Responses'!F:F,'Booking Responses'!D:D))</f>
        <v>44744</v>
      </c>
      <c r="Q96" s="36" t="str">
        <f t="array" ref="Q96">INDEX('Booking Responses'!C:C,MATCH(1,('Booking Responses'!F:F=A96)*('Booking Responses'!D:D=P96),0))</f>
        <v>Daytimers x Middle Of Nowhere</v>
      </c>
      <c r="R96" s="36">
        <f>COUNTIFS('Booking Responses'!F:F,"="&amp;A96,'Booking Responses'!E:E,"Small*")</f>
        <v>0</v>
      </c>
      <c r="S96" s="36">
        <f>COUNTIFS('Booking Responses'!F:F,"="&amp;A96,'Booking Responses'!E:E,"Medium*")</f>
        <v>0</v>
      </c>
      <c r="T96" s="36">
        <f>COUNTIFS('Booking Responses'!F:F,"="&amp;A96,'Booking Responses'!E:E,"Large*")</f>
        <v>1</v>
      </c>
      <c r="U96" s="37">
        <f t="shared" si="1"/>
        <v>3</v>
      </c>
      <c r="V96" s="37"/>
      <c r="W96" s="37"/>
      <c r="X96" s="37"/>
      <c r="Y96" s="37"/>
      <c r="Z96" s="37"/>
      <c r="AA96" s="37"/>
      <c r="AB96" s="37"/>
      <c r="AC96" s="37"/>
      <c r="AD96" s="37"/>
      <c r="AE96" s="37"/>
    </row>
    <row r="97">
      <c r="A97" s="38">
        <v>300.0</v>
      </c>
      <c r="B97" s="39" t="s">
        <v>460</v>
      </c>
      <c r="C97" s="39"/>
      <c r="D97" s="38"/>
      <c r="E97" s="38"/>
      <c r="F97" s="38"/>
      <c r="G97" s="38"/>
      <c r="H97" s="38" t="s">
        <v>21</v>
      </c>
      <c r="I97" s="38"/>
      <c r="J97" s="38"/>
      <c r="K97" s="43"/>
      <c r="L97" s="43"/>
      <c r="M97" s="61"/>
      <c r="N97" s="61"/>
      <c r="O97" s="43"/>
      <c r="P97" s="44">
        <f t="array" ref="P97">MAX(IF($A97='Booking Responses'!F:F,'Booking Responses'!D:D))</f>
        <v>44417</v>
      </c>
      <c r="Q97" s="45" t="str">
        <f t="array" ref="Q97">INDEX('Booking Responses'!C:C,MATCH(1,('Booking Responses'!F:F=A97)*('Booking Responses'!D:D=P97),0))</f>
        <v>Wigflex Festival</v>
      </c>
      <c r="R97" s="45">
        <f>COUNTIFS('Booking Responses'!F:F,"="&amp;A97,'Booking Responses'!E:E,"Small*")</f>
        <v>0</v>
      </c>
      <c r="S97" s="45">
        <f>COUNTIFS('Booking Responses'!F:F,"="&amp;A97,'Booking Responses'!E:E,"Medium*")</f>
        <v>1</v>
      </c>
      <c r="T97" s="45">
        <f>COUNTIFS('Booking Responses'!F:F,"="&amp;A97,'Booking Responses'!E:E,"Large*")</f>
        <v>0</v>
      </c>
      <c r="U97" s="42">
        <f t="shared" si="1"/>
        <v>2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</row>
    <row r="98">
      <c r="A98" s="19">
        <v>301.0</v>
      </c>
      <c r="B98" s="21" t="s">
        <v>461</v>
      </c>
      <c r="C98" s="21"/>
      <c r="D98" s="19"/>
      <c r="E98" s="19"/>
      <c r="F98" s="19"/>
      <c r="G98" s="19"/>
      <c r="H98" s="19" t="s">
        <v>415</v>
      </c>
      <c r="I98" s="19"/>
      <c r="J98" s="19"/>
      <c r="K98" s="24"/>
      <c r="L98" s="24"/>
      <c r="M98" s="66"/>
      <c r="N98" s="66"/>
      <c r="O98" s="24"/>
      <c r="P98" s="35">
        <f t="array" ref="P98">MAX(IF($A98='Booking Responses'!F:F,'Booking Responses'!D:D))</f>
        <v>44488</v>
      </c>
      <c r="Q98" s="36" t="str">
        <f t="array" ref="Q98">INDEX('Booking Responses'!C:C,MATCH(1,('Booking Responses'!F:F=A98)*('Booking Responses'!D:D=P98),0))</f>
        <v>Roundhouse (Daytimers Presents): Nayana IZ, Nikhil Beats &amp; Natanya</v>
      </c>
      <c r="R98" s="36">
        <f>COUNTIFS('Booking Responses'!F:F,"="&amp;A98,'Booking Responses'!E:E,"Small*")</f>
        <v>1</v>
      </c>
      <c r="S98" s="36">
        <f>COUNTIFS('Booking Responses'!F:F,"="&amp;A98,'Booking Responses'!E:E,"Medium*")</f>
        <v>0</v>
      </c>
      <c r="T98" s="36">
        <f>COUNTIFS('Booking Responses'!F:F,"="&amp;A98,'Booking Responses'!E:E,"Large*")</f>
        <v>0</v>
      </c>
      <c r="U98" s="37">
        <f t="shared" si="1"/>
        <v>1</v>
      </c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>
      <c r="A99" s="38">
        <v>302.0</v>
      </c>
      <c r="B99" s="39" t="s">
        <v>462</v>
      </c>
      <c r="C99" s="39"/>
      <c r="D99" s="38"/>
      <c r="E99" s="38"/>
      <c r="F99" s="38"/>
      <c r="G99" s="38"/>
      <c r="H99" s="38" t="s">
        <v>32</v>
      </c>
      <c r="I99" s="38"/>
      <c r="J99" s="38"/>
      <c r="K99" s="43"/>
      <c r="L99" s="43"/>
      <c r="M99" s="61"/>
      <c r="N99" s="61"/>
      <c r="O99" s="43"/>
      <c r="P99" s="44">
        <f t="array" ref="P99">MAX(IF($A99='Booking Responses'!F:F,'Booking Responses'!D:D))</f>
        <v>44488</v>
      </c>
      <c r="Q99" s="45" t="str">
        <f t="array" ref="Q99">INDEX('Booking Responses'!C:C,MATCH(1,('Booking Responses'!F:F=A99)*('Booking Responses'!D:D=P99),0))</f>
        <v>Roundhouse (Daytimers Presents): Nayana IZ, Nikhil Beats &amp; Natanya</v>
      </c>
      <c r="R99" s="45">
        <f>COUNTIFS('Booking Responses'!F:F,"="&amp;A99,'Booking Responses'!E:E,"Small*")</f>
        <v>1</v>
      </c>
      <c r="S99" s="45">
        <f>COUNTIFS('Booking Responses'!F:F,"="&amp;A99,'Booking Responses'!E:E,"Medium*")</f>
        <v>0</v>
      </c>
      <c r="T99" s="45">
        <f>COUNTIFS('Booking Responses'!F:F,"="&amp;A99,'Booking Responses'!E:E,"Large*")</f>
        <v>0</v>
      </c>
      <c r="U99" s="42">
        <f t="shared" si="1"/>
        <v>1</v>
      </c>
      <c r="V99" s="42"/>
      <c r="W99" s="42"/>
      <c r="X99" s="42"/>
      <c r="Y99" s="42"/>
      <c r="Z99" s="42"/>
      <c r="AA99" s="42"/>
      <c r="AB99" s="42"/>
      <c r="AC99" s="42"/>
      <c r="AD99" s="42"/>
      <c r="AE99" s="42"/>
    </row>
    <row r="100">
      <c r="A100" s="19">
        <v>303.0</v>
      </c>
      <c r="B100" s="21" t="s">
        <v>463</v>
      </c>
      <c r="C100" s="21"/>
      <c r="D100" s="19"/>
      <c r="E100" s="19"/>
      <c r="F100" s="19"/>
      <c r="G100" s="19"/>
      <c r="H100" s="19" t="s">
        <v>415</v>
      </c>
      <c r="I100" s="19"/>
      <c r="J100" s="19"/>
      <c r="K100" s="24"/>
      <c r="L100" s="24"/>
      <c r="M100" s="66"/>
      <c r="N100" s="66"/>
      <c r="O100" s="24"/>
      <c r="P100" s="35">
        <f t="array" ref="P100">MAX(IF($A100='Booking Responses'!F:F,'Booking Responses'!D:D))</f>
        <v>44744</v>
      </c>
      <c r="Q100" s="36" t="str">
        <f t="array" ref="Q100">INDEX('Booking Responses'!C:C,MATCH(1,('Booking Responses'!F:F=A100)*('Booking Responses'!D:D=P100),0))</f>
        <v>Daytimers x Middle Of Nowhere</v>
      </c>
      <c r="R100" s="36">
        <f>COUNTIFS('Booking Responses'!F:F,"="&amp;A100,'Booking Responses'!E:E,"Small*")</f>
        <v>0</v>
      </c>
      <c r="S100" s="36">
        <f>COUNTIFS('Booking Responses'!F:F,"="&amp;A100,'Booking Responses'!E:E,"Medium*")</f>
        <v>0</v>
      </c>
      <c r="T100" s="36">
        <f>COUNTIFS('Booking Responses'!F:F,"="&amp;A100,'Booking Responses'!E:E,"Large*")</f>
        <v>1</v>
      </c>
      <c r="U100" s="37">
        <f t="shared" si="1"/>
        <v>3</v>
      </c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>
      <c r="A101" s="38">
        <v>304.0</v>
      </c>
      <c r="B101" s="39" t="s">
        <v>464</v>
      </c>
      <c r="C101" s="39"/>
      <c r="D101" s="38"/>
      <c r="E101" s="38"/>
      <c r="F101" s="38"/>
      <c r="G101" s="38"/>
      <c r="H101" s="38" t="s">
        <v>415</v>
      </c>
      <c r="I101" s="38"/>
      <c r="J101" s="38"/>
      <c r="K101" s="43"/>
      <c r="L101" s="43"/>
      <c r="M101" s="61"/>
      <c r="N101" s="61"/>
      <c r="O101" s="43"/>
      <c r="P101" s="44">
        <f t="array" ref="P101">MAX(IF($A101='Booking Responses'!F:F,'Booking Responses'!D:D))</f>
        <v>44488</v>
      </c>
      <c r="Q101" s="45" t="str">
        <f t="array" ref="Q101">INDEX('Booking Responses'!C:C,MATCH(1,('Booking Responses'!F:F=A101)*('Booking Responses'!D:D=P101),0))</f>
        <v>Roundhouse (Daytimers Presents): Nayana IZ, Nikhil Beats &amp; Natanya</v>
      </c>
      <c r="R101" s="45">
        <f>COUNTIFS('Booking Responses'!F:F,"="&amp;A101,'Booking Responses'!E:E,"Small*")</f>
        <v>1</v>
      </c>
      <c r="S101" s="45">
        <f>COUNTIFS('Booking Responses'!F:F,"="&amp;A101,'Booking Responses'!E:E,"Medium*")</f>
        <v>0</v>
      </c>
      <c r="T101" s="45">
        <f>COUNTIFS('Booking Responses'!F:F,"="&amp;A101,'Booking Responses'!E:E,"Large*")</f>
        <v>0</v>
      </c>
      <c r="U101" s="42">
        <f t="shared" si="1"/>
        <v>1</v>
      </c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</row>
    <row r="102">
      <c r="A102" s="19">
        <v>305.0</v>
      </c>
      <c r="B102" s="21" t="s">
        <v>465</v>
      </c>
      <c r="C102" s="21"/>
      <c r="D102" s="19"/>
      <c r="E102" s="19"/>
      <c r="F102" s="19"/>
      <c r="G102" s="19"/>
      <c r="H102" s="19" t="s">
        <v>21</v>
      </c>
      <c r="I102" s="19"/>
      <c r="J102" s="19"/>
      <c r="K102" s="24"/>
      <c r="L102" s="24"/>
      <c r="M102" s="66"/>
      <c r="N102" s="66"/>
      <c r="O102" s="24"/>
      <c r="P102" s="35">
        <f t="array" ref="P102">MAX(IF($A102='Booking Responses'!F:F,'Booking Responses'!D:D))</f>
        <v>45149</v>
      </c>
      <c r="Q102" s="36" t="str">
        <f t="array" ref="Q102">INDEX('Booking Responses'!C:C,MATCH(1,('Booking Responses'!F:F=A102)*('Booking Responses'!D:D=P102),0))</f>
        <v>Phonox Residency August 2023</v>
      </c>
      <c r="R102" s="36">
        <f>COUNTIFS('Booking Responses'!F:F,"="&amp;A102,'Booking Responses'!E:E,"Small*")</f>
        <v>0</v>
      </c>
      <c r="S102" s="36">
        <f>COUNTIFS('Booking Responses'!F:F,"="&amp;A102,'Booking Responses'!E:E,"Medium*")</f>
        <v>2</v>
      </c>
      <c r="T102" s="36">
        <f>COUNTIFS('Booking Responses'!F:F,"="&amp;A102,'Booking Responses'!E:E,"Large*")</f>
        <v>0</v>
      </c>
      <c r="U102" s="37">
        <f t="shared" si="1"/>
        <v>4</v>
      </c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</row>
    <row r="103">
      <c r="A103" s="38">
        <v>306.0</v>
      </c>
      <c r="B103" s="39" t="s">
        <v>466</v>
      </c>
      <c r="C103" s="39"/>
      <c r="D103" s="38"/>
      <c r="E103" s="38"/>
      <c r="F103" s="38"/>
      <c r="G103" s="38"/>
      <c r="H103" s="38" t="s">
        <v>21</v>
      </c>
      <c r="I103" s="38"/>
      <c r="J103" s="38"/>
      <c r="K103" s="43"/>
      <c r="L103" s="43"/>
      <c r="M103" s="61"/>
      <c r="N103" s="61"/>
      <c r="O103" s="43"/>
      <c r="P103" s="44">
        <f t="array" ref="P103">MAX(IF($A103='Booking Responses'!F:F,'Booking Responses'!D:D))</f>
        <v>44744</v>
      </c>
      <c r="Q103" s="45" t="str">
        <f t="array" ref="Q103">INDEX('Booking Responses'!C:C,MATCH(1,('Booking Responses'!F:F=A103)*('Booking Responses'!D:D=P103),0))</f>
        <v>Daytimers x Middle Of Nowhere</v>
      </c>
      <c r="R103" s="45">
        <f>COUNTIFS('Booking Responses'!F:F,"="&amp;A103,'Booking Responses'!E:E,"Small*")</f>
        <v>0</v>
      </c>
      <c r="S103" s="45">
        <f>COUNTIFS('Booking Responses'!F:F,"="&amp;A103,'Booking Responses'!E:E,"Medium*")</f>
        <v>0</v>
      </c>
      <c r="T103" s="45">
        <f>COUNTIFS('Booking Responses'!F:F,"="&amp;A103,'Booking Responses'!E:E,"Large*")</f>
        <v>1</v>
      </c>
      <c r="U103" s="42">
        <f t="shared" si="1"/>
        <v>3</v>
      </c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</row>
    <row r="104">
      <c r="A104" s="19">
        <v>307.0</v>
      </c>
      <c r="B104" s="21" t="s">
        <v>467</v>
      </c>
      <c r="C104" s="21"/>
      <c r="D104" s="19"/>
      <c r="E104" s="19"/>
      <c r="F104" s="19"/>
      <c r="G104" s="19"/>
      <c r="H104" s="19" t="s">
        <v>415</v>
      </c>
      <c r="I104" s="19"/>
      <c r="J104" s="19"/>
      <c r="K104" s="24"/>
      <c r="L104" s="24"/>
      <c r="M104" s="66"/>
      <c r="N104" s="66"/>
      <c r="O104" s="24"/>
      <c r="P104" s="35">
        <f t="array" ref="P104">MAX(IF($A104='Booking Responses'!F:F,'Booking Responses'!D:D))</f>
        <v>44651</v>
      </c>
      <c r="Q104" s="36" t="str">
        <f t="array" ref="Q104">INDEX('Booking Responses'!C:C,MATCH(1,('Booking Responses'!F:F=A104)*('Booking Responses'!D:D=P104),0))</f>
        <v>Mehfil 001</v>
      </c>
      <c r="R104" s="36">
        <f>COUNTIFS('Booking Responses'!F:F,"="&amp;A104,'Booking Responses'!E:E,"Small*")</f>
        <v>0</v>
      </c>
      <c r="S104" s="36">
        <f>COUNTIFS('Booking Responses'!F:F,"="&amp;A104,'Booking Responses'!E:E,"Medium*")</f>
        <v>1</v>
      </c>
      <c r="T104" s="36">
        <f>COUNTIFS('Booking Responses'!F:F,"="&amp;A104,'Booking Responses'!E:E,"Large*")</f>
        <v>0</v>
      </c>
      <c r="U104" s="37">
        <f t="shared" si="1"/>
        <v>2</v>
      </c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>
      <c r="A105" s="38">
        <v>308.0</v>
      </c>
      <c r="B105" s="39" t="s">
        <v>468</v>
      </c>
      <c r="C105" s="39" t="s">
        <v>468</v>
      </c>
      <c r="D105" s="38"/>
      <c r="E105" s="38"/>
      <c r="F105" s="38"/>
      <c r="G105" s="38"/>
      <c r="H105" s="38" t="s">
        <v>415</v>
      </c>
      <c r="I105" s="38"/>
      <c r="J105" s="38"/>
      <c r="K105" s="43"/>
      <c r="L105" s="43"/>
      <c r="M105" s="61"/>
      <c r="N105" s="61"/>
      <c r="O105" s="43"/>
      <c r="P105" s="44">
        <f t="array" ref="P105">MAX(IF($A105='Booking Responses'!F:F,'Booking Responses'!D:D))</f>
        <v>44651</v>
      </c>
      <c r="Q105" s="45" t="str">
        <f t="array" ref="Q105">INDEX('Booking Responses'!C:C,MATCH(1,('Booking Responses'!F:F=A105)*('Booking Responses'!D:D=P105),0))</f>
        <v>Mehfil 001</v>
      </c>
      <c r="R105" s="45">
        <f>COUNTIFS('Booking Responses'!F:F,"="&amp;A105,'Booking Responses'!E:E,"Small*")</f>
        <v>0</v>
      </c>
      <c r="S105" s="45">
        <f>COUNTIFS('Booking Responses'!F:F,"="&amp;A105,'Booking Responses'!E:E,"Medium*")</f>
        <v>1</v>
      </c>
      <c r="T105" s="45">
        <f>COUNTIFS('Booking Responses'!F:F,"="&amp;A105,'Booking Responses'!E:E,"Large*")</f>
        <v>0</v>
      </c>
      <c r="U105" s="42">
        <f t="shared" si="1"/>
        <v>2</v>
      </c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</row>
    <row r="106">
      <c r="A106" s="19">
        <v>309.0</v>
      </c>
      <c r="B106" s="21" t="s">
        <v>469</v>
      </c>
      <c r="C106" s="21"/>
      <c r="D106" s="19"/>
      <c r="E106" s="19"/>
      <c r="F106" s="19"/>
      <c r="G106" s="19"/>
      <c r="H106" s="19" t="s">
        <v>32</v>
      </c>
      <c r="I106" s="19"/>
      <c r="J106" s="19"/>
      <c r="K106" s="24"/>
      <c r="L106" s="24"/>
      <c r="M106" s="66"/>
      <c r="N106" s="66"/>
      <c r="O106" s="24"/>
      <c r="P106" s="35">
        <f t="array" ref="P106">MAX(IF($A106='Booking Responses'!F:F,'Booking Responses'!D:D))</f>
        <v>44701</v>
      </c>
      <c r="Q106" s="36" t="str">
        <f t="array" ref="Q106">INDEX('Booking Responses'!C:C,MATCH(1,('Booking Responses'!F:F=A106)*('Booking Responses'!D:D=P106),0))</f>
        <v>Corsica Studios: 20/05/2022</v>
      </c>
      <c r="R106" s="36">
        <f>COUNTIFS('Booking Responses'!F:F,"="&amp;A106,'Booking Responses'!E:E,"Small*")</f>
        <v>0</v>
      </c>
      <c r="S106" s="36">
        <f>COUNTIFS('Booking Responses'!F:F,"="&amp;A106,'Booking Responses'!E:E,"Medium*")</f>
        <v>1</v>
      </c>
      <c r="T106" s="36">
        <f>COUNTIFS('Booking Responses'!F:F,"="&amp;A106,'Booking Responses'!E:E,"Large*")</f>
        <v>0</v>
      </c>
      <c r="U106" s="37">
        <f t="shared" si="1"/>
        <v>2</v>
      </c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>
      <c r="A107" s="38">
        <v>310.0</v>
      </c>
      <c r="B107" s="39" t="s">
        <v>470</v>
      </c>
      <c r="C107" s="39"/>
      <c r="D107" s="38"/>
      <c r="E107" s="38"/>
      <c r="F107" s="38"/>
      <c r="G107" s="38"/>
      <c r="H107" s="38" t="s">
        <v>415</v>
      </c>
      <c r="I107" s="38"/>
      <c r="J107" s="38"/>
      <c r="K107" s="43"/>
      <c r="L107" s="43"/>
      <c r="M107" s="61"/>
      <c r="N107" s="61"/>
      <c r="O107" s="43"/>
      <c r="P107" s="44">
        <f t="array" ref="P107">MAX(IF($A107='Booking Responses'!F:F,'Booking Responses'!D:D))</f>
        <v>44800</v>
      </c>
      <c r="Q107" s="45" t="str">
        <f t="array" ref="Q107">INDEX('Booking Responses'!C:C,MATCH(1,('Booking Responses'!F:F=A107)*('Booking Responses'!D:D=P107),0))</f>
        <v>Daytimers: Going South</v>
      </c>
      <c r="R107" s="45">
        <f>COUNTIFS('Booking Responses'!F:F,"="&amp;A107,'Booking Responses'!E:E,"Small*")</f>
        <v>0</v>
      </c>
      <c r="S107" s="45">
        <f>COUNTIFS('Booking Responses'!F:F,"="&amp;A107,'Booking Responses'!E:E,"Medium*")</f>
        <v>1</v>
      </c>
      <c r="T107" s="45">
        <f>COUNTIFS('Booking Responses'!F:F,"="&amp;A107,'Booking Responses'!E:E,"Large*")</f>
        <v>0</v>
      </c>
      <c r="U107" s="42">
        <f t="shared" si="1"/>
        <v>2</v>
      </c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</row>
    <row r="108">
      <c r="A108" s="19">
        <v>311.0</v>
      </c>
      <c r="B108" s="21" t="s">
        <v>471</v>
      </c>
      <c r="C108" s="21" t="s">
        <v>471</v>
      </c>
      <c r="D108" s="19"/>
      <c r="E108" s="19"/>
      <c r="F108" s="19"/>
      <c r="G108" s="19"/>
      <c r="H108" s="19" t="s">
        <v>21</v>
      </c>
      <c r="I108" s="19"/>
      <c r="J108" s="19"/>
      <c r="K108" s="24"/>
      <c r="L108" s="24"/>
      <c r="M108" s="66"/>
      <c r="N108" s="66"/>
      <c r="O108" s="24"/>
      <c r="P108" s="35">
        <f t="array" ref="P108">MAX(IF($A108='Booking Responses'!F:F,'Booking Responses'!D:D))</f>
        <v>44765</v>
      </c>
      <c r="Q108" s="36" t="str">
        <f t="array" ref="Q108">INDEX('Booking Responses'!C:C,MATCH(1,('Booking Responses'!F:F=A108)*('Booking Responses'!D:D=P108),0))</f>
        <v>Visions x Daytimers Afterparty</v>
      </c>
      <c r="R108" s="36">
        <f>COUNTIFS('Booking Responses'!F:F,"="&amp;A108,'Booking Responses'!E:E,"Small*")</f>
        <v>0</v>
      </c>
      <c r="S108" s="36">
        <f>COUNTIFS('Booking Responses'!F:F,"="&amp;A108,'Booking Responses'!E:E,"Medium*")</f>
        <v>1</v>
      </c>
      <c r="T108" s="36">
        <f>COUNTIFS('Booking Responses'!F:F,"="&amp;A108,'Booking Responses'!E:E,"Large*")</f>
        <v>0</v>
      </c>
      <c r="U108" s="37">
        <f t="shared" si="1"/>
        <v>2</v>
      </c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>
      <c r="A109" s="38">
        <v>312.0</v>
      </c>
      <c r="B109" s="39" t="s">
        <v>472</v>
      </c>
      <c r="C109" s="39"/>
      <c r="D109" s="38"/>
      <c r="E109" s="38"/>
      <c r="F109" s="38"/>
      <c r="G109" s="38"/>
      <c r="H109" s="38" t="s">
        <v>21</v>
      </c>
      <c r="I109" s="38"/>
      <c r="J109" s="38"/>
      <c r="K109" s="43"/>
      <c r="L109" s="43"/>
      <c r="M109" s="61"/>
      <c r="N109" s="61"/>
      <c r="O109" s="43"/>
      <c r="P109" s="44">
        <f t="array" ref="P109">MAX(IF($A109='Booking Responses'!F:F,'Booking Responses'!D:D))</f>
        <v>45044</v>
      </c>
      <c r="Q109" s="45" t="str">
        <f t="array" ref="Q109">INDEX('Booking Responses'!C:C,MATCH(1,('Booking Responses'!F:F=A109)*('Booking Responses'!D:D=P109),0))</f>
        <v>The Cause Free Party</v>
      </c>
      <c r="R109" s="45">
        <f>COUNTIFS('Booking Responses'!F:F,"="&amp;A109,'Booking Responses'!E:E,"Small*")</f>
        <v>0</v>
      </c>
      <c r="S109" s="45">
        <f>COUNTIFS('Booking Responses'!F:F,"="&amp;A109,'Booking Responses'!E:E,"Medium*")</f>
        <v>3</v>
      </c>
      <c r="T109" s="45">
        <f>COUNTIFS('Booking Responses'!F:F,"="&amp;A109,'Booking Responses'!E:E,"Large*")</f>
        <v>1</v>
      </c>
      <c r="U109" s="42">
        <f t="shared" si="1"/>
        <v>9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</row>
    <row r="110">
      <c r="A110" s="19">
        <v>313.0</v>
      </c>
      <c r="B110" s="21" t="s">
        <v>473</v>
      </c>
      <c r="C110" s="21"/>
      <c r="D110" s="19"/>
      <c r="E110" s="19"/>
      <c r="F110" s="19"/>
      <c r="G110" s="19"/>
      <c r="H110" s="19" t="s">
        <v>21</v>
      </c>
      <c r="I110" s="19"/>
      <c r="J110" s="19"/>
      <c r="K110" s="24"/>
      <c r="L110" s="24"/>
      <c r="M110" s="66"/>
      <c r="N110" s="66"/>
      <c r="O110" s="24"/>
      <c r="P110" s="35">
        <f t="array" ref="P110">MAX(IF($A110='Booking Responses'!F:F,'Booking Responses'!D:D))</f>
        <v>44786</v>
      </c>
      <c r="Q110" s="36" t="str">
        <f t="array" ref="Q110">INDEX('Booking Responses'!C:C,MATCH(1,('Booking Responses'!F:F=A110)*('Booking Responses'!D:D=P110),0))</f>
        <v>Boomtown: Street Stage Takeover</v>
      </c>
      <c r="R110" s="36">
        <f>COUNTIFS('Booking Responses'!F:F,"="&amp;A110,'Booking Responses'!E:E,"Small*")</f>
        <v>0</v>
      </c>
      <c r="S110" s="36">
        <f>COUNTIFS('Booking Responses'!F:F,"="&amp;A110,'Booking Responses'!E:E,"Medium*")</f>
        <v>0</v>
      </c>
      <c r="T110" s="36">
        <f>COUNTIFS('Booking Responses'!F:F,"="&amp;A110,'Booking Responses'!E:E,"Large*")</f>
        <v>2</v>
      </c>
      <c r="U110" s="37">
        <f t="shared" si="1"/>
        <v>6</v>
      </c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>
      <c r="A111" s="38">
        <v>314.0</v>
      </c>
      <c r="B111" s="39" t="s">
        <v>474</v>
      </c>
      <c r="C111" s="39"/>
      <c r="D111" s="38"/>
      <c r="E111" s="38"/>
      <c r="F111" s="38"/>
      <c r="G111" s="38"/>
      <c r="H111" s="38" t="s">
        <v>21</v>
      </c>
      <c r="I111" s="38"/>
      <c r="J111" s="38"/>
      <c r="K111" s="43"/>
      <c r="L111" s="43"/>
      <c r="M111" s="61"/>
      <c r="N111" s="61"/>
      <c r="O111" s="43"/>
      <c r="P111" s="44">
        <f t="array" ref="P111">MAX(IF($A111='Booking Responses'!F:F,'Booking Responses'!D:D))</f>
        <v>44744</v>
      </c>
      <c r="Q111" s="45" t="str">
        <f t="array" ref="Q111">INDEX('Booking Responses'!C:C,MATCH(1,('Booking Responses'!F:F=A111)*('Booking Responses'!D:D=P111),0))</f>
        <v>Daytimers x Middle Of Nowhere</v>
      </c>
      <c r="R111" s="45">
        <f>COUNTIFS('Booking Responses'!F:F,"="&amp;A111,'Booking Responses'!E:E,"Small*")</f>
        <v>0</v>
      </c>
      <c r="S111" s="45">
        <f>COUNTIFS('Booking Responses'!F:F,"="&amp;A111,'Booking Responses'!E:E,"Medium*")</f>
        <v>0</v>
      </c>
      <c r="T111" s="45">
        <f>COUNTIFS('Booking Responses'!F:F,"="&amp;A111,'Booking Responses'!E:E,"Large*")</f>
        <v>1</v>
      </c>
      <c r="U111" s="42">
        <f t="shared" si="1"/>
        <v>3</v>
      </c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</row>
    <row r="112">
      <c r="A112" s="19">
        <v>315.0</v>
      </c>
      <c r="B112" s="21" t="s">
        <v>475</v>
      </c>
      <c r="C112" s="21"/>
      <c r="D112" s="19"/>
      <c r="E112" s="19"/>
      <c r="F112" s="19"/>
      <c r="G112" s="19"/>
      <c r="H112" s="19" t="s">
        <v>415</v>
      </c>
      <c r="I112" s="19"/>
      <c r="J112" s="19"/>
      <c r="K112" s="24"/>
      <c r="L112" s="24"/>
      <c r="M112" s="66"/>
      <c r="N112" s="66"/>
      <c r="O112" s="24"/>
      <c r="P112" s="35">
        <f t="array" ref="P112">MAX(IF($A112='Booking Responses'!F:F,'Booking Responses'!D:D))</f>
        <v>44744</v>
      </c>
      <c r="Q112" s="36" t="str">
        <f t="array" ref="Q112">INDEX('Booking Responses'!C:C,MATCH(1,('Booking Responses'!F:F=A112)*('Booking Responses'!D:D=P112),0))</f>
        <v>Daytimers x Middle Of Nowhere (Mehfil)</v>
      </c>
      <c r="R112" s="36">
        <f>COUNTIFS('Booking Responses'!F:F,"="&amp;A112,'Booking Responses'!E:E,"Small*")</f>
        <v>0</v>
      </c>
      <c r="S112" s="36">
        <f>COUNTIFS('Booking Responses'!F:F,"="&amp;A112,'Booking Responses'!E:E,"Medium*")</f>
        <v>0</v>
      </c>
      <c r="T112" s="36">
        <f>COUNTIFS('Booking Responses'!F:F,"="&amp;A112,'Booking Responses'!E:E,"Large*")</f>
        <v>1</v>
      </c>
      <c r="U112" s="37">
        <f t="shared" si="1"/>
        <v>3</v>
      </c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>
      <c r="A113" s="38">
        <v>316.0</v>
      </c>
      <c r="B113" s="39" t="s">
        <v>476</v>
      </c>
      <c r="C113" s="39"/>
      <c r="D113" s="38"/>
      <c r="E113" s="38"/>
      <c r="F113" s="38"/>
      <c r="G113" s="38"/>
      <c r="H113" s="38" t="s">
        <v>21</v>
      </c>
      <c r="I113" s="38"/>
      <c r="J113" s="38"/>
      <c r="K113" s="43"/>
      <c r="L113" s="43"/>
      <c r="M113" s="61"/>
      <c r="N113" s="61"/>
      <c r="O113" s="43"/>
      <c r="P113" s="44">
        <f t="array" ref="P113">MAX(IF($A113='Booking Responses'!F:F,'Booking Responses'!D:D))</f>
        <v>45122</v>
      </c>
      <c r="Q113" s="45" t="str">
        <f t="array" ref="Q113">INDEX('Booking Responses'!C:C,MATCH(1,('Booking Responses'!F:F=A113)*('Booking Responses'!D:D=P113),0))</f>
        <v>HKW Berlin 2023</v>
      </c>
      <c r="R113" s="45">
        <f>COUNTIFS('Booking Responses'!F:F,"="&amp;A113,'Booking Responses'!E:E,"Small*")</f>
        <v>0</v>
      </c>
      <c r="S113" s="45">
        <f>COUNTIFS('Booking Responses'!F:F,"="&amp;A113,'Booking Responses'!E:E,"Medium*")</f>
        <v>3</v>
      </c>
      <c r="T113" s="45">
        <f>COUNTIFS('Booking Responses'!F:F,"="&amp;A113,'Booking Responses'!E:E,"Large*")</f>
        <v>1</v>
      </c>
      <c r="U113" s="42">
        <f t="shared" si="1"/>
        <v>9</v>
      </c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</row>
    <row r="114">
      <c r="A114" s="19">
        <v>317.0</v>
      </c>
      <c r="B114" s="21"/>
      <c r="C114" s="21"/>
      <c r="D114" s="19"/>
      <c r="E114" s="19"/>
      <c r="F114" s="19"/>
      <c r="G114" s="19"/>
      <c r="H114" s="19"/>
      <c r="I114" s="19"/>
      <c r="J114" s="19"/>
      <c r="K114" s="24"/>
      <c r="L114" s="24"/>
      <c r="M114" s="66"/>
      <c r="N114" s="66"/>
      <c r="O114" s="24"/>
      <c r="P114" s="35">
        <f t="array" ref="P114">MAX(IF($A114='Booking Responses'!F:F,'Booking Responses'!D:D))</f>
        <v>0</v>
      </c>
      <c r="Q114" s="36" t="str">
        <f t="array" ref="Q114">INDEX('Booking Responses'!C:C,MATCH(1,('Booking Responses'!F:F=A114)*('Booking Responses'!D:D=P114),0))</f>
        <v>#N/A</v>
      </c>
      <c r="R114" s="36">
        <f>COUNTIFS('Booking Responses'!F:F,"="&amp;A114,'Booking Responses'!E:E,"Small*")</f>
        <v>0</v>
      </c>
      <c r="S114" s="36">
        <f>COUNTIFS('Booking Responses'!F:F,"="&amp;A114,'Booking Responses'!E:E,"Medium*")</f>
        <v>0</v>
      </c>
      <c r="T114" s="36">
        <f>COUNTIFS('Booking Responses'!F:F,"="&amp;A114,'Booking Responses'!E:E,"Large*")</f>
        <v>0</v>
      </c>
      <c r="U114" s="37">
        <f t="shared" si="1"/>
        <v>0</v>
      </c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>
      <c r="A115" s="38">
        <v>318.0</v>
      </c>
      <c r="B115" s="39" t="s">
        <v>477</v>
      </c>
      <c r="C115" s="39"/>
      <c r="D115" s="38"/>
      <c r="E115" s="38"/>
      <c r="F115" s="38"/>
      <c r="G115" s="38"/>
      <c r="H115" s="38" t="s">
        <v>21</v>
      </c>
      <c r="I115" s="38"/>
      <c r="J115" s="38"/>
      <c r="K115" s="43"/>
      <c r="L115" s="43"/>
      <c r="M115" s="61"/>
      <c r="N115" s="61"/>
      <c r="O115" s="43"/>
      <c r="P115" s="44">
        <f t="array" ref="P115">MAX(IF($A115='Booking Responses'!F:F,'Booking Responses'!D:D))</f>
        <v>44806</v>
      </c>
      <c r="Q115" s="45" t="str">
        <f t="array" ref="Q115">INDEX('Booking Responses'!C:C,MATCH(1,('Booking Responses'!F:F=A115)*('Booking Responses'!D:D=P115),0))</f>
        <v>Field Maneuvers 2022</v>
      </c>
      <c r="R115" s="45">
        <f>COUNTIFS('Booking Responses'!F:F,"="&amp;A115,'Booking Responses'!E:E,"Small*")</f>
        <v>0</v>
      </c>
      <c r="S115" s="45">
        <f>COUNTIFS('Booking Responses'!F:F,"="&amp;A115,'Booking Responses'!E:E,"Medium*")</f>
        <v>4</v>
      </c>
      <c r="T115" s="45">
        <f>COUNTIFS('Booking Responses'!F:F,"="&amp;A115,'Booking Responses'!E:E,"Large*")</f>
        <v>1</v>
      </c>
      <c r="U115" s="42">
        <f t="shared" si="1"/>
        <v>11</v>
      </c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</row>
    <row r="116">
      <c r="A116" s="19">
        <v>319.0</v>
      </c>
      <c r="B116" s="21" t="s">
        <v>478</v>
      </c>
      <c r="C116" s="21" t="s">
        <v>479</v>
      </c>
      <c r="D116" s="19"/>
      <c r="E116" s="19"/>
      <c r="F116" s="19" t="s">
        <v>137</v>
      </c>
      <c r="G116" s="19"/>
      <c r="H116" s="19" t="s">
        <v>21</v>
      </c>
      <c r="I116" s="19"/>
      <c r="J116" s="19" t="s">
        <v>480</v>
      </c>
      <c r="K116" s="25" t="s">
        <v>481</v>
      </c>
      <c r="L116" s="25" t="s">
        <v>482</v>
      </c>
      <c r="M116" s="66"/>
      <c r="N116" s="66"/>
      <c r="O116" s="24"/>
      <c r="P116" s="35">
        <f t="array" ref="P116">MAX(IF($A116='Booking Responses'!F:F,'Booking Responses'!D:D))</f>
        <v>46107</v>
      </c>
      <c r="Q116" s="36" t="str">
        <f t="array" ref="Q116">INDEX('Booking Responses'!C:C,MATCH(1,('Booking Responses'!F:F=A116)*('Booking Responses'!D:D=P116),0))</f>
        <v>BFI At Yours: Mogul Mowgli</v>
      </c>
      <c r="R116" s="36">
        <f>COUNTIFS('Booking Responses'!F:F,"="&amp;A116,'Booking Responses'!E:E,"Small*")</f>
        <v>2</v>
      </c>
      <c r="S116" s="36">
        <f>COUNTIFS('Booking Responses'!F:F,"="&amp;A116,'Booking Responses'!E:E,"Medium*")</f>
        <v>0</v>
      </c>
      <c r="T116" s="36">
        <f>COUNTIFS('Booking Responses'!F:F,"="&amp;A116,'Booking Responses'!E:E,"Large*")</f>
        <v>2</v>
      </c>
      <c r="U116" s="37">
        <f t="shared" si="1"/>
        <v>8</v>
      </c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>
      <c r="A117" s="38">
        <v>320.0</v>
      </c>
      <c r="B117" s="39" t="s">
        <v>483</v>
      </c>
      <c r="C117" s="39"/>
      <c r="D117" s="38"/>
      <c r="E117" s="38"/>
      <c r="F117" s="38"/>
      <c r="G117" s="38"/>
      <c r="H117" s="38" t="s">
        <v>21</v>
      </c>
      <c r="I117" s="38"/>
      <c r="J117" s="38"/>
      <c r="K117" s="43"/>
      <c r="L117" s="43"/>
      <c r="M117" s="61"/>
      <c r="N117" s="61"/>
      <c r="O117" s="43"/>
      <c r="P117" s="44">
        <f t="array" ref="P117">MAX(IF($A117='Booking Responses'!F:F,'Booking Responses'!D:D))</f>
        <v>44682</v>
      </c>
      <c r="Q117" s="45" t="str">
        <f t="array" ref="Q117">INDEX('Booking Responses'!C:C,MATCH(1,('Booking Responses'!F:F=A117)*('Booking Responses'!D:D=P117),0))</f>
        <v>Sounds from the Other City 2022: Daytimers</v>
      </c>
      <c r="R117" s="45">
        <f>COUNTIFS('Booking Responses'!F:F,"="&amp;A117,'Booking Responses'!E:E,"Small*")</f>
        <v>0</v>
      </c>
      <c r="S117" s="45">
        <f>COUNTIFS('Booking Responses'!F:F,"="&amp;A117,'Booking Responses'!E:E,"Medium*")</f>
        <v>1</v>
      </c>
      <c r="T117" s="45">
        <f>COUNTIFS('Booking Responses'!F:F,"="&amp;A117,'Booking Responses'!E:E,"Large*")</f>
        <v>0</v>
      </c>
      <c r="U117" s="42">
        <f t="shared" si="1"/>
        <v>2</v>
      </c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</row>
    <row r="118">
      <c r="A118" s="19">
        <v>321.0</v>
      </c>
      <c r="B118" s="21" t="s">
        <v>484</v>
      </c>
      <c r="C118" s="21"/>
      <c r="D118" s="19"/>
      <c r="E118" s="19"/>
      <c r="F118" s="19"/>
      <c r="G118" s="19"/>
      <c r="H118" s="19" t="s">
        <v>21</v>
      </c>
      <c r="I118" s="19"/>
      <c r="J118" s="19"/>
      <c r="K118" s="24"/>
      <c r="L118" s="24"/>
      <c r="M118" s="66"/>
      <c r="N118" s="66"/>
      <c r="O118" s="24"/>
      <c r="P118" s="35">
        <f t="array" ref="P118">MAX(IF($A118='Booking Responses'!F:F,'Booking Responses'!D:D))</f>
        <v>44682</v>
      </c>
      <c r="Q118" s="36" t="str">
        <f t="array" ref="Q118">INDEX('Booking Responses'!C:C,MATCH(1,('Booking Responses'!F:F=A118)*('Booking Responses'!D:D=P118),0))</f>
        <v>Sounds from the Other City 2022: Daytimers</v>
      </c>
      <c r="R118" s="36">
        <f>COUNTIFS('Booking Responses'!F:F,"="&amp;A118,'Booking Responses'!E:E,"Small*")</f>
        <v>0</v>
      </c>
      <c r="S118" s="36">
        <f>COUNTIFS('Booking Responses'!F:F,"="&amp;A118,'Booking Responses'!E:E,"Medium*")</f>
        <v>1</v>
      </c>
      <c r="T118" s="36">
        <f>COUNTIFS('Booking Responses'!F:F,"="&amp;A118,'Booking Responses'!E:E,"Large*")</f>
        <v>0</v>
      </c>
      <c r="U118" s="37">
        <f t="shared" si="1"/>
        <v>2</v>
      </c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>
      <c r="A119" s="38">
        <v>322.0</v>
      </c>
      <c r="B119" s="39" t="s">
        <v>485</v>
      </c>
      <c r="C119" s="39"/>
      <c r="D119" s="38"/>
      <c r="E119" s="38"/>
      <c r="F119" s="38"/>
      <c r="G119" s="38"/>
      <c r="H119" s="38" t="s">
        <v>415</v>
      </c>
      <c r="I119" s="38"/>
      <c r="J119" s="38"/>
      <c r="K119" s="43"/>
      <c r="L119" s="43"/>
      <c r="M119" s="61"/>
      <c r="N119" s="61"/>
      <c r="O119" s="43"/>
      <c r="P119" s="44">
        <f t="array" ref="P119">MAX(IF($A119='Booking Responses'!F:F,'Booking Responses'!D:D))</f>
        <v>44744</v>
      </c>
      <c r="Q119" s="45" t="str">
        <f t="array" ref="Q119">INDEX('Booking Responses'!C:C,MATCH(1,('Booking Responses'!F:F=A119)*('Booking Responses'!D:D=P119),0))</f>
        <v>Daytimers x Middle Of Nowhere (Mehfil)</v>
      </c>
      <c r="R119" s="45">
        <f>COUNTIFS('Booking Responses'!F:F,"="&amp;A119,'Booking Responses'!E:E,"Small*")</f>
        <v>0</v>
      </c>
      <c r="S119" s="45">
        <f>COUNTIFS('Booking Responses'!F:F,"="&amp;A119,'Booking Responses'!E:E,"Medium*")</f>
        <v>0</v>
      </c>
      <c r="T119" s="45">
        <f>COUNTIFS('Booking Responses'!F:F,"="&amp;A119,'Booking Responses'!E:E,"Large*")</f>
        <v>1</v>
      </c>
      <c r="U119" s="42">
        <f t="shared" si="1"/>
        <v>3</v>
      </c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</row>
    <row r="120">
      <c r="A120" s="19">
        <v>323.0</v>
      </c>
      <c r="B120" s="21" t="s">
        <v>486</v>
      </c>
      <c r="C120" s="21"/>
      <c r="D120" s="19"/>
      <c r="E120" s="19"/>
      <c r="F120" s="19"/>
      <c r="G120" s="19"/>
      <c r="H120" s="19" t="s">
        <v>21</v>
      </c>
      <c r="I120" s="19"/>
      <c r="J120" s="19"/>
      <c r="K120" s="24"/>
      <c r="L120" s="24"/>
      <c r="M120" s="66"/>
      <c r="N120" s="66"/>
      <c r="O120" s="24"/>
      <c r="P120" s="35">
        <f t="array" ref="P120">MAX(IF($A120='Booking Responses'!F:F,'Booking Responses'!D:D))</f>
        <v>44744</v>
      </c>
      <c r="Q120" s="36" t="str">
        <f t="array" ref="Q120">INDEX('Booking Responses'!C:C,MATCH(1,('Booking Responses'!F:F=A120)*('Booking Responses'!D:D=P120),0))</f>
        <v>Daytimers x Middle Of Nowhere</v>
      </c>
      <c r="R120" s="36">
        <f>COUNTIFS('Booking Responses'!F:F,"="&amp;A120,'Booking Responses'!E:E,"Small*")</f>
        <v>0</v>
      </c>
      <c r="S120" s="36">
        <f>COUNTIFS('Booking Responses'!F:F,"="&amp;A120,'Booking Responses'!E:E,"Medium*")</f>
        <v>0</v>
      </c>
      <c r="T120" s="36">
        <f>COUNTIFS('Booking Responses'!F:F,"="&amp;A120,'Booking Responses'!E:E,"Large*")</f>
        <v>1</v>
      </c>
      <c r="U120" s="37">
        <f t="shared" si="1"/>
        <v>3</v>
      </c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>
      <c r="A121" s="38">
        <v>324.0</v>
      </c>
      <c r="B121" s="39" t="s">
        <v>487</v>
      </c>
      <c r="C121" s="39" t="s">
        <v>487</v>
      </c>
      <c r="D121" s="38"/>
      <c r="E121" s="38"/>
      <c r="F121" s="38"/>
      <c r="G121" s="38"/>
      <c r="H121" s="38" t="s">
        <v>415</v>
      </c>
      <c r="I121" s="38"/>
      <c r="J121" s="38"/>
      <c r="K121" s="43"/>
      <c r="L121" s="43"/>
      <c r="M121" s="61"/>
      <c r="N121" s="61"/>
      <c r="O121" s="43"/>
      <c r="P121" s="44">
        <f t="array" ref="P121">MAX(IF($A121='Booking Responses'!F:F,'Booking Responses'!D:D))</f>
        <v>44744</v>
      </c>
      <c r="Q121" s="45" t="str">
        <f t="array" ref="Q121">INDEX('Booking Responses'!C:C,MATCH(1,('Booking Responses'!F:F=A121)*('Booking Responses'!D:D=P121),0))</f>
        <v>Daytimers x Middle Of Nowhere</v>
      </c>
      <c r="R121" s="45">
        <f>COUNTIFS('Booking Responses'!F:F,"="&amp;A121,'Booking Responses'!E:E,"Small*")</f>
        <v>0</v>
      </c>
      <c r="S121" s="45">
        <f>COUNTIFS('Booking Responses'!F:F,"="&amp;A121,'Booking Responses'!E:E,"Medium*")</f>
        <v>0</v>
      </c>
      <c r="T121" s="45">
        <f>COUNTIFS('Booking Responses'!F:F,"="&amp;A121,'Booking Responses'!E:E,"Large*")</f>
        <v>1</v>
      </c>
      <c r="U121" s="42">
        <f t="shared" si="1"/>
        <v>3</v>
      </c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</row>
    <row r="122">
      <c r="A122" s="19">
        <v>325.0</v>
      </c>
      <c r="B122" s="21" t="s">
        <v>488</v>
      </c>
      <c r="C122" s="21"/>
      <c r="D122" s="19"/>
      <c r="E122" s="19"/>
      <c r="F122" s="19"/>
      <c r="G122" s="19"/>
      <c r="H122" s="19" t="s">
        <v>21</v>
      </c>
      <c r="I122" s="19"/>
      <c r="J122" s="19"/>
      <c r="K122" s="24"/>
      <c r="L122" s="24"/>
      <c r="M122" s="66"/>
      <c r="N122" s="66"/>
      <c r="O122" s="24"/>
      <c r="P122" s="35">
        <f t="array" ref="P122">MAX(IF($A122='Booking Responses'!F:F,'Booking Responses'!D:D))</f>
        <v>44744</v>
      </c>
      <c r="Q122" s="36" t="str">
        <f t="array" ref="Q122">INDEX('Booking Responses'!C:C,MATCH(1,('Booking Responses'!F:F=A122)*('Booking Responses'!D:D=P122),0))</f>
        <v>Daytimers x Middle Of Nowhere</v>
      </c>
      <c r="R122" s="36">
        <f>COUNTIFS('Booking Responses'!F:F,"="&amp;A122,'Booking Responses'!E:E,"Small*")</f>
        <v>0</v>
      </c>
      <c r="S122" s="36">
        <f>COUNTIFS('Booking Responses'!F:F,"="&amp;A122,'Booking Responses'!E:E,"Medium*")</f>
        <v>0</v>
      </c>
      <c r="T122" s="36">
        <f>COUNTIFS('Booking Responses'!F:F,"="&amp;A122,'Booking Responses'!E:E,"Large*")</f>
        <v>1</v>
      </c>
      <c r="U122" s="37">
        <f t="shared" si="1"/>
        <v>3</v>
      </c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>
      <c r="A123" s="38">
        <v>326.0</v>
      </c>
      <c r="B123" s="39" t="s">
        <v>489</v>
      </c>
      <c r="C123" s="39"/>
      <c r="D123" s="38"/>
      <c r="E123" s="38"/>
      <c r="F123" s="38"/>
      <c r="G123" s="38"/>
      <c r="H123" s="38" t="s">
        <v>21</v>
      </c>
      <c r="I123" s="38"/>
      <c r="J123" s="38"/>
      <c r="K123" s="43"/>
      <c r="L123" s="43"/>
      <c r="M123" s="61"/>
      <c r="N123" s="61"/>
      <c r="O123" s="43"/>
      <c r="P123" s="44">
        <f t="array" ref="P123">MAX(IF($A123='Booking Responses'!F:F,'Booking Responses'!D:D))</f>
        <v>44744</v>
      </c>
      <c r="Q123" s="45" t="str">
        <f t="array" ref="Q123">INDEX('Booking Responses'!C:C,MATCH(1,('Booking Responses'!F:F=A123)*('Booking Responses'!D:D=P123),0))</f>
        <v>Daytimers x Middle Of Nowhere</v>
      </c>
      <c r="R123" s="45">
        <f>COUNTIFS('Booking Responses'!F:F,"="&amp;A123,'Booking Responses'!E:E,"Small*")</f>
        <v>0</v>
      </c>
      <c r="S123" s="45">
        <f>COUNTIFS('Booking Responses'!F:F,"="&amp;A123,'Booking Responses'!E:E,"Medium*")</f>
        <v>0</v>
      </c>
      <c r="T123" s="45">
        <f>COUNTIFS('Booking Responses'!F:F,"="&amp;A123,'Booking Responses'!E:E,"Large*")</f>
        <v>1</v>
      </c>
      <c r="U123" s="42">
        <f t="shared" si="1"/>
        <v>3</v>
      </c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</row>
    <row r="124">
      <c r="A124" s="19">
        <v>327.0</v>
      </c>
      <c r="B124" s="69" t="s">
        <v>490</v>
      </c>
      <c r="C124" s="21"/>
      <c r="D124" s="19"/>
      <c r="E124" s="19"/>
      <c r="F124" s="19"/>
      <c r="G124" s="19"/>
      <c r="H124" s="19" t="s">
        <v>21</v>
      </c>
      <c r="I124" s="19"/>
      <c r="J124" s="19"/>
      <c r="K124" s="24"/>
      <c r="L124" s="24"/>
      <c r="M124" s="66"/>
      <c r="N124" s="66"/>
      <c r="O124" s="24"/>
      <c r="P124" s="35">
        <f t="array" ref="P124">MAX(IF($A124='Booking Responses'!F:F,'Booking Responses'!D:D))</f>
        <v>45395</v>
      </c>
      <c r="Q124" s="36" t="str">
        <f t="array" ref="Q124">INDEX('Booking Responses'!C:C,MATCH(1,('Booking Responses'!F:F=A124)*('Booking Responses'!D:D=P124),0))</f>
        <v>DAYTIMERS BERLIN</v>
      </c>
      <c r="R124" s="36">
        <f>COUNTIFS('Booking Responses'!F:F,"="&amp;A124,'Booking Responses'!E:E,"Small*")</f>
        <v>1</v>
      </c>
      <c r="S124" s="36">
        <f>COUNTIFS('Booking Responses'!F:F,"="&amp;A124,'Booking Responses'!E:E,"Medium*")</f>
        <v>1</v>
      </c>
      <c r="T124" s="36">
        <f>COUNTIFS('Booking Responses'!F:F,"="&amp;A124,'Booking Responses'!E:E,"Large*")</f>
        <v>1</v>
      </c>
      <c r="U124" s="37">
        <f t="shared" si="1"/>
        <v>6</v>
      </c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>
      <c r="A125" s="38">
        <v>328.0</v>
      </c>
      <c r="B125" s="39" t="s">
        <v>491</v>
      </c>
      <c r="C125" s="39"/>
      <c r="D125" s="38"/>
      <c r="E125" s="38"/>
      <c r="F125" s="38"/>
      <c r="G125" s="38"/>
      <c r="H125" s="38" t="s">
        <v>32</v>
      </c>
      <c r="I125" s="38"/>
      <c r="J125" s="38"/>
      <c r="K125" s="43"/>
      <c r="L125" s="43"/>
      <c r="M125" s="61"/>
      <c r="N125" s="61"/>
      <c r="O125" s="43"/>
      <c r="P125" s="44">
        <f t="array" ref="P125">MAX(IF($A125='Booking Responses'!F:F,'Booking Responses'!D:D))</f>
        <v>44638</v>
      </c>
      <c r="Q125" s="45" t="str">
        <f t="array" ref="Q125">INDEX('Booking Responses'!C:C,MATCH(1,('Booking Responses'!F:F=A125)*('Booking Responses'!D:D=P125),0))</f>
        <v>The Carpet Shop (Daytimers Takeover)</v>
      </c>
      <c r="R125" s="45">
        <f>COUNTIFS('Booking Responses'!F:F,"="&amp;A125,'Booking Responses'!E:E,"Small*")</f>
        <v>0</v>
      </c>
      <c r="S125" s="45">
        <f>COUNTIFS('Booking Responses'!F:F,"="&amp;A125,'Booking Responses'!E:E,"Medium*")</f>
        <v>1</v>
      </c>
      <c r="T125" s="45">
        <f>COUNTIFS('Booking Responses'!F:F,"="&amp;A125,'Booking Responses'!E:E,"Large*")</f>
        <v>0</v>
      </c>
      <c r="U125" s="42">
        <f t="shared" si="1"/>
        <v>2</v>
      </c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</row>
    <row r="126">
      <c r="A126" s="19">
        <v>329.0</v>
      </c>
      <c r="B126" s="21" t="s">
        <v>492</v>
      </c>
      <c r="C126" s="21" t="s">
        <v>492</v>
      </c>
      <c r="D126" s="19"/>
      <c r="E126" s="19"/>
      <c r="F126" s="19"/>
      <c r="G126" s="19"/>
      <c r="H126" s="19" t="s">
        <v>32</v>
      </c>
      <c r="I126" s="19"/>
      <c r="J126" s="19"/>
      <c r="K126" s="24"/>
      <c r="L126" s="24"/>
      <c r="M126" s="66"/>
      <c r="N126" s="66"/>
      <c r="O126" s="24"/>
      <c r="P126" s="35">
        <f t="array" ref="P126">MAX(IF($A126='Booking Responses'!F:F,'Booking Responses'!D:D))</f>
        <v>44806</v>
      </c>
      <c r="Q126" s="36" t="str">
        <f t="array" ref="Q126">INDEX('Booking Responses'!C:C,MATCH(1,('Booking Responses'!F:F=A126)*('Booking Responses'!D:D=P126),0))</f>
        <v>Field Maneuvers 2022</v>
      </c>
      <c r="R126" s="36">
        <f>COUNTIFS('Booking Responses'!F:F,"="&amp;A126,'Booking Responses'!E:E,"Small*")</f>
        <v>0</v>
      </c>
      <c r="S126" s="36">
        <f>COUNTIFS('Booking Responses'!F:F,"="&amp;A126,'Booking Responses'!E:E,"Medium*")</f>
        <v>4</v>
      </c>
      <c r="T126" s="36">
        <f>COUNTIFS('Booking Responses'!F:F,"="&amp;A126,'Booking Responses'!E:E,"Large*")</f>
        <v>0</v>
      </c>
      <c r="U126" s="37">
        <f t="shared" si="1"/>
        <v>8</v>
      </c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>
      <c r="A127" s="38">
        <v>330.0</v>
      </c>
      <c r="B127" s="39" t="s">
        <v>493</v>
      </c>
      <c r="C127" s="39"/>
      <c r="D127" s="38"/>
      <c r="E127" s="38"/>
      <c r="F127" s="38"/>
      <c r="G127" s="38"/>
      <c r="H127" s="38" t="s">
        <v>21</v>
      </c>
      <c r="I127" s="38"/>
      <c r="J127" s="38"/>
      <c r="K127" s="43"/>
      <c r="L127" s="43"/>
      <c r="M127" s="61"/>
      <c r="N127" s="61"/>
      <c r="O127" s="43"/>
      <c r="P127" s="44">
        <f t="array" ref="P127">MAX(IF($A127='Booking Responses'!F:F,'Booking Responses'!D:D))</f>
        <v>45163</v>
      </c>
      <c r="Q127" s="45" t="str">
        <f t="array" ref="Q127">INDEX('Booking Responses'!C:C,MATCH(1,('Booking Responses'!F:F=A127)*('Booking Responses'!D:D=P127),0))</f>
        <v>Phonox Residency August 2023</v>
      </c>
      <c r="R127" s="45">
        <f>COUNTIFS('Booking Responses'!F:F,"="&amp;A127,'Booking Responses'!E:E,"Small*")</f>
        <v>0</v>
      </c>
      <c r="S127" s="45">
        <f>COUNTIFS('Booking Responses'!F:F,"="&amp;A127,'Booking Responses'!E:E,"Medium*")</f>
        <v>2</v>
      </c>
      <c r="T127" s="45">
        <f>COUNTIFS('Booking Responses'!F:F,"="&amp;A127,'Booking Responses'!E:E,"Large*")</f>
        <v>0</v>
      </c>
      <c r="U127" s="42">
        <f t="shared" si="1"/>
        <v>4</v>
      </c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</row>
    <row r="128">
      <c r="A128" s="19">
        <v>331.0</v>
      </c>
      <c r="B128" s="21" t="s">
        <v>494</v>
      </c>
      <c r="C128" s="21"/>
      <c r="D128" s="19"/>
      <c r="E128" s="19"/>
      <c r="F128" s="19"/>
      <c r="G128" s="19"/>
      <c r="H128" s="19" t="s">
        <v>21</v>
      </c>
      <c r="I128" s="19"/>
      <c r="J128" s="19"/>
      <c r="K128" s="24"/>
      <c r="L128" s="24"/>
      <c r="M128" s="66"/>
      <c r="N128" s="66"/>
      <c r="O128" s="24"/>
      <c r="P128" s="35">
        <f t="array" ref="P128">MAX(IF($A128='Booking Responses'!F:F,'Booking Responses'!D:D))</f>
        <v>45098</v>
      </c>
      <c r="Q128" s="36" t="str">
        <f t="array" ref="Q128">INDEX('Booking Responses'!C:C,MATCH(1,('Booking Responses'!F:F=A128)*('Booking Responses'!D:D=P128),0))</f>
        <v>Glasto 2023</v>
      </c>
      <c r="R128" s="36">
        <f>COUNTIFS('Booking Responses'!F:F,"="&amp;A128,'Booking Responses'!E:E,"Small*")</f>
        <v>0</v>
      </c>
      <c r="S128" s="36">
        <f>COUNTIFS('Booking Responses'!F:F,"="&amp;A128,'Booking Responses'!E:E,"Medium*")</f>
        <v>0</v>
      </c>
      <c r="T128" s="36">
        <f>COUNTIFS('Booking Responses'!F:F,"="&amp;A128,'Booking Responses'!E:E,"Large*")</f>
        <v>2</v>
      </c>
      <c r="U128" s="37">
        <f t="shared" si="1"/>
        <v>6</v>
      </c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>
      <c r="A129" s="38">
        <v>332.0</v>
      </c>
      <c r="B129" s="39" t="s">
        <v>495</v>
      </c>
      <c r="C129" s="39"/>
      <c r="D129" s="38"/>
      <c r="E129" s="38"/>
      <c r="F129" s="38"/>
      <c r="G129" s="38"/>
      <c r="H129" s="38" t="s">
        <v>415</v>
      </c>
      <c r="I129" s="38"/>
      <c r="J129" s="38"/>
      <c r="K129" s="43"/>
      <c r="L129" s="43"/>
      <c r="M129" s="61"/>
      <c r="N129" s="61"/>
      <c r="O129" s="43"/>
      <c r="P129" s="44">
        <f t="array" ref="P129">MAX(IF($A129='Booking Responses'!F:F,'Booking Responses'!D:D))</f>
        <v>44675</v>
      </c>
      <c r="Q129" s="45" t="str">
        <f t="array" ref="Q129">INDEX('Booking Responses'!C:C,MATCH(1,('Booking Responses'!F:F=A129)*('Booking Responses'!D:D=P129),0))</f>
        <v>Daytimers x SUP? Supper Club</v>
      </c>
      <c r="R129" s="45">
        <f>COUNTIFS('Booking Responses'!F:F,"="&amp;A129,'Booking Responses'!E:E,"Small*")</f>
        <v>1</v>
      </c>
      <c r="S129" s="45">
        <f>COUNTIFS('Booking Responses'!F:F,"="&amp;A129,'Booking Responses'!E:E,"Medium*")</f>
        <v>0</v>
      </c>
      <c r="T129" s="45">
        <f>COUNTIFS('Booking Responses'!F:F,"="&amp;A129,'Booking Responses'!E:E,"Large*")</f>
        <v>0</v>
      </c>
      <c r="U129" s="42">
        <f t="shared" si="1"/>
        <v>1</v>
      </c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</row>
    <row r="130">
      <c r="A130" s="19">
        <v>333.0</v>
      </c>
      <c r="B130" s="21" t="s">
        <v>496</v>
      </c>
      <c r="C130" s="21"/>
      <c r="D130" s="19"/>
      <c r="E130" s="19"/>
      <c r="F130" s="19"/>
      <c r="G130" s="19"/>
      <c r="H130" s="19" t="s">
        <v>415</v>
      </c>
      <c r="I130" s="19"/>
      <c r="J130" s="19"/>
      <c r="K130" s="24"/>
      <c r="L130" s="24"/>
      <c r="M130" s="66"/>
      <c r="N130" s="66"/>
      <c r="O130" s="24"/>
      <c r="P130" s="35">
        <f t="array" ref="P130">MAX(IF($A130='Booking Responses'!F:F,'Booking Responses'!D:D))</f>
        <v>44651</v>
      </c>
      <c r="Q130" s="36" t="str">
        <f t="array" ref="Q130">INDEX('Booking Responses'!C:C,MATCH(1,('Booking Responses'!F:F=A130)*('Booking Responses'!D:D=P130),0))</f>
        <v>Mehfil 001</v>
      </c>
      <c r="R130" s="36">
        <f>COUNTIFS('Booking Responses'!F:F,"="&amp;A130,'Booking Responses'!E:E,"Small*")</f>
        <v>0</v>
      </c>
      <c r="S130" s="36">
        <f>COUNTIFS('Booking Responses'!F:F,"="&amp;A130,'Booking Responses'!E:E,"Medium*")</f>
        <v>1</v>
      </c>
      <c r="T130" s="36">
        <f>COUNTIFS('Booking Responses'!F:F,"="&amp;A130,'Booking Responses'!E:E,"Large*")</f>
        <v>0</v>
      </c>
      <c r="U130" s="37">
        <f t="shared" si="1"/>
        <v>2</v>
      </c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>
      <c r="A131" s="38">
        <v>334.0</v>
      </c>
      <c r="B131" s="39" t="s">
        <v>497</v>
      </c>
      <c r="C131" s="39"/>
      <c r="D131" s="38"/>
      <c r="E131" s="38"/>
      <c r="F131" s="38"/>
      <c r="G131" s="38"/>
      <c r="H131" s="38" t="s">
        <v>21</v>
      </c>
      <c r="I131" s="38"/>
      <c r="J131" s="38"/>
      <c r="K131" s="43"/>
      <c r="L131" s="43"/>
      <c r="M131" s="61"/>
      <c r="N131" s="61"/>
      <c r="O131" s="43"/>
      <c r="P131" s="44">
        <f t="array" ref="P131">MAX(IF($A131='Booking Responses'!F:F,'Booking Responses'!D:D))</f>
        <v>44744</v>
      </c>
      <c r="Q131" s="45" t="str">
        <f t="array" ref="Q131">INDEX('Booking Responses'!C:C,MATCH(1,('Booking Responses'!F:F=A131)*('Booking Responses'!D:D=P131),0))</f>
        <v>Daytimers x Middle Of Nowhere</v>
      </c>
      <c r="R131" s="45">
        <f>COUNTIFS('Booking Responses'!F:F,"="&amp;A131,'Booking Responses'!E:E,"Small*")</f>
        <v>0</v>
      </c>
      <c r="S131" s="45">
        <f>COUNTIFS('Booking Responses'!F:F,"="&amp;A131,'Booking Responses'!E:E,"Medium*")</f>
        <v>0</v>
      </c>
      <c r="T131" s="45">
        <f>COUNTIFS('Booking Responses'!F:F,"="&amp;A131,'Booking Responses'!E:E,"Large*")</f>
        <v>1</v>
      </c>
      <c r="U131" s="42">
        <f t="shared" si="1"/>
        <v>3</v>
      </c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</row>
    <row r="132">
      <c r="A132" s="19">
        <v>335.0</v>
      </c>
      <c r="B132" s="21" t="s">
        <v>498</v>
      </c>
      <c r="C132" s="21"/>
      <c r="D132" s="19"/>
      <c r="E132" s="19"/>
      <c r="F132" s="19"/>
      <c r="G132" s="19"/>
      <c r="H132" s="19" t="s">
        <v>21</v>
      </c>
      <c r="I132" s="19"/>
      <c r="J132" s="19"/>
      <c r="K132" s="24"/>
      <c r="L132" s="24"/>
      <c r="M132" s="66"/>
      <c r="N132" s="66"/>
      <c r="O132" s="24"/>
      <c r="P132" s="35">
        <f t="array" ref="P132">MAX(IF($A132='Booking Responses'!F:F,'Booking Responses'!D:D))</f>
        <v>45106</v>
      </c>
      <c r="Q132" s="36" t="str">
        <f t="array" ref="Q132">INDEX('Booking Responses'!C:C,MATCH(1,('Booking Responses'!F:F=A132)*('Booking Responses'!D:D=P132),0))</f>
        <v>MIF</v>
      </c>
      <c r="R132" s="36">
        <f>COUNTIFS('Booking Responses'!F:F,"="&amp;A132,'Booking Responses'!E:E,"Small*")</f>
        <v>0</v>
      </c>
      <c r="S132" s="36">
        <f>COUNTIFS('Booking Responses'!F:F,"="&amp;A132,'Booking Responses'!E:E,"Medium*")</f>
        <v>1</v>
      </c>
      <c r="T132" s="36">
        <f>COUNTIFS('Booking Responses'!F:F,"="&amp;A132,'Booking Responses'!E:E,"Large*")</f>
        <v>1</v>
      </c>
      <c r="U132" s="37">
        <f t="shared" si="1"/>
        <v>5</v>
      </c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</row>
    <row r="133">
      <c r="A133" s="38">
        <v>336.0</v>
      </c>
      <c r="B133" s="39" t="s">
        <v>499</v>
      </c>
      <c r="C133" s="39"/>
      <c r="D133" s="38"/>
      <c r="E133" s="38"/>
      <c r="F133" s="38"/>
      <c r="G133" s="38"/>
      <c r="H133" s="38" t="s">
        <v>32</v>
      </c>
      <c r="I133" s="38"/>
      <c r="J133" s="38"/>
      <c r="K133" s="43"/>
      <c r="L133" s="43"/>
      <c r="M133" s="61"/>
      <c r="N133" s="61"/>
      <c r="O133" s="43"/>
      <c r="P133" s="44">
        <f t="array" ref="P133">MAX(IF($A133='Booking Responses'!F:F,'Booking Responses'!D:D))</f>
        <v>45106</v>
      </c>
      <c r="Q133" s="45" t="str">
        <f t="array" ref="Q133">INDEX('Booking Responses'!C:C,MATCH(1,('Booking Responses'!F:F=A133)*('Booking Responses'!D:D=P133),0))</f>
        <v>MIF</v>
      </c>
      <c r="R133" s="45">
        <f>COUNTIFS('Booking Responses'!F:F,"="&amp;A133,'Booking Responses'!E:E,"Small*")</f>
        <v>0</v>
      </c>
      <c r="S133" s="45">
        <f>COUNTIFS('Booking Responses'!F:F,"="&amp;A133,'Booking Responses'!E:E,"Medium*")</f>
        <v>4</v>
      </c>
      <c r="T133" s="45">
        <f>COUNTIFS('Booking Responses'!F:F,"="&amp;A133,'Booking Responses'!E:E,"Large*")</f>
        <v>1</v>
      </c>
      <c r="U133" s="42">
        <f t="shared" si="1"/>
        <v>11</v>
      </c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</row>
    <row r="134">
      <c r="A134" s="19">
        <v>337.0</v>
      </c>
      <c r="B134" s="21" t="s">
        <v>500</v>
      </c>
      <c r="C134" s="21"/>
      <c r="D134" s="19"/>
      <c r="E134" s="19"/>
      <c r="F134" s="19"/>
      <c r="G134" s="19"/>
      <c r="H134" s="19" t="s">
        <v>21</v>
      </c>
      <c r="I134" s="19" t="s">
        <v>501</v>
      </c>
      <c r="J134" s="19" t="s">
        <v>502</v>
      </c>
      <c r="K134" s="24"/>
      <c r="L134" s="24"/>
      <c r="M134" s="66"/>
      <c r="N134" s="66"/>
      <c r="O134" s="24"/>
      <c r="P134" s="35">
        <f t="array" ref="P134">MAX(IF($A134='Booking Responses'!F:F,'Booking Responses'!D:D))</f>
        <v>45142</v>
      </c>
      <c r="Q134" s="36" t="str">
        <f t="array" ref="Q134">INDEX('Booking Responses'!C:C,MATCH(1,('Booking Responses'!F:F=A134)*('Booking Responses'!D:D=P134),0))</f>
        <v>Phonox Residency August 2023</v>
      </c>
      <c r="R134" s="36">
        <f>COUNTIFS('Booking Responses'!F:F,"="&amp;A134,'Booking Responses'!E:E,"Small*")</f>
        <v>0</v>
      </c>
      <c r="S134" s="36">
        <f>COUNTIFS('Booking Responses'!F:F,"="&amp;A134,'Booking Responses'!E:E,"Medium*")</f>
        <v>2</v>
      </c>
      <c r="T134" s="36">
        <f>COUNTIFS('Booking Responses'!F:F,"="&amp;A134,'Booking Responses'!E:E,"Large*")</f>
        <v>0</v>
      </c>
      <c r="U134" s="37">
        <f t="shared" si="1"/>
        <v>4</v>
      </c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</row>
    <row r="135">
      <c r="A135" s="38">
        <v>338.0</v>
      </c>
      <c r="B135" s="39" t="s">
        <v>503</v>
      </c>
      <c r="C135" s="39"/>
      <c r="D135" s="38"/>
      <c r="E135" s="38"/>
      <c r="F135" s="38"/>
      <c r="G135" s="38"/>
      <c r="H135" s="38" t="s">
        <v>21</v>
      </c>
      <c r="I135" s="38"/>
      <c r="J135" s="38"/>
      <c r="K135" s="43"/>
      <c r="L135" s="43"/>
      <c r="M135" s="61"/>
      <c r="N135" s="61"/>
      <c r="O135" s="43"/>
      <c r="P135" s="44">
        <f t="array" ref="P135">MAX(IF($A135='Booking Responses'!F:F,'Booking Responses'!D:D))</f>
        <v>44744</v>
      </c>
      <c r="Q135" s="45" t="str">
        <f t="array" ref="Q135">INDEX('Booking Responses'!C:C,MATCH(1,('Booking Responses'!F:F=A135)*('Booking Responses'!D:D=P135),0))</f>
        <v>Daytimers x Middle Of Nowhere</v>
      </c>
      <c r="R135" s="45">
        <f>COUNTIFS('Booking Responses'!F:F,"="&amp;A135,'Booking Responses'!E:E,"Small*")</f>
        <v>0</v>
      </c>
      <c r="S135" s="45">
        <f>COUNTIFS('Booking Responses'!F:F,"="&amp;A135,'Booking Responses'!E:E,"Medium*")</f>
        <v>0</v>
      </c>
      <c r="T135" s="45">
        <f>COUNTIFS('Booking Responses'!F:F,"="&amp;A135,'Booking Responses'!E:E,"Large*")</f>
        <v>1</v>
      </c>
      <c r="U135" s="42">
        <f t="shared" si="1"/>
        <v>3</v>
      </c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</row>
    <row r="136">
      <c r="A136" s="19">
        <v>339.0</v>
      </c>
      <c r="B136" s="21" t="s">
        <v>504</v>
      </c>
      <c r="C136" s="21"/>
      <c r="D136" s="19"/>
      <c r="E136" s="19"/>
      <c r="F136" s="19"/>
      <c r="G136" s="19"/>
      <c r="H136" s="19" t="s">
        <v>21</v>
      </c>
      <c r="I136" s="19"/>
      <c r="J136" s="19"/>
      <c r="K136" s="24"/>
      <c r="L136" s="24"/>
      <c r="M136" s="66"/>
      <c r="N136" s="66"/>
      <c r="O136" s="24"/>
      <c r="P136" s="35">
        <f t="array" ref="P136">MAX(IF($A136='Booking Responses'!F:F,'Booking Responses'!D:D))</f>
        <v>44528</v>
      </c>
      <c r="Q136" s="36" t="str">
        <f t="array" ref="Q136">INDEX('Booking Responses'!C:C,MATCH(1,('Booking Responses'!F:F=A136)*('Booking Responses'!D:D=P136),0))</f>
        <v>Jikoni: Samosa Sisterhood</v>
      </c>
      <c r="R136" s="36">
        <f>COUNTIFS('Booking Responses'!F:F,"="&amp;A136,'Booking Responses'!E:E,"Small*")</f>
        <v>0</v>
      </c>
      <c r="S136" s="36">
        <f>COUNTIFS('Booking Responses'!F:F,"="&amp;A136,'Booking Responses'!E:E,"Medium*")</f>
        <v>3</v>
      </c>
      <c r="T136" s="36">
        <f>COUNTIFS('Booking Responses'!F:F,"="&amp;A136,'Booking Responses'!E:E,"Large*")</f>
        <v>1</v>
      </c>
      <c r="U136" s="37">
        <f t="shared" si="1"/>
        <v>9</v>
      </c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</row>
    <row r="137">
      <c r="A137" s="38">
        <v>340.0</v>
      </c>
      <c r="B137" s="39" t="s">
        <v>505</v>
      </c>
      <c r="C137" s="39"/>
      <c r="D137" s="38"/>
      <c r="E137" s="38"/>
      <c r="F137" s="38"/>
      <c r="G137" s="38"/>
      <c r="H137" s="38" t="s">
        <v>21</v>
      </c>
      <c r="I137" s="38"/>
      <c r="J137" s="38"/>
      <c r="K137" s="43"/>
      <c r="L137" s="43"/>
      <c r="M137" s="61"/>
      <c r="N137" s="61"/>
      <c r="O137" s="43"/>
      <c r="P137" s="44">
        <f t="array" ref="P137">MAX(IF($A137='Booking Responses'!F:F,'Booking Responses'!D:D))</f>
        <v>0</v>
      </c>
      <c r="Q137" s="45" t="str">
        <f t="array" ref="Q137">INDEX('Booking Responses'!C:C,MATCH(1,('Booking Responses'!F:F=A137)*('Booking Responses'!D:D=P137),0))</f>
        <v>#N/A</v>
      </c>
      <c r="R137" s="45">
        <f>COUNTIFS('Booking Responses'!F:F,"="&amp;A137,'Booking Responses'!E:E,"Small*")</f>
        <v>0</v>
      </c>
      <c r="S137" s="45">
        <f>COUNTIFS('Booking Responses'!F:F,"="&amp;A137,'Booking Responses'!E:E,"Medium*")</f>
        <v>0</v>
      </c>
      <c r="T137" s="45">
        <f>COUNTIFS('Booking Responses'!F:F,"="&amp;A137,'Booking Responses'!E:E,"Large*")</f>
        <v>0</v>
      </c>
      <c r="U137" s="42">
        <f t="shared" si="1"/>
        <v>0</v>
      </c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</row>
    <row r="138">
      <c r="A138" s="19">
        <v>341.0</v>
      </c>
      <c r="B138" s="21" t="s">
        <v>506</v>
      </c>
      <c r="C138" s="21"/>
      <c r="D138" s="19"/>
      <c r="E138" s="19"/>
      <c r="F138" s="19"/>
      <c r="G138" s="19"/>
      <c r="H138" s="19" t="s">
        <v>21</v>
      </c>
      <c r="I138" s="19"/>
      <c r="J138" s="19"/>
      <c r="K138" s="24"/>
      <c r="L138" s="24"/>
      <c r="M138" s="66"/>
      <c r="N138" s="66"/>
      <c r="O138" s="24"/>
      <c r="P138" s="35">
        <f t="array" ref="P138">MAX(IF($A138='Booking Responses'!F:F,'Booking Responses'!D:D))</f>
        <v>45262</v>
      </c>
      <c r="Q138" s="36" t="str">
        <f t="array" ref="Q138">INDEX('Booking Responses'!C:C,MATCH(1,('Booking Responses'!F:F=A138)*('Booking Responses'!D:D=P138),0))</f>
        <v>Earth Hackney Dec 2023</v>
      </c>
      <c r="R138" s="36">
        <f>COUNTIFS('Booking Responses'!F:F,"="&amp;A138,'Booking Responses'!E:E,"Small*")</f>
        <v>0</v>
      </c>
      <c r="S138" s="36">
        <f>COUNTIFS('Booking Responses'!F:F,"="&amp;A138,'Booking Responses'!E:E,"Medium*")</f>
        <v>3</v>
      </c>
      <c r="T138" s="36">
        <f>COUNTIFS('Booking Responses'!F:F,"="&amp;A138,'Booking Responses'!E:E,"Large*")</f>
        <v>0</v>
      </c>
      <c r="U138" s="37">
        <f t="shared" si="1"/>
        <v>6</v>
      </c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</row>
    <row r="139">
      <c r="A139" s="38">
        <v>342.0</v>
      </c>
      <c r="B139" s="39" t="s">
        <v>507</v>
      </c>
      <c r="C139" s="39" t="s">
        <v>507</v>
      </c>
      <c r="D139" s="38"/>
      <c r="E139" s="38"/>
      <c r="F139" s="38"/>
      <c r="G139" s="38"/>
      <c r="H139" s="38" t="s">
        <v>415</v>
      </c>
      <c r="I139" s="38"/>
      <c r="J139" s="38"/>
      <c r="K139" s="43"/>
      <c r="L139" s="43"/>
      <c r="M139" s="61"/>
      <c r="N139" s="61"/>
      <c r="O139" s="43"/>
      <c r="P139" s="44">
        <f t="array" ref="P139">MAX(IF($A139='Booking Responses'!F:F,'Booking Responses'!D:D))</f>
        <v>44651</v>
      </c>
      <c r="Q139" s="45" t="str">
        <f t="array" ref="Q139">INDEX('Booking Responses'!C:C,MATCH(1,('Booking Responses'!F:F=A139)*('Booking Responses'!D:D=P139),0))</f>
        <v>Mehfil 001</v>
      </c>
      <c r="R139" s="45">
        <f>COUNTIFS('Booking Responses'!F:F,"="&amp;A139,'Booking Responses'!E:E,"Small*")</f>
        <v>0</v>
      </c>
      <c r="S139" s="45">
        <f>COUNTIFS('Booking Responses'!F:F,"="&amp;A139,'Booking Responses'!E:E,"Medium*")</f>
        <v>1</v>
      </c>
      <c r="T139" s="45">
        <f>COUNTIFS('Booking Responses'!F:F,"="&amp;A139,'Booking Responses'!E:E,"Large*")</f>
        <v>0</v>
      </c>
      <c r="U139" s="42">
        <f t="shared" si="1"/>
        <v>2</v>
      </c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</row>
    <row r="140">
      <c r="A140" s="19">
        <v>343.0</v>
      </c>
      <c r="B140" s="21" t="s">
        <v>508</v>
      </c>
      <c r="C140" s="21" t="s">
        <v>508</v>
      </c>
      <c r="D140" s="19"/>
      <c r="E140" s="19"/>
      <c r="F140" s="19"/>
      <c r="G140" s="19"/>
      <c r="H140" s="19" t="s">
        <v>415</v>
      </c>
      <c r="I140" s="19"/>
      <c r="J140" s="19"/>
      <c r="K140" s="24"/>
      <c r="L140" s="24"/>
      <c r="M140" s="66"/>
      <c r="N140" s="66"/>
      <c r="O140" s="24"/>
      <c r="P140" s="35">
        <f t="array" ref="P140">MAX(IF($A140='Booking Responses'!F:F,'Booking Responses'!D:D))</f>
        <v>44651</v>
      </c>
      <c r="Q140" s="36" t="str">
        <f t="array" ref="Q140">INDEX('Booking Responses'!C:C,MATCH(1,('Booking Responses'!F:F=A140)*('Booking Responses'!D:D=P140),0))</f>
        <v>Mehfil 001</v>
      </c>
      <c r="R140" s="36">
        <f>COUNTIFS('Booking Responses'!F:F,"="&amp;A140,'Booking Responses'!E:E,"Small*")</f>
        <v>0</v>
      </c>
      <c r="S140" s="36">
        <f>COUNTIFS('Booking Responses'!F:F,"="&amp;A140,'Booking Responses'!E:E,"Medium*")</f>
        <v>1</v>
      </c>
      <c r="T140" s="36">
        <f>COUNTIFS('Booking Responses'!F:F,"="&amp;A140,'Booking Responses'!E:E,"Large*")</f>
        <v>0</v>
      </c>
      <c r="U140" s="37">
        <f t="shared" si="1"/>
        <v>2</v>
      </c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</row>
    <row r="141">
      <c r="A141" s="38">
        <v>344.0</v>
      </c>
      <c r="B141" s="39" t="s">
        <v>509</v>
      </c>
      <c r="C141" s="39"/>
      <c r="D141" s="38"/>
      <c r="E141" s="38"/>
      <c r="F141" s="38"/>
      <c r="G141" s="38"/>
      <c r="H141" s="38" t="s">
        <v>21</v>
      </c>
      <c r="I141" s="38"/>
      <c r="J141" s="38"/>
      <c r="K141" s="43"/>
      <c r="L141" s="43"/>
      <c r="M141" s="61"/>
      <c r="N141" s="61"/>
      <c r="O141" s="43"/>
      <c r="P141" s="44">
        <f t="array" ref="P141">MAX(IF($A141='Booking Responses'!F:F,'Booking Responses'!D:D))</f>
        <v>44972</v>
      </c>
      <c r="Q141" s="45" t="str">
        <f t="array" ref="Q141">INDEX('Booking Responses'!C:C,MATCH(1,('Booking Responses'!F:F=A141)*('Booking Responses'!D:D=P141),0))</f>
        <v>HOR</v>
      </c>
      <c r="R141" s="45">
        <f>COUNTIFS('Booking Responses'!F:F,"="&amp;A141,'Booking Responses'!E:E,"Small*")</f>
        <v>1</v>
      </c>
      <c r="S141" s="45">
        <f>COUNTIFS('Booking Responses'!F:F,"="&amp;A141,'Booking Responses'!E:E,"Medium*")</f>
        <v>0</v>
      </c>
      <c r="T141" s="45">
        <f>COUNTIFS('Booking Responses'!F:F,"="&amp;A141,'Booking Responses'!E:E,"Large*")</f>
        <v>2</v>
      </c>
      <c r="U141" s="42">
        <f t="shared" si="1"/>
        <v>7</v>
      </c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</row>
    <row r="142">
      <c r="A142" s="19">
        <v>345.0</v>
      </c>
      <c r="B142" s="21" t="s">
        <v>510</v>
      </c>
      <c r="C142" s="21"/>
      <c r="D142" s="19"/>
      <c r="E142" s="19"/>
      <c r="F142" s="19" t="s">
        <v>14</v>
      </c>
      <c r="G142" s="19"/>
      <c r="H142" s="19" t="s">
        <v>415</v>
      </c>
      <c r="I142" s="19"/>
      <c r="J142" s="19" t="s">
        <v>511</v>
      </c>
      <c r="K142" s="24"/>
      <c r="L142" s="24"/>
      <c r="M142" s="66"/>
      <c r="N142" s="66"/>
      <c r="O142" s="24"/>
      <c r="P142" s="35">
        <f t="array" ref="P142">MAX(IF($A142='Booking Responses'!F:F,'Booking Responses'!D:D))</f>
        <v>44944</v>
      </c>
      <c r="Q142" s="36" t="str">
        <f t="array" ref="Q142">INDEX('Booking Responses'!C:C,MATCH(1,('Booking Responses'!F:F=A142)*('Booking Responses'!D:D=P142),0))</f>
        <v>Live at the Jazz Cafe</v>
      </c>
      <c r="R142" s="36">
        <f>COUNTIFS('Booking Responses'!F:F,"="&amp;A142,'Booking Responses'!E:E,"Small*")</f>
        <v>0</v>
      </c>
      <c r="S142" s="36">
        <f>COUNTIFS('Booking Responses'!F:F,"="&amp;A142,'Booking Responses'!E:E,"Medium*")</f>
        <v>1</v>
      </c>
      <c r="T142" s="36">
        <f>COUNTIFS('Booking Responses'!F:F,"="&amp;A142,'Booking Responses'!E:E,"Large*")</f>
        <v>0</v>
      </c>
      <c r="U142" s="37">
        <f t="shared" si="1"/>
        <v>2</v>
      </c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</row>
    <row r="143">
      <c r="A143" s="38">
        <v>346.0</v>
      </c>
      <c r="B143" s="39" t="s">
        <v>512</v>
      </c>
      <c r="C143" s="39"/>
      <c r="D143" s="38"/>
      <c r="E143" s="38"/>
      <c r="F143" s="38" t="s">
        <v>14</v>
      </c>
      <c r="G143" s="38"/>
      <c r="H143" s="38" t="s">
        <v>415</v>
      </c>
      <c r="I143" s="38"/>
      <c r="J143" s="38" t="s">
        <v>511</v>
      </c>
      <c r="K143" s="43"/>
      <c r="L143" s="43"/>
      <c r="M143" s="61"/>
      <c r="N143" s="61"/>
      <c r="O143" s="43"/>
      <c r="P143" s="44">
        <f t="array" ref="P143">MAX(IF($A143='Booking Responses'!F:F,'Booking Responses'!D:D))</f>
        <v>44944</v>
      </c>
      <c r="Q143" s="45" t="str">
        <f t="array" ref="Q143">INDEX('Booking Responses'!C:C,MATCH(1,('Booking Responses'!F:F=A143)*('Booking Responses'!D:D=P143),0))</f>
        <v>Live at the Jazz Cafe</v>
      </c>
      <c r="R143" s="45">
        <f>COUNTIFS('Booking Responses'!F:F,"="&amp;A143,'Booking Responses'!E:E,"Small*")</f>
        <v>0</v>
      </c>
      <c r="S143" s="45">
        <f>COUNTIFS('Booking Responses'!F:F,"="&amp;A143,'Booking Responses'!E:E,"Medium*")</f>
        <v>1</v>
      </c>
      <c r="T143" s="45">
        <f>COUNTIFS('Booking Responses'!F:F,"="&amp;A143,'Booking Responses'!E:E,"Large*")</f>
        <v>0</v>
      </c>
      <c r="U143" s="42">
        <f t="shared" si="1"/>
        <v>2</v>
      </c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</row>
    <row r="144">
      <c r="A144" s="19">
        <v>347.0</v>
      </c>
      <c r="B144" s="21" t="s">
        <v>513</v>
      </c>
      <c r="C144" s="21"/>
      <c r="D144" s="19"/>
      <c r="E144" s="19"/>
      <c r="F144" s="19" t="s">
        <v>14</v>
      </c>
      <c r="G144" s="19"/>
      <c r="H144" s="19" t="s">
        <v>21</v>
      </c>
      <c r="I144" s="19"/>
      <c r="J144" s="19" t="s">
        <v>511</v>
      </c>
      <c r="K144" s="24"/>
      <c r="L144" s="24"/>
      <c r="M144" s="66"/>
      <c r="N144" s="66"/>
      <c r="O144" s="24"/>
      <c r="P144" s="35">
        <f t="array" ref="P144">MAX(IF($A144='Booking Responses'!F:F,'Booking Responses'!D:D))</f>
        <v>44944</v>
      </c>
      <c r="Q144" s="36" t="str">
        <f t="array" ref="Q144">INDEX('Booking Responses'!C:C,MATCH(1,('Booking Responses'!F:F=A144)*('Booking Responses'!D:D=P144),0))</f>
        <v>Live at the Jazz Cafe</v>
      </c>
      <c r="R144" s="36">
        <f>COUNTIFS('Booking Responses'!F:F,"="&amp;A144,'Booking Responses'!E:E,"Small*")</f>
        <v>1</v>
      </c>
      <c r="S144" s="36">
        <f>COUNTIFS('Booking Responses'!F:F,"="&amp;A144,'Booking Responses'!E:E,"Medium*")</f>
        <v>0</v>
      </c>
      <c r="T144" s="36">
        <f>COUNTIFS('Booking Responses'!F:F,"="&amp;A144,'Booking Responses'!E:E,"Large*")</f>
        <v>0</v>
      </c>
      <c r="U144" s="37">
        <f t="shared" si="1"/>
        <v>1</v>
      </c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</row>
    <row r="145">
      <c r="A145" s="38">
        <v>349.0</v>
      </c>
      <c r="B145" s="39" t="s">
        <v>514</v>
      </c>
      <c r="C145" s="39"/>
      <c r="D145" s="38"/>
      <c r="E145" s="38"/>
      <c r="F145" s="38" t="s">
        <v>14</v>
      </c>
      <c r="G145" s="38"/>
      <c r="H145" s="38" t="s">
        <v>32</v>
      </c>
      <c r="I145" s="38"/>
      <c r="J145" s="38" t="s">
        <v>511</v>
      </c>
      <c r="K145" s="43"/>
      <c r="L145" s="43"/>
      <c r="M145" s="61"/>
      <c r="N145" s="61"/>
      <c r="O145" s="43"/>
      <c r="P145" s="44">
        <f t="array" ref="P145">MAX(IF($A145='Booking Responses'!F:F,'Booking Responses'!D:D))</f>
        <v>44944</v>
      </c>
      <c r="Q145" s="45" t="str">
        <f t="array" ref="Q145">INDEX('Booking Responses'!C:C,MATCH(1,('Booking Responses'!F:F=A145)*('Booking Responses'!D:D=P145),0))</f>
        <v>Live at the Jazz Cafe</v>
      </c>
      <c r="R145" s="45">
        <f>COUNTIFS('Booking Responses'!F:F,"="&amp;A145,'Booking Responses'!E:E,"Small*")</f>
        <v>1</v>
      </c>
      <c r="S145" s="45">
        <f>COUNTIFS('Booking Responses'!F:F,"="&amp;A145,'Booking Responses'!E:E,"Medium*")</f>
        <v>0</v>
      </c>
      <c r="T145" s="45">
        <f>COUNTIFS('Booking Responses'!F:F,"="&amp;A145,'Booking Responses'!E:E,"Large*")</f>
        <v>0</v>
      </c>
      <c r="U145" s="42">
        <f t="shared" si="1"/>
        <v>1</v>
      </c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</row>
    <row r="146">
      <c r="A146" s="19">
        <v>350.0</v>
      </c>
      <c r="B146" s="21" t="s">
        <v>515</v>
      </c>
      <c r="C146" s="21"/>
      <c r="D146" s="19"/>
      <c r="E146" s="19"/>
      <c r="F146" s="19" t="s">
        <v>14</v>
      </c>
      <c r="G146" s="19"/>
      <c r="H146" s="19" t="s">
        <v>21</v>
      </c>
      <c r="I146" s="19"/>
      <c r="J146" s="19" t="s">
        <v>511</v>
      </c>
      <c r="K146" s="24"/>
      <c r="L146" s="24"/>
      <c r="M146" s="66"/>
      <c r="N146" s="66"/>
      <c r="O146" s="24"/>
      <c r="P146" s="35">
        <f t="array" ref="P146">MAX(IF($A146='Booking Responses'!F:F,'Booking Responses'!D:D))</f>
        <v>45120</v>
      </c>
      <c r="Q146" s="36" t="str">
        <f t="array" ref="Q146">INDEX('Booking Responses'!C:C,MATCH(1,('Booking Responses'!F:F=A146)*('Booking Responses'!D:D=P146),0))</f>
        <v>Dour Fest</v>
      </c>
      <c r="R146" s="36">
        <f>COUNTIFS('Booking Responses'!F:F,"="&amp;A146,'Booking Responses'!E:E,"Small*")</f>
        <v>0</v>
      </c>
      <c r="S146" s="36">
        <f>COUNTIFS('Booking Responses'!F:F,"="&amp;A146,'Booking Responses'!E:E,"Medium*")</f>
        <v>1</v>
      </c>
      <c r="T146" s="36">
        <f>COUNTIFS('Booking Responses'!F:F,"="&amp;A146,'Booking Responses'!E:E,"Large*")</f>
        <v>2</v>
      </c>
      <c r="U146" s="37">
        <f t="shared" si="1"/>
        <v>8</v>
      </c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</row>
    <row r="147">
      <c r="A147" s="38">
        <v>352.0</v>
      </c>
      <c r="B147" s="39" t="s">
        <v>516</v>
      </c>
      <c r="C147" s="39"/>
      <c r="D147" s="38"/>
      <c r="E147" s="38"/>
      <c r="F147" s="38" t="s">
        <v>517</v>
      </c>
      <c r="G147" s="38"/>
      <c r="H147" s="38" t="s">
        <v>21</v>
      </c>
      <c r="I147" s="38"/>
      <c r="J147" s="38" t="s">
        <v>511</v>
      </c>
      <c r="K147" s="43"/>
      <c r="L147" s="43"/>
      <c r="M147" s="61"/>
      <c r="N147" s="61"/>
      <c r="O147" s="43"/>
      <c r="P147" s="44">
        <f t="array" ref="P147">MAX(IF($A147='Booking Responses'!F:F,'Booking Responses'!D:D))</f>
        <v>45156</v>
      </c>
      <c r="Q147" s="45" t="str">
        <f t="array" ref="Q147">INDEX('Booking Responses'!C:C,MATCH(1,('Booking Responses'!F:F=A147)*('Booking Responses'!D:D=P147),0))</f>
        <v>Phonox Residency August 2023</v>
      </c>
      <c r="R147" s="45">
        <f>COUNTIFS('Booking Responses'!F:F,"="&amp;A147,'Booking Responses'!E:E,"Small*")</f>
        <v>0</v>
      </c>
      <c r="S147" s="45">
        <f>COUNTIFS('Booking Responses'!F:F,"="&amp;A147,'Booking Responses'!E:E,"Medium*")</f>
        <v>2</v>
      </c>
      <c r="T147" s="45">
        <f>COUNTIFS('Booking Responses'!F:F,"="&amp;A147,'Booking Responses'!E:E,"Large*")</f>
        <v>0</v>
      </c>
      <c r="U147" s="42">
        <f t="shared" si="1"/>
        <v>4</v>
      </c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</row>
    <row r="148">
      <c r="A148" s="19">
        <v>353.0</v>
      </c>
      <c r="B148" s="21" t="s">
        <v>518</v>
      </c>
      <c r="C148" s="21"/>
      <c r="D148" s="19"/>
      <c r="E148" s="19"/>
      <c r="F148" s="19" t="s">
        <v>517</v>
      </c>
      <c r="G148" s="19"/>
      <c r="H148" s="19" t="s">
        <v>21</v>
      </c>
      <c r="I148" s="19"/>
      <c r="J148" s="19" t="s">
        <v>511</v>
      </c>
      <c r="K148" s="24"/>
      <c r="L148" s="24"/>
      <c r="M148" s="66"/>
      <c r="N148" s="66"/>
      <c r="O148" s="24"/>
      <c r="P148" s="35">
        <f t="array" ref="P148">MAX(IF($A148='Booking Responses'!F:F,'Booking Responses'!D:D))</f>
        <v>44953</v>
      </c>
      <c r="Q148" s="36" t="str">
        <f t="array" ref="Q148">INDEX('Booking Responses'!C:C,MATCH(1,('Booking Responses'!F:F=A148)*('Booking Responses'!D:D=P148),0))</f>
        <v>Watch the Drop</v>
      </c>
      <c r="R148" s="36">
        <f>COUNTIFS('Booking Responses'!F:F,"="&amp;A148,'Booking Responses'!E:E,"Small*")</f>
        <v>0</v>
      </c>
      <c r="S148" s="36">
        <f>COUNTIFS('Booking Responses'!F:F,"="&amp;A148,'Booking Responses'!E:E,"Medium*")</f>
        <v>1</v>
      </c>
      <c r="T148" s="36">
        <f>COUNTIFS('Booking Responses'!F:F,"="&amp;A148,'Booking Responses'!E:E,"Large*")</f>
        <v>0</v>
      </c>
      <c r="U148" s="37">
        <f t="shared" si="1"/>
        <v>2</v>
      </c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</row>
    <row r="149">
      <c r="A149" s="38">
        <v>354.0</v>
      </c>
      <c r="B149" s="39" t="s">
        <v>519</v>
      </c>
      <c r="C149" s="39"/>
      <c r="D149" s="38"/>
      <c r="E149" s="38"/>
      <c r="F149" s="38" t="s">
        <v>14</v>
      </c>
      <c r="G149" s="38"/>
      <c r="H149" s="38" t="s">
        <v>21</v>
      </c>
      <c r="I149" s="38"/>
      <c r="J149" s="38" t="s">
        <v>511</v>
      </c>
      <c r="K149" s="43"/>
      <c r="L149" s="43"/>
      <c r="M149" s="61"/>
      <c r="N149" s="61"/>
      <c r="O149" s="43"/>
      <c r="P149" s="44">
        <f t="array" ref="P149">MAX(IF($A149='Booking Responses'!F:F,'Booking Responses'!D:D))</f>
        <v>45401</v>
      </c>
      <c r="Q149" s="45" t="str">
        <f t="array" ref="Q149">INDEX('Booking Responses'!C:C,MATCH(1,('Booking Responses'!F:F=A149)*('Booking Responses'!D:D=P149),0))</f>
        <v>Jazz Cafe</v>
      </c>
      <c r="R149" s="45">
        <f>COUNTIFS('Booking Responses'!F:F,"="&amp;A149,'Booking Responses'!E:E,"Small*")</f>
        <v>0</v>
      </c>
      <c r="S149" s="45">
        <f>COUNTIFS('Booking Responses'!F:F,"="&amp;A149,'Booking Responses'!E:E,"Medium*")</f>
        <v>2</v>
      </c>
      <c r="T149" s="45">
        <f>COUNTIFS('Booking Responses'!F:F,"="&amp;A149,'Booking Responses'!E:E,"Large*")</f>
        <v>0</v>
      </c>
      <c r="U149" s="42">
        <f t="shared" si="1"/>
        <v>4</v>
      </c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</row>
    <row r="150">
      <c r="A150" s="19">
        <v>355.0</v>
      </c>
      <c r="B150" s="21" t="s">
        <v>520</v>
      </c>
      <c r="C150" s="21"/>
      <c r="D150" s="19"/>
      <c r="E150" s="19"/>
      <c r="F150" s="19" t="s">
        <v>329</v>
      </c>
      <c r="G150" s="19"/>
      <c r="H150" s="19" t="s">
        <v>21</v>
      </c>
      <c r="I150" s="19"/>
      <c r="J150" s="19" t="s">
        <v>511</v>
      </c>
      <c r="K150" s="24"/>
      <c r="L150" s="24"/>
      <c r="M150" s="66"/>
      <c r="N150" s="66"/>
      <c r="O150" s="24"/>
      <c r="P150" s="35">
        <f t="array" ref="P150">MAX(IF($A150='Booking Responses'!F:F,'Booking Responses'!D:D))</f>
        <v>44961</v>
      </c>
      <c r="Q150" s="36" t="str">
        <f t="array" ref="Q150">INDEX('Booking Responses'!C:C,MATCH(1,('Booking Responses'!F:F=A150)*('Booking Responses'!D:D=P150),0))</f>
        <v>Peckham Audio</v>
      </c>
      <c r="R150" s="36">
        <f>COUNTIFS('Booking Responses'!F:F,"="&amp;A150,'Booking Responses'!E:E,"Small*")</f>
        <v>0</v>
      </c>
      <c r="S150" s="36">
        <f>COUNTIFS('Booking Responses'!F:F,"="&amp;A150,'Booking Responses'!E:E,"Medium*")</f>
        <v>1</v>
      </c>
      <c r="T150" s="36">
        <f>COUNTIFS('Booking Responses'!F:F,"="&amp;A150,'Booking Responses'!E:E,"Large*")</f>
        <v>0</v>
      </c>
      <c r="U150" s="37">
        <f t="shared" si="1"/>
        <v>2</v>
      </c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</row>
    <row r="151">
      <c r="A151" s="38">
        <v>356.0</v>
      </c>
      <c r="B151" s="39" t="s">
        <v>521</v>
      </c>
      <c r="C151" s="39"/>
      <c r="D151" s="38"/>
      <c r="E151" s="38"/>
      <c r="F151" s="38" t="s">
        <v>329</v>
      </c>
      <c r="G151" s="38"/>
      <c r="H151" s="38" t="s">
        <v>21</v>
      </c>
      <c r="I151" s="38"/>
      <c r="J151" s="38" t="s">
        <v>511</v>
      </c>
      <c r="K151" s="43"/>
      <c r="L151" s="43"/>
      <c r="M151" s="61"/>
      <c r="N151" s="61"/>
      <c r="O151" s="43"/>
      <c r="P151" s="44">
        <f t="array" ref="P151">MAX(IF($A151='Booking Responses'!F:F,'Booking Responses'!D:D))</f>
        <v>44961</v>
      </c>
      <c r="Q151" s="45" t="str">
        <f t="array" ref="Q151">INDEX('Booking Responses'!C:C,MATCH(1,('Booking Responses'!F:F=A151)*('Booking Responses'!D:D=P151),0))</f>
        <v>Peckham Audio</v>
      </c>
      <c r="R151" s="45">
        <f>COUNTIFS('Booking Responses'!F:F,"="&amp;A151,'Booking Responses'!E:E,"Small*")</f>
        <v>0</v>
      </c>
      <c r="S151" s="45">
        <f>COUNTIFS('Booking Responses'!F:F,"="&amp;A151,'Booking Responses'!E:E,"Medium*")</f>
        <v>1</v>
      </c>
      <c r="T151" s="45">
        <f>COUNTIFS('Booking Responses'!F:F,"="&amp;A151,'Booking Responses'!E:E,"Large*")</f>
        <v>0</v>
      </c>
      <c r="U151" s="42">
        <f t="shared" si="1"/>
        <v>2</v>
      </c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</row>
    <row r="152">
      <c r="A152" s="19">
        <v>357.0</v>
      </c>
      <c r="B152" s="21" t="s">
        <v>522</v>
      </c>
      <c r="C152" s="21"/>
      <c r="D152" s="19"/>
      <c r="E152" s="19"/>
      <c r="F152" s="19" t="s">
        <v>14</v>
      </c>
      <c r="G152" s="19"/>
      <c r="H152" s="19" t="s">
        <v>21</v>
      </c>
      <c r="I152" s="19"/>
      <c r="J152" s="19" t="s">
        <v>511</v>
      </c>
      <c r="K152" s="24"/>
      <c r="L152" s="24"/>
      <c r="M152" s="66"/>
      <c r="N152" s="66"/>
      <c r="O152" s="24"/>
      <c r="P152" s="35">
        <f t="array" ref="P152">MAX(IF($A152='Booking Responses'!F:F,'Booking Responses'!D:D))</f>
        <v>44961</v>
      </c>
      <c r="Q152" s="36" t="str">
        <f t="array" ref="Q152">INDEX('Booking Responses'!C:C,MATCH(1,('Booking Responses'!F:F=A152)*('Booking Responses'!D:D=P152),0))</f>
        <v>Peckham Audio</v>
      </c>
      <c r="R152" s="36">
        <f>COUNTIFS('Booking Responses'!F:F,"="&amp;A152,'Booking Responses'!E:E,"Small*")</f>
        <v>0</v>
      </c>
      <c r="S152" s="36">
        <f>COUNTIFS('Booking Responses'!F:F,"="&amp;A152,'Booking Responses'!E:E,"Medium*")</f>
        <v>1</v>
      </c>
      <c r="T152" s="36">
        <f>COUNTIFS('Booking Responses'!F:F,"="&amp;A152,'Booking Responses'!E:E,"Large*")</f>
        <v>0</v>
      </c>
      <c r="U152" s="37">
        <f t="shared" si="1"/>
        <v>2</v>
      </c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</row>
    <row r="153">
      <c r="A153" s="38">
        <v>358.0</v>
      </c>
      <c r="B153" s="39" t="s">
        <v>523</v>
      </c>
      <c r="C153" s="39"/>
      <c r="D153" s="38"/>
      <c r="E153" s="38"/>
      <c r="F153" s="38" t="s">
        <v>14</v>
      </c>
      <c r="G153" s="38"/>
      <c r="H153" s="38" t="s">
        <v>21</v>
      </c>
      <c r="I153" s="38"/>
      <c r="J153" s="38" t="s">
        <v>511</v>
      </c>
      <c r="K153" s="43"/>
      <c r="L153" s="43"/>
      <c r="M153" s="61"/>
      <c r="N153" s="61"/>
      <c r="O153" s="43"/>
      <c r="P153" s="44">
        <f t="array" ref="P153">MAX(IF($A153='Booking Responses'!F:F,'Booking Responses'!D:D))</f>
        <v>45325</v>
      </c>
      <c r="Q153" s="45" t="str">
        <f t="array" ref="Q153">INDEX('Booking Responses'!C:C,MATCH(1,('Booking Responses'!F:F=A153)*('Booking Responses'!D:D=P153),0))</f>
        <v>DT x NDR Versus </v>
      </c>
      <c r="R153" s="45">
        <f>COUNTIFS('Booking Responses'!F:F,"="&amp;A153,'Booking Responses'!E:E,"Small*")</f>
        <v>2</v>
      </c>
      <c r="S153" s="45">
        <f>COUNTIFS('Booking Responses'!F:F,"="&amp;A153,'Booking Responses'!E:E,"Medium*")</f>
        <v>0</v>
      </c>
      <c r="T153" s="45">
        <f>COUNTIFS('Booking Responses'!F:F,"="&amp;A153,'Booking Responses'!E:E,"Large*")</f>
        <v>0</v>
      </c>
      <c r="U153" s="42">
        <f t="shared" si="1"/>
        <v>2</v>
      </c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</row>
    <row r="154">
      <c r="A154" s="19">
        <v>359.0</v>
      </c>
      <c r="B154" s="21" t="s">
        <v>524</v>
      </c>
      <c r="C154" s="21"/>
      <c r="D154" s="19"/>
      <c r="E154" s="19"/>
      <c r="F154" s="19" t="s">
        <v>14</v>
      </c>
      <c r="G154" s="19"/>
      <c r="H154" s="19" t="s">
        <v>21</v>
      </c>
      <c r="I154" s="19"/>
      <c r="J154" s="19" t="s">
        <v>511</v>
      </c>
      <c r="K154" s="24"/>
      <c r="L154" s="24"/>
      <c r="M154" s="66"/>
      <c r="N154" s="66"/>
      <c r="O154" s="24"/>
      <c r="P154" s="35">
        <f t="array" ref="P154">MAX(IF($A154='Booking Responses'!F:F,'Booking Responses'!D:D))</f>
        <v>45072</v>
      </c>
      <c r="Q154" s="36" t="str">
        <f t="array" ref="Q154">INDEX('Booking Responses'!C:C,MATCH(1,('Booking Responses'!F:F=A154)*('Booking Responses'!D:D=P154),0))</f>
        <v>Jazz Cafe</v>
      </c>
      <c r="R154" s="36">
        <f>COUNTIFS('Booking Responses'!F:F,"="&amp;A154,'Booking Responses'!E:E,"Small*")</f>
        <v>0</v>
      </c>
      <c r="S154" s="36">
        <f>COUNTIFS('Booking Responses'!F:F,"="&amp;A154,'Booking Responses'!E:E,"Medium*")</f>
        <v>1</v>
      </c>
      <c r="T154" s="36">
        <f>COUNTIFS('Booking Responses'!F:F,"="&amp;A154,'Booking Responses'!E:E,"Large*")</f>
        <v>0</v>
      </c>
      <c r="U154" s="37">
        <f t="shared" si="1"/>
        <v>2</v>
      </c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</row>
    <row r="155">
      <c r="A155" s="38">
        <v>360.0</v>
      </c>
      <c r="B155" s="39" t="s">
        <v>525</v>
      </c>
      <c r="C155" s="39"/>
      <c r="D155" s="38"/>
      <c r="E155" s="38"/>
      <c r="F155" s="38" t="s">
        <v>14</v>
      </c>
      <c r="G155" s="38"/>
      <c r="H155" s="38" t="s">
        <v>21</v>
      </c>
      <c r="I155" s="38"/>
      <c r="J155" s="38" t="s">
        <v>511</v>
      </c>
      <c r="K155" s="43"/>
      <c r="L155" s="43"/>
      <c r="M155" s="61"/>
      <c r="N155" s="61"/>
      <c r="O155" s="43"/>
      <c r="P155" s="44">
        <f t="array" ref="P155">MAX(IF($A155='Booking Responses'!F:F,'Booking Responses'!D:D))</f>
        <v>45072</v>
      </c>
      <c r="Q155" s="45" t="str">
        <f t="array" ref="Q155">INDEX('Booking Responses'!C:C,MATCH(1,('Booking Responses'!F:F=A155)*('Booking Responses'!D:D=P155),0))</f>
        <v>Jazz Cafe</v>
      </c>
      <c r="R155" s="45">
        <f>COUNTIFS('Booking Responses'!F:F,"="&amp;A155,'Booking Responses'!E:E,"Small*")</f>
        <v>0</v>
      </c>
      <c r="S155" s="45">
        <f>COUNTIFS('Booking Responses'!F:F,"="&amp;A155,'Booking Responses'!E:E,"Medium*")</f>
        <v>1</v>
      </c>
      <c r="T155" s="45">
        <f>COUNTIFS('Booking Responses'!F:F,"="&amp;A155,'Booking Responses'!E:E,"Large*")</f>
        <v>0</v>
      </c>
      <c r="U155" s="42">
        <f t="shared" si="1"/>
        <v>2</v>
      </c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</row>
    <row r="156">
      <c r="A156" s="19">
        <v>361.0</v>
      </c>
      <c r="B156" s="21" t="s">
        <v>526</v>
      </c>
      <c r="C156" s="21"/>
      <c r="D156" s="19"/>
      <c r="E156" s="19"/>
      <c r="F156" s="19" t="s">
        <v>14</v>
      </c>
      <c r="G156" s="19"/>
      <c r="H156" s="19" t="s">
        <v>21</v>
      </c>
      <c r="I156" s="19"/>
      <c r="J156" s="19" t="s">
        <v>511</v>
      </c>
      <c r="K156" s="24"/>
      <c r="L156" s="24"/>
      <c r="M156" s="66"/>
      <c r="N156" s="66"/>
      <c r="O156" s="24"/>
      <c r="P156" s="35">
        <f t="array" ref="P156">MAX(IF($A156='Booking Responses'!F:F,'Booking Responses'!D:D))</f>
        <v>45044</v>
      </c>
      <c r="Q156" s="36" t="str">
        <f t="array" ref="Q156">INDEX('Booking Responses'!C:C,MATCH(1,('Booking Responses'!F:F=A156)*('Booking Responses'!D:D=P156),0))</f>
        <v>The Cause Free Party</v>
      </c>
      <c r="R156" s="36">
        <f>COUNTIFS('Booking Responses'!F:F,"="&amp;A156,'Booking Responses'!E:E,"Small*")</f>
        <v>0</v>
      </c>
      <c r="S156" s="36">
        <f>COUNTIFS('Booking Responses'!F:F,"="&amp;A156,'Booking Responses'!E:E,"Medium*")</f>
        <v>1</v>
      </c>
      <c r="T156" s="36">
        <f>COUNTIFS('Booking Responses'!F:F,"="&amp;A156,'Booking Responses'!E:E,"Large*")</f>
        <v>0</v>
      </c>
      <c r="U156" s="37">
        <f t="shared" si="1"/>
        <v>2</v>
      </c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</row>
    <row r="157">
      <c r="A157" s="38">
        <v>362.0</v>
      </c>
      <c r="B157" s="39" t="s">
        <v>527</v>
      </c>
      <c r="C157" s="39"/>
      <c r="D157" s="38"/>
      <c r="E157" s="38"/>
      <c r="F157" s="38" t="s">
        <v>14</v>
      </c>
      <c r="G157" s="38"/>
      <c r="H157" s="38" t="s">
        <v>21</v>
      </c>
      <c r="I157" s="38"/>
      <c r="J157" s="38" t="s">
        <v>511</v>
      </c>
      <c r="K157" s="43"/>
      <c r="L157" s="43"/>
      <c r="M157" s="61"/>
      <c r="N157" s="61"/>
      <c r="O157" s="43"/>
      <c r="P157" s="44">
        <f t="array" ref="P157">MAX(IF($A157='Booking Responses'!F:F,'Booking Responses'!D:D))</f>
        <v>45044</v>
      </c>
      <c r="Q157" s="45" t="str">
        <f t="array" ref="Q157">INDEX('Booking Responses'!C:C,MATCH(1,('Booking Responses'!F:F=A157)*('Booking Responses'!D:D=P157),0))</f>
        <v>The Cause Free Party</v>
      </c>
      <c r="R157" s="45">
        <f>COUNTIFS('Booking Responses'!F:F,"="&amp;A157,'Booking Responses'!E:E,"Small*")</f>
        <v>0</v>
      </c>
      <c r="S157" s="45">
        <f>COUNTIFS('Booking Responses'!F:F,"="&amp;A157,'Booking Responses'!E:E,"Medium*")</f>
        <v>1</v>
      </c>
      <c r="T157" s="45">
        <f>COUNTIFS('Booking Responses'!F:F,"="&amp;A157,'Booking Responses'!E:E,"Large*")</f>
        <v>0</v>
      </c>
      <c r="U157" s="42">
        <f t="shared" si="1"/>
        <v>2</v>
      </c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</row>
    <row r="158">
      <c r="A158" s="19">
        <v>363.0</v>
      </c>
      <c r="B158" s="21" t="s">
        <v>528</v>
      </c>
      <c r="C158" s="21"/>
      <c r="D158" s="19"/>
      <c r="E158" s="19"/>
      <c r="F158" s="19" t="s">
        <v>122</v>
      </c>
      <c r="G158" s="19"/>
      <c r="H158" s="19" t="s">
        <v>21</v>
      </c>
      <c r="I158" s="19"/>
      <c r="J158" s="19" t="s">
        <v>511</v>
      </c>
      <c r="K158" s="24"/>
      <c r="L158" s="24"/>
      <c r="M158" s="66"/>
      <c r="N158" s="66"/>
      <c r="O158" s="24"/>
      <c r="P158" s="35">
        <f t="array" ref="P158">MAX(IF($A158='Booking Responses'!F:F,'Booking Responses'!D:D))</f>
        <v>45142</v>
      </c>
      <c r="Q158" s="36" t="str">
        <f t="array" ref="Q158">INDEX('Booking Responses'!C:C,MATCH(1,('Booking Responses'!F:F=A158)*('Booking Responses'!D:D=P158),0))</f>
        <v>Phonox Residency August 2023</v>
      </c>
      <c r="R158" s="36">
        <f>COUNTIFS('Booking Responses'!F:F,"="&amp;A158,'Booking Responses'!E:E,"Small*")</f>
        <v>0</v>
      </c>
      <c r="S158" s="36">
        <f>COUNTIFS('Booking Responses'!F:F,"="&amp;A158,'Booking Responses'!E:E,"Medium*")</f>
        <v>1</v>
      </c>
      <c r="T158" s="36">
        <f>COUNTIFS('Booking Responses'!F:F,"="&amp;A158,'Booking Responses'!E:E,"Large*")</f>
        <v>1</v>
      </c>
      <c r="U158" s="37">
        <f t="shared" si="1"/>
        <v>5</v>
      </c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</row>
    <row r="159">
      <c r="A159" s="38">
        <v>364.0</v>
      </c>
      <c r="B159" s="39" t="s">
        <v>529</v>
      </c>
      <c r="C159" s="39"/>
      <c r="D159" s="38"/>
      <c r="E159" s="38"/>
      <c r="F159" s="38" t="s">
        <v>122</v>
      </c>
      <c r="G159" s="38"/>
      <c r="H159" s="38" t="s">
        <v>21</v>
      </c>
      <c r="I159" s="38"/>
      <c r="J159" s="38" t="s">
        <v>511</v>
      </c>
      <c r="K159" s="43"/>
      <c r="L159" s="43"/>
      <c r="M159" s="61"/>
      <c r="N159" s="61"/>
      <c r="O159" s="43"/>
      <c r="P159" s="44">
        <f t="array" ref="P159">MAX(IF($A159='Booking Responses'!F:F,'Booking Responses'!D:D))</f>
        <v>45106</v>
      </c>
      <c r="Q159" s="45" t="str">
        <f t="array" ref="Q159">INDEX('Booking Responses'!C:C,MATCH(1,('Booking Responses'!F:F=A159)*('Booking Responses'!D:D=P159),0))</f>
        <v>MIF</v>
      </c>
      <c r="R159" s="45">
        <f>COUNTIFS('Booking Responses'!F:F,"="&amp;A159,'Booking Responses'!E:E,"Small*")</f>
        <v>0</v>
      </c>
      <c r="S159" s="45">
        <f>COUNTIFS('Booking Responses'!F:F,"="&amp;A159,'Booking Responses'!E:E,"Medium*")</f>
        <v>0</v>
      </c>
      <c r="T159" s="45">
        <f>COUNTIFS('Booking Responses'!F:F,"="&amp;A159,'Booking Responses'!E:E,"Large*")</f>
        <v>1</v>
      </c>
      <c r="U159" s="42">
        <f t="shared" si="1"/>
        <v>3</v>
      </c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</row>
    <row r="160">
      <c r="A160" s="19">
        <v>365.0</v>
      </c>
      <c r="B160" s="21" t="s">
        <v>530</v>
      </c>
      <c r="C160" s="21"/>
      <c r="D160" s="19"/>
      <c r="E160" s="19"/>
      <c r="F160" s="19" t="s">
        <v>122</v>
      </c>
      <c r="G160" s="19"/>
      <c r="H160" s="19" t="s">
        <v>21</v>
      </c>
      <c r="I160" s="19"/>
      <c r="J160" s="19" t="s">
        <v>511</v>
      </c>
      <c r="K160" s="24"/>
      <c r="L160" s="24"/>
      <c r="M160" s="66"/>
      <c r="N160" s="66"/>
      <c r="O160" s="24"/>
      <c r="P160" s="35">
        <f t="array" ref="P160">MAX(IF($A160='Booking Responses'!F:F,'Booking Responses'!D:D))</f>
        <v>45106</v>
      </c>
      <c r="Q160" s="36" t="str">
        <f t="array" ref="Q160">INDEX('Booking Responses'!C:C,MATCH(1,('Booking Responses'!F:F=A160)*('Booking Responses'!D:D=P160),0))</f>
        <v>MIF</v>
      </c>
      <c r="R160" s="36">
        <f>COUNTIFS('Booking Responses'!F:F,"="&amp;A160,'Booking Responses'!E:E,"Small*")</f>
        <v>0</v>
      </c>
      <c r="S160" s="36">
        <f>COUNTIFS('Booking Responses'!F:F,"="&amp;A160,'Booking Responses'!E:E,"Medium*")</f>
        <v>0</v>
      </c>
      <c r="T160" s="36">
        <f>COUNTIFS('Booking Responses'!F:F,"="&amp;A160,'Booking Responses'!E:E,"Large*")</f>
        <v>1</v>
      </c>
      <c r="U160" s="37">
        <f t="shared" si="1"/>
        <v>3</v>
      </c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</row>
    <row r="161">
      <c r="A161" s="38">
        <v>366.0</v>
      </c>
      <c r="B161" s="39" t="s">
        <v>531</v>
      </c>
      <c r="C161" s="39"/>
      <c r="D161" s="38"/>
      <c r="E161" s="38"/>
      <c r="F161" s="38" t="s">
        <v>14</v>
      </c>
      <c r="G161" s="38"/>
      <c r="H161" s="38" t="s">
        <v>21</v>
      </c>
      <c r="I161" s="38"/>
      <c r="J161" s="38" t="s">
        <v>511</v>
      </c>
      <c r="K161" s="43"/>
      <c r="L161" s="43"/>
      <c r="M161" s="61"/>
      <c r="N161" s="61"/>
      <c r="O161" s="43"/>
      <c r="P161" s="44">
        <f t="array" ref="P161">MAX(IF($A161='Booking Responses'!F:F,'Booking Responses'!D:D))</f>
        <v>44763</v>
      </c>
      <c r="Q161" s="45" t="str">
        <f t="array" ref="Q161">INDEX('Booking Responses'!C:C,MATCH(1,('Booking Responses'!F:F=A161)*('Booking Responses'!D:D=P161),0))</f>
        <v>Secret Garden Party</v>
      </c>
      <c r="R161" s="45">
        <f>COUNTIFS('Booking Responses'!F:F,"="&amp;A161,'Booking Responses'!E:E,"Small*")</f>
        <v>0</v>
      </c>
      <c r="S161" s="45">
        <f>COUNTIFS('Booking Responses'!F:F,"="&amp;A161,'Booking Responses'!E:E,"Medium*")</f>
        <v>0</v>
      </c>
      <c r="T161" s="45">
        <f>COUNTIFS('Booking Responses'!F:F,"="&amp;A161,'Booking Responses'!E:E,"Large*")</f>
        <v>1</v>
      </c>
      <c r="U161" s="42">
        <f t="shared" si="1"/>
        <v>3</v>
      </c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</row>
    <row r="162">
      <c r="A162" s="19">
        <v>367.0</v>
      </c>
      <c r="B162" s="21" t="s">
        <v>532</v>
      </c>
      <c r="C162" s="21"/>
      <c r="D162" s="19"/>
      <c r="E162" s="19"/>
      <c r="F162" s="19" t="s">
        <v>14</v>
      </c>
      <c r="G162" s="19"/>
      <c r="H162" s="19" t="s">
        <v>21</v>
      </c>
      <c r="I162" s="19" t="s">
        <v>533</v>
      </c>
      <c r="J162" s="19"/>
      <c r="K162" s="24"/>
      <c r="L162" s="24"/>
      <c r="M162" s="66"/>
      <c r="N162" s="66"/>
      <c r="O162" s="24"/>
      <c r="P162" s="35">
        <f t="array" ref="P162">MAX(IF($A162='Booking Responses'!F:F,'Booking Responses'!D:D))</f>
        <v>45401</v>
      </c>
      <c r="Q162" s="36" t="str">
        <f t="array" ref="Q162">INDEX('Booking Responses'!C:C,MATCH(1,('Booking Responses'!F:F=A162)*('Booking Responses'!D:D=P162),0))</f>
        <v>Jazz Cafe</v>
      </c>
      <c r="R162" s="36">
        <f>COUNTIFS('Booking Responses'!F:F,"="&amp;A162,'Booking Responses'!E:E,"Small*")</f>
        <v>1</v>
      </c>
      <c r="S162" s="36">
        <f>COUNTIFS('Booking Responses'!F:F,"="&amp;A162,'Booking Responses'!E:E,"Medium*")</f>
        <v>1</v>
      </c>
      <c r="T162" s="36">
        <f>COUNTIFS('Booking Responses'!F:F,"="&amp;A162,'Booking Responses'!E:E,"Large*")</f>
        <v>0</v>
      </c>
      <c r="U162" s="37">
        <f t="shared" si="1"/>
        <v>3</v>
      </c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</row>
    <row r="163">
      <c r="A163" s="38">
        <v>368.0</v>
      </c>
      <c r="B163" s="39" t="s">
        <v>534</v>
      </c>
      <c r="C163" s="39"/>
      <c r="D163" s="38"/>
      <c r="E163" s="38"/>
      <c r="F163" s="38" t="s">
        <v>14</v>
      </c>
      <c r="G163" s="38"/>
      <c r="H163" s="38" t="s">
        <v>21</v>
      </c>
      <c r="I163" s="38"/>
      <c r="J163" s="38"/>
      <c r="K163" s="43"/>
      <c r="L163" s="43"/>
      <c r="M163" s="61"/>
      <c r="N163" s="61"/>
      <c r="O163" s="43"/>
      <c r="P163" s="44">
        <f t="array" ref="P163">MAX(IF($A163='Booking Responses'!F:F,'Booking Responses'!D:D))</f>
        <v>45149</v>
      </c>
      <c r="Q163" s="45" t="str">
        <f t="array" ref="Q163">INDEX('Booking Responses'!C:C,MATCH(1,('Booking Responses'!F:F=A163)*('Booking Responses'!D:D=P163),0))</f>
        <v>Dhaga Arts 2023</v>
      </c>
      <c r="R163" s="45">
        <f>COUNTIFS('Booking Responses'!F:F,"="&amp;A163,'Booking Responses'!E:E,"Small*")</f>
        <v>1</v>
      </c>
      <c r="S163" s="45">
        <f>COUNTIFS('Booking Responses'!F:F,"="&amp;A163,'Booking Responses'!E:E,"Medium*")</f>
        <v>1</v>
      </c>
      <c r="T163" s="45">
        <f>COUNTIFS('Booking Responses'!F:F,"="&amp;A163,'Booking Responses'!E:E,"Large*")</f>
        <v>1</v>
      </c>
      <c r="U163" s="42">
        <f t="shared" si="1"/>
        <v>6</v>
      </c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</row>
    <row r="164">
      <c r="A164" s="19">
        <v>369.0</v>
      </c>
      <c r="B164" s="21" t="s">
        <v>535</v>
      </c>
      <c r="C164" s="21"/>
      <c r="D164" s="19"/>
      <c r="E164" s="19"/>
      <c r="F164" s="19" t="s">
        <v>14</v>
      </c>
      <c r="G164" s="19"/>
      <c r="H164" s="19" t="s">
        <v>21</v>
      </c>
      <c r="I164" s="19"/>
      <c r="J164" s="19"/>
      <c r="K164" s="24"/>
      <c r="L164" s="24"/>
      <c r="M164" s="66"/>
      <c r="N164" s="66"/>
      <c r="O164" s="24"/>
      <c r="P164" s="35">
        <f t="array" ref="P164">MAX(IF($A164='Booking Responses'!F:F,'Booking Responses'!D:D))</f>
        <v>45262</v>
      </c>
      <c r="Q164" s="36" t="str">
        <f t="array" ref="Q164">INDEX('Booking Responses'!C:C,MATCH(1,('Booking Responses'!F:F=A164)*('Booking Responses'!D:D=P164),0))</f>
        <v>Earth Hackney Dec 2023</v>
      </c>
      <c r="R164" s="36">
        <f>COUNTIFS('Booking Responses'!F:F,"="&amp;A164,'Booking Responses'!E:E,"Small*")</f>
        <v>0</v>
      </c>
      <c r="S164" s="36">
        <f>COUNTIFS('Booking Responses'!F:F,"="&amp;A164,'Booking Responses'!E:E,"Medium*")</f>
        <v>2</v>
      </c>
      <c r="T164" s="36">
        <f>COUNTIFS('Booking Responses'!F:F,"="&amp;A164,'Booking Responses'!E:E,"Large*")</f>
        <v>0</v>
      </c>
      <c r="U164" s="37">
        <f t="shared" si="1"/>
        <v>4</v>
      </c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</row>
    <row r="165">
      <c r="A165" s="38">
        <v>370.0</v>
      </c>
      <c r="B165" s="39" t="s">
        <v>536</v>
      </c>
      <c r="C165" s="39"/>
      <c r="D165" s="38"/>
      <c r="E165" s="38"/>
      <c r="F165" s="38" t="s">
        <v>14</v>
      </c>
      <c r="G165" s="38"/>
      <c r="H165" s="38" t="s">
        <v>21</v>
      </c>
      <c r="I165" s="38"/>
      <c r="J165" s="38"/>
      <c r="K165" s="43"/>
      <c r="L165" s="43"/>
      <c r="M165" s="61"/>
      <c r="N165" s="61"/>
      <c r="O165" s="43"/>
      <c r="P165" s="44">
        <f t="array" ref="P165">MAX(IF($A165='Booking Responses'!F:F,'Booking Responses'!D:D))</f>
        <v>44986</v>
      </c>
      <c r="Q165" s="45" t="str">
        <f t="array" ref="Q165">INDEX('Booking Responses'!C:C,MATCH(1,('Booking Responses'!F:F=A165)*('Booking Responses'!D:D=P165),0))</f>
        <v>Phonox March 2023</v>
      </c>
      <c r="R165" s="45">
        <f>COUNTIFS('Booking Responses'!F:F,"="&amp;A165,'Booking Responses'!E:E,"Small*")</f>
        <v>1</v>
      </c>
      <c r="S165" s="45">
        <f>COUNTIFS('Booking Responses'!F:F,"="&amp;A165,'Booking Responses'!E:E,"Medium*")</f>
        <v>1</v>
      </c>
      <c r="T165" s="45">
        <f>COUNTIFS('Booking Responses'!F:F,"="&amp;A165,'Booking Responses'!E:E,"Large*")</f>
        <v>0</v>
      </c>
      <c r="U165" s="42">
        <f t="shared" si="1"/>
        <v>3</v>
      </c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</row>
    <row r="166">
      <c r="A166" s="19">
        <v>371.0</v>
      </c>
      <c r="B166" s="21" t="s">
        <v>537</v>
      </c>
      <c r="C166" s="21"/>
      <c r="D166" s="19"/>
      <c r="E166" s="19"/>
      <c r="F166" s="19" t="s">
        <v>14</v>
      </c>
      <c r="G166" s="19"/>
      <c r="H166" s="19" t="s">
        <v>415</v>
      </c>
      <c r="I166" s="19"/>
      <c r="J166" s="19"/>
      <c r="K166" s="24"/>
      <c r="L166" s="24"/>
      <c r="M166" s="66"/>
      <c r="N166" s="66"/>
      <c r="O166" s="24"/>
      <c r="P166" s="35">
        <f t="array" ref="P166">MAX(IF($A166='Booking Responses'!F:F,'Booking Responses'!D:D))</f>
        <v>44986</v>
      </c>
      <c r="Q166" s="36" t="str">
        <f t="array" ref="Q166">INDEX('Booking Responses'!C:C,MATCH(1,('Booking Responses'!F:F=A166)*('Booking Responses'!D:D=P166),0))</f>
        <v>Phonox March 2023</v>
      </c>
      <c r="R166" s="36">
        <f>COUNTIFS('Booking Responses'!F:F,"="&amp;A166,'Booking Responses'!E:E,"Small*")</f>
        <v>0</v>
      </c>
      <c r="S166" s="36">
        <f>COUNTIFS('Booking Responses'!F:F,"="&amp;A166,'Booking Responses'!E:E,"Medium*")</f>
        <v>1</v>
      </c>
      <c r="T166" s="36">
        <f>COUNTIFS('Booking Responses'!F:F,"="&amp;A166,'Booking Responses'!E:E,"Large*")</f>
        <v>0</v>
      </c>
      <c r="U166" s="37">
        <f t="shared" si="1"/>
        <v>2</v>
      </c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</row>
    <row r="167">
      <c r="A167" s="38">
        <v>372.0</v>
      </c>
      <c r="B167" s="39" t="s">
        <v>538</v>
      </c>
      <c r="C167" s="39"/>
      <c r="D167" s="38"/>
      <c r="E167" s="38"/>
      <c r="F167" s="38" t="s">
        <v>14</v>
      </c>
      <c r="G167" s="38"/>
      <c r="H167" s="38" t="s">
        <v>21</v>
      </c>
      <c r="I167" s="38"/>
      <c r="J167" s="38"/>
      <c r="K167" s="43"/>
      <c r="L167" s="43"/>
      <c r="M167" s="61"/>
      <c r="N167" s="61"/>
      <c r="O167" s="43"/>
      <c r="P167" s="44">
        <f t="array" ref="P167">MAX(IF($A167='Booking Responses'!F:F,'Booking Responses'!D:D))</f>
        <v>44805</v>
      </c>
      <c r="Q167" s="45" t="str">
        <f t="array" ref="Q167">INDEX('Booking Responses'!C:C,MATCH(1,('Booking Responses'!F:F=A167)*('Booking Responses'!D:D=P167),0))</f>
        <v>Ministry of Sound 2022</v>
      </c>
      <c r="R167" s="45">
        <f>COUNTIFS('Booking Responses'!F:F,"="&amp;A167,'Booking Responses'!E:E,"Small*")</f>
        <v>0</v>
      </c>
      <c r="S167" s="45">
        <f>COUNTIFS('Booking Responses'!F:F,"="&amp;A167,'Booking Responses'!E:E,"Medium*")</f>
        <v>1</v>
      </c>
      <c r="T167" s="45">
        <f>COUNTIFS('Booking Responses'!F:F,"="&amp;A167,'Booking Responses'!E:E,"Large*")</f>
        <v>0</v>
      </c>
      <c r="U167" s="42">
        <f t="shared" si="1"/>
        <v>2</v>
      </c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</row>
    <row r="168">
      <c r="A168" s="19">
        <v>373.0</v>
      </c>
      <c r="B168" s="21" t="s">
        <v>539</v>
      </c>
      <c r="C168" s="21"/>
      <c r="D168" s="19"/>
      <c r="E168" s="19"/>
      <c r="F168" s="19" t="s">
        <v>540</v>
      </c>
      <c r="G168" s="19"/>
      <c r="H168" s="19" t="s">
        <v>21</v>
      </c>
      <c r="I168" s="19"/>
      <c r="J168" s="19"/>
      <c r="K168" s="24"/>
      <c r="L168" s="24"/>
      <c r="M168" s="66"/>
      <c r="N168" s="66"/>
      <c r="O168" s="24"/>
      <c r="P168" s="35">
        <f t="array" ref="P168">MAX(IF($A168='Booking Responses'!F:F,'Booking Responses'!D:D))</f>
        <v>44805</v>
      </c>
      <c r="Q168" s="36" t="str">
        <f t="array" ref="Q168">INDEX('Booking Responses'!C:C,MATCH(1,('Booking Responses'!F:F=A168)*('Booking Responses'!D:D=P168),0))</f>
        <v>Ministry of Sound 2022</v>
      </c>
      <c r="R168" s="36">
        <f>COUNTIFS('Booking Responses'!F:F,"="&amp;A168,'Booking Responses'!E:E,"Small*")</f>
        <v>0</v>
      </c>
      <c r="S168" s="36">
        <f>COUNTIFS('Booking Responses'!F:F,"="&amp;A168,'Booking Responses'!E:E,"Medium*")</f>
        <v>1</v>
      </c>
      <c r="T168" s="36">
        <f>COUNTIFS('Booking Responses'!F:F,"="&amp;A168,'Booking Responses'!E:E,"Large*")</f>
        <v>0</v>
      </c>
      <c r="U168" s="37">
        <f t="shared" si="1"/>
        <v>2</v>
      </c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</row>
    <row r="169">
      <c r="A169" s="38">
        <v>374.0</v>
      </c>
      <c r="B169" s="39" t="s">
        <v>541</v>
      </c>
      <c r="C169" s="39"/>
      <c r="D169" s="38"/>
      <c r="E169" s="38"/>
      <c r="F169" s="38" t="s">
        <v>14</v>
      </c>
      <c r="G169" s="38"/>
      <c r="H169" s="38" t="s">
        <v>21</v>
      </c>
      <c r="I169" s="38"/>
      <c r="J169" s="38"/>
      <c r="K169" s="43"/>
      <c r="L169" s="43"/>
      <c r="M169" s="61"/>
      <c r="N169" s="61"/>
      <c r="O169" s="43"/>
      <c r="P169" s="44">
        <f t="array" ref="P169">MAX(IF($A169='Booking Responses'!F:F,'Booking Responses'!D:D))</f>
        <v>45164</v>
      </c>
      <c r="Q169" s="45" t="str">
        <f t="array" ref="Q169">INDEX('Booking Responses'!C:C,MATCH(1,('Booking Responses'!F:F=A169)*('Booking Responses'!D:D=P169),0))</f>
        <v>Lost Village Festival 2023</v>
      </c>
      <c r="R169" s="45">
        <f>COUNTIFS('Booking Responses'!F:F,"="&amp;A169,'Booking Responses'!E:E,"Small*")</f>
        <v>0</v>
      </c>
      <c r="S169" s="45">
        <f>COUNTIFS('Booking Responses'!F:F,"="&amp;A169,'Booking Responses'!E:E,"Medium*")</f>
        <v>0</v>
      </c>
      <c r="T169" s="45">
        <f>COUNTIFS('Booking Responses'!F:F,"="&amp;A169,'Booking Responses'!E:E,"Large*")</f>
        <v>1</v>
      </c>
      <c r="U169" s="42">
        <f t="shared" si="1"/>
        <v>3</v>
      </c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</row>
    <row r="170">
      <c r="A170" s="19">
        <v>375.0</v>
      </c>
      <c r="B170" s="21" t="s">
        <v>542</v>
      </c>
      <c r="C170" s="21"/>
      <c r="D170" s="19"/>
      <c r="E170" s="19"/>
      <c r="F170" s="19" t="s">
        <v>14</v>
      </c>
      <c r="G170" s="19"/>
      <c r="H170" s="19" t="s">
        <v>21</v>
      </c>
      <c r="I170" s="19"/>
      <c r="J170" s="19"/>
      <c r="K170" s="24"/>
      <c r="L170" s="24"/>
      <c r="M170" s="66"/>
      <c r="N170" s="66"/>
      <c r="O170" s="24"/>
      <c r="P170" s="35">
        <f t="array" ref="P170">MAX(IF($A170='Booking Responses'!F:F,'Booking Responses'!D:D))</f>
        <v>45164</v>
      </c>
      <c r="Q170" s="36" t="str">
        <f t="array" ref="Q170">INDEX('Booking Responses'!C:C,MATCH(1,('Booking Responses'!F:F=A170)*('Booking Responses'!D:D=P170),0))</f>
        <v>Lost Village Festival 2023</v>
      </c>
      <c r="R170" s="36">
        <f>COUNTIFS('Booking Responses'!F:F,"="&amp;A170,'Booking Responses'!E:E,"Small*")</f>
        <v>0</v>
      </c>
      <c r="S170" s="36">
        <f>COUNTIFS('Booking Responses'!F:F,"="&amp;A170,'Booking Responses'!E:E,"Medium*")</f>
        <v>0</v>
      </c>
      <c r="T170" s="36">
        <f>COUNTIFS('Booking Responses'!F:F,"="&amp;A170,'Booking Responses'!E:E,"Large*")</f>
        <v>1</v>
      </c>
      <c r="U170" s="37">
        <f t="shared" si="1"/>
        <v>3</v>
      </c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</row>
    <row r="171">
      <c r="A171" s="38">
        <v>376.0</v>
      </c>
      <c r="B171" s="39" t="s">
        <v>543</v>
      </c>
      <c r="C171" s="39"/>
      <c r="D171" s="38"/>
      <c r="E171" s="38"/>
      <c r="F171" s="38" t="s">
        <v>14</v>
      </c>
      <c r="G171" s="38"/>
      <c r="H171" s="38" t="s">
        <v>544</v>
      </c>
      <c r="I171" s="38"/>
      <c r="J171" s="38"/>
      <c r="K171" s="43"/>
      <c r="L171" s="43"/>
      <c r="M171" s="61"/>
      <c r="N171" s="61"/>
      <c r="O171" s="43"/>
      <c r="P171" s="44">
        <f t="array" ref="P171">MAX(IF($A171='Booking Responses'!F:F,'Booking Responses'!D:D))</f>
        <v>45164</v>
      </c>
      <c r="Q171" s="45" t="str">
        <f t="array" ref="Q171">INDEX('Booking Responses'!C:C,MATCH(1,('Booking Responses'!F:F=A171)*('Booking Responses'!D:D=P171),0))</f>
        <v>Lost Village Festival 2023</v>
      </c>
      <c r="R171" s="45">
        <f>COUNTIFS('Booking Responses'!F:F,"="&amp;A171,'Booking Responses'!E:E,"Small*")</f>
        <v>0</v>
      </c>
      <c r="S171" s="45">
        <f>COUNTIFS('Booking Responses'!F:F,"="&amp;A171,'Booking Responses'!E:E,"Medium*")</f>
        <v>0</v>
      </c>
      <c r="T171" s="45">
        <f>COUNTIFS('Booking Responses'!F:F,"="&amp;A171,'Booking Responses'!E:E,"Large*")</f>
        <v>1</v>
      </c>
      <c r="U171" s="42">
        <f t="shared" si="1"/>
        <v>3</v>
      </c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</row>
    <row r="172">
      <c r="A172" s="19">
        <v>377.0</v>
      </c>
      <c r="B172" s="21" t="s">
        <v>545</v>
      </c>
      <c r="C172" s="21"/>
      <c r="D172" s="19"/>
      <c r="E172" s="19"/>
      <c r="F172" s="19" t="s">
        <v>14</v>
      </c>
      <c r="G172" s="19"/>
      <c r="H172" s="19" t="s">
        <v>21</v>
      </c>
      <c r="I172" s="19"/>
      <c r="J172" s="19"/>
      <c r="K172" s="24"/>
      <c r="L172" s="24"/>
      <c r="M172" s="66"/>
      <c r="N172" s="66"/>
      <c r="O172" s="24"/>
      <c r="P172" s="35">
        <f t="array" ref="P172">MAX(IF($A172='Booking Responses'!F:F,'Booking Responses'!D:D))</f>
        <v>44339</v>
      </c>
      <c r="Q172" s="36" t="str">
        <f t="array" ref="Q172">INDEX('Booking Responses'!C:C,MATCH(1,('Booking Responses'!F:F=A172)*('Booking Responses'!D:D=P172),0))</f>
        <v>COVID Relief for India Fundraiser Colour Factory 2021</v>
      </c>
      <c r="R172" s="36">
        <f>COUNTIFS('Booking Responses'!F:F,"="&amp;A172,'Booking Responses'!E:E,"Small*")</f>
        <v>1</v>
      </c>
      <c r="S172" s="36">
        <f>COUNTIFS('Booking Responses'!F:F,"="&amp;A172,'Booking Responses'!E:E,"Medium*")</f>
        <v>1</v>
      </c>
      <c r="T172" s="36">
        <f>COUNTIFS('Booking Responses'!F:F,"="&amp;A172,'Booking Responses'!E:E,"Large*")</f>
        <v>1</v>
      </c>
      <c r="U172" s="37">
        <f t="shared" si="1"/>
        <v>6</v>
      </c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</row>
    <row r="173">
      <c r="A173" s="38">
        <v>378.0</v>
      </c>
      <c r="B173" s="39" t="s">
        <v>546</v>
      </c>
      <c r="C173" s="39"/>
      <c r="D173" s="38"/>
      <c r="E173" s="38"/>
      <c r="F173" s="38" t="s">
        <v>14</v>
      </c>
      <c r="G173" s="38"/>
      <c r="H173" s="38" t="s">
        <v>21</v>
      </c>
      <c r="I173" s="38"/>
      <c r="J173" s="38"/>
      <c r="K173" s="43"/>
      <c r="L173" s="43"/>
      <c r="M173" s="61"/>
      <c r="N173" s="61"/>
      <c r="O173" s="43"/>
      <c r="P173" s="44">
        <f t="array" ref="P173">MAX(IF($A173='Booking Responses'!F:F,'Booking Responses'!D:D))</f>
        <v>44339</v>
      </c>
      <c r="Q173" s="45" t="str">
        <f t="array" ref="Q173">INDEX('Booking Responses'!C:C,MATCH(1,('Booking Responses'!F:F=A173)*('Booking Responses'!D:D=P173),0))</f>
        <v>COVID Relief for India Fundraiser Colour Factory 2021</v>
      </c>
      <c r="R173" s="45">
        <f>COUNTIFS('Booking Responses'!F:F,"="&amp;A173,'Booking Responses'!E:E,"Small*")</f>
        <v>1</v>
      </c>
      <c r="S173" s="45">
        <f>COUNTIFS('Booking Responses'!F:F,"="&amp;A173,'Booking Responses'!E:E,"Medium*")</f>
        <v>0</v>
      </c>
      <c r="T173" s="45">
        <f>COUNTIFS('Booking Responses'!F:F,"="&amp;A173,'Booking Responses'!E:E,"Large*")</f>
        <v>0</v>
      </c>
      <c r="U173" s="42">
        <f t="shared" si="1"/>
        <v>1</v>
      </c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</row>
    <row r="174">
      <c r="A174" s="19">
        <v>379.0</v>
      </c>
      <c r="B174" s="21" t="s">
        <v>547</v>
      </c>
      <c r="C174" s="21"/>
      <c r="D174" s="19"/>
      <c r="E174" s="19"/>
      <c r="F174" s="19" t="s">
        <v>14</v>
      </c>
      <c r="G174" s="19"/>
      <c r="H174" s="19" t="s">
        <v>21</v>
      </c>
      <c r="I174" s="19"/>
      <c r="J174" s="19"/>
      <c r="K174" s="24"/>
      <c r="L174" s="24"/>
      <c r="M174" s="66"/>
      <c r="N174" s="66"/>
      <c r="O174" s="24"/>
      <c r="P174" s="35">
        <f t="array" ref="P174">MAX(IF($A174='Booking Responses'!F:F,'Booking Responses'!D:D))</f>
        <v>44339</v>
      </c>
      <c r="Q174" s="36" t="str">
        <f t="array" ref="Q174">INDEX('Booking Responses'!C:C,MATCH(1,('Booking Responses'!F:F=A174)*('Booking Responses'!D:D=P174),0))</f>
        <v>COVID Relief for India Fundraiser Colour Factory 2021</v>
      </c>
      <c r="R174" s="36">
        <f>COUNTIFS('Booking Responses'!F:F,"="&amp;A174,'Booking Responses'!E:E,"Small*")</f>
        <v>1</v>
      </c>
      <c r="S174" s="36">
        <f>COUNTIFS('Booking Responses'!F:F,"="&amp;A174,'Booking Responses'!E:E,"Medium*")</f>
        <v>0</v>
      </c>
      <c r="T174" s="36">
        <f>COUNTIFS('Booking Responses'!F:F,"="&amp;A174,'Booking Responses'!E:E,"Large*")</f>
        <v>0</v>
      </c>
      <c r="U174" s="37">
        <f t="shared" si="1"/>
        <v>1</v>
      </c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</row>
    <row r="175">
      <c r="A175" s="38">
        <v>380.0</v>
      </c>
      <c r="B175" s="39" t="s">
        <v>548</v>
      </c>
      <c r="C175" s="39"/>
      <c r="D175" s="38"/>
      <c r="E175" s="38"/>
      <c r="F175" s="38" t="s">
        <v>66</v>
      </c>
      <c r="G175" s="38"/>
      <c r="H175" s="38" t="s">
        <v>544</v>
      </c>
      <c r="I175" s="38"/>
      <c r="J175" s="38"/>
      <c r="K175" s="43"/>
      <c r="L175" s="43"/>
      <c r="M175" s="61"/>
      <c r="N175" s="61"/>
      <c r="O175" s="43"/>
      <c r="P175" s="44">
        <f t="array" ref="P175">MAX(IF($A175='Booking Responses'!F:F,'Booking Responses'!D:D))</f>
        <v>44339</v>
      </c>
      <c r="Q175" s="45" t="str">
        <f t="array" ref="Q175">INDEX('Booking Responses'!C:C,MATCH(1,('Booking Responses'!F:F=A175)*('Booking Responses'!D:D=P175),0))</f>
        <v>COVID Relief for India Fundraiser Colour Factory 2021</v>
      </c>
      <c r="R175" s="45">
        <f>COUNTIFS('Booking Responses'!F:F,"="&amp;A175,'Booking Responses'!E:E,"Small*")</f>
        <v>1</v>
      </c>
      <c r="S175" s="45">
        <f>COUNTIFS('Booking Responses'!F:F,"="&amp;A175,'Booking Responses'!E:E,"Medium*")</f>
        <v>0</v>
      </c>
      <c r="T175" s="45">
        <f>COUNTIFS('Booking Responses'!F:F,"="&amp;A175,'Booking Responses'!E:E,"Large*")</f>
        <v>0</v>
      </c>
      <c r="U175" s="42">
        <f t="shared" si="1"/>
        <v>1</v>
      </c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</row>
    <row r="176">
      <c r="A176" s="19">
        <v>381.0</v>
      </c>
      <c r="B176" s="21" t="s">
        <v>549</v>
      </c>
      <c r="C176" s="21"/>
      <c r="D176" s="19"/>
      <c r="E176" s="19"/>
      <c r="F176" s="19" t="s">
        <v>14</v>
      </c>
      <c r="G176" s="19"/>
      <c r="H176" s="19" t="s">
        <v>21</v>
      </c>
      <c r="I176" s="19"/>
      <c r="J176" s="19"/>
      <c r="K176" s="24"/>
      <c r="L176" s="24"/>
      <c r="M176" s="66"/>
      <c r="N176" s="66"/>
      <c r="O176" s="24"/>
      <c r="P176" s="35">
        <f t="array" ref="P176">MAX(IF($A176='Booking Responses'!F:F,'Booking Responses'!D:D))</f>
        <v>44286</v>
      </c>
      <c r="Q176" s="36" t="str">
        <f t="array" ref="Q176">INDEX('Booking Responses'!C:C,MATCH(1,('Booking Responses'!F:F=A176)*('Booking Responses'!D:D=P176),0))</f>
        <v>Solidarity with our Farmers Stream 2021</v>
      </c>
      <c r="R176" s="36">
        <f>COUNTIFS('Booking Responses'!F:F,"="&amp;A176,'Booking Responses'!E:E,"Small*")</f>
        <v>0</v>
      </c>
      <c r="S176" s="36">
        <f>COUNTIFS('Booking Responses'!F:F,"="&amp;A176,'Booking Responses'!E:E,"Medium*")</f>
        <v>0</v>
      </c>
      <c r="T176" s="36">
        <f>COUNTIFS('Booking Responses'!F:F,"="&amp;A176,'Booking Responses'!E:E,"Large*")</f>
        <v>1</v>
      </c>
      <c r="U176" s="37">
        <f t="shared" si="1"/>
        <v>3</v>
      </c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</row>
    <row r="177">
      <c r="A177" s="38">
        <v>382.0</v>
      </c>
      <c r="B177" s="39" t="s">
        <v>550</v>
      </c>
      <c r="C177" s="39"/>
      <c r="D177" s="38"/>
      <c r="E177" s="38"/>
      <c r="F177" s="38" t="s">
        <v>551</v>
      </c>
      <c r="G177" s="38"/>
      <c r="H177" s="38" t="s">
        <v>21</v>
      </c>
      <c r="I177" s="38"/>
      <c r="J177" s="38"/>
      <c r="K177" s="43"/>
      <c r="L177" s="43"/>
      <c r="M177" s="61"/>
      <c r="N177" s="61"/>
      <c r="O177" s="43"/>
      <c r="P177" s="44">
        <f t="array" ref="P177">MAX(IF($A177='Booking Responses'!F:F,'Booking Responses'!D:D))</f>
        <v>44286</v>
      </c>
      <c r="Q177" s="45" t="str">
        <f t="array" ref="Q177">INDEX('Booking Responses'!C:C,MATCH(1,('Booking Responses'!F:F=A177)*('Booking Responses'!D:D=P177),0))</f>
        <v>Solidarity with our Farmers Stream 2021</v>
      </c>
      <c r="R177" s="45">
        <f>COUNTIFS('Booking Responses'!F:F,"="&amp;A177,'Booking Responses'!E:E,"Small*")</f>
        <v>0</v>
      </c>
      <c r="S177" s="45">
        <f>COUNTIFS('Booking Responses'!F:F,"="&amp;A177,'Booking Responses'!E:E,"Medium*")</f>
        <v>0</v>
      </c>
      <c r="T177" s="45">
        <f>COUNTIFS('Booking Responses'!F:F,"="&amp;A177,'Booking Responses'!E:E,"Large*")</f>
        <v>1</v>
      </c>
      <c r="U177" s="42">
        <f t="shared" si="1"/>
        <v>3</v>
      </c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</row>
    <row r="178">
      <c r="A178" s="19">
        <v>383.0</v>
      </c>
      <c r="B178" s="21" t="s">
        <v>552</v>
      </c>
      <c r="C178" s="21"/>
      <c r="D178" s="19"/>
      <c r="E178" s="19"/>
      <c r="F178" s="19" t="s">
        <v>14</v>
      </c>
      <c r="G178" s="19"/>
      <c r="H178" s="19" t="s">
        <v>21</v>
      </c>
      <c r="I178" s="19"/>
      <c r="J178" s="19"/>
      <c r="K178" s="24"/>
      <c r="L178" s="24"/>
      <c r="M178" s="66"/>
      <c r="N178" s="66"/>
      <c r="O178" s="24"/>
      <c r="P178" s="35">
        <f t="array" ref="P178">MAX(IF($A178='Booking Responses'!F:F,'Booking Responses'!D:D))</f>
        <v>44286</v>
      </c>
      <c r="Q178" s="36" t="str">
        <f t="array" ref="Q178">INDEX('Booking Responses'!C:C,MATCH(1,('Booking Responses'!F:F=A178)*('Booking Responses'!D:D=P178),0))</f>
        <v>Solidarity with our Farmers Stream 2021</v>
      </c>
      <c r="R178" s="36">
        <f>COUNTIFS('Booking Responses'!F:F,"="&amp;A178,'Booking Responses'!E:E,"Small*")</f>
        <v>0</v>
      </c>
      <c r="S178" s="36">
        <f>COUNTIFS('Booking Responses'!F:F,"="&amp;A178,'Booking Responses'!E:E,"Medium*")</f>
        <v>0</v>
      </c>
      <c r="T178" s="36">
        <f>COUNTIFS('Booking Responses'!F:F,"="&amp;A178,'Booking Responses'!E:E,"Large*")</f>
        <v>1</v>
      </c>
      <c r="U178" s="37">
        <f t="shared" si="1"/>
        <v>3</v>
      </c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</row>
    <row r="179">
      <c r="A179" s="38">
        <v>384.0</v>
      </c>
      <c r="B179" s="39" t="s">
        <v>553</v>
      </c>
      <c r="C179" s="39"/>
      <c r="D179" s="38"/>
      <c r="E179" s="38"/>
      <c r="F179" s="38" t="s">
        <v>14</v>
      </c>
      <c r="G179" s="38"/>
      <c r="H179" s="38" t="s">
        <v>544</v>
      </c>
      <c r="I179" s="38"/>
      <c r="J179" s="38"/>
      <c r="K179" s="43"/>
      <c r="L179" s="43"/>
      <c r="M179" s="61"/>
      <c r="N179" s="61"/>
      <c r="O179" s="43"/>
      <c r="P179" s="44">
        <f t="array" ref="P179">MAX(IF($A179='Booking Responses'!F:F,'Booking Responses'!D:D))</f>
        <v>44286</v>
      </c>
      <c r="Q179" s="45" t="str">
        <f t="array" ref="Q179">INDEX('Booking Responses'!C:C,MATCH(1,('Booking Responses'!F:F=A179)*('Booking Responses'!D:D=P179),0))</f>
        <v>Solidarity with our Farmers Stream 2021</v>
      </c>
      <c r="R179" s="45">
        <f>COUNTIFS('Booking Responses'!F:F,"="&amp;A179,'Booking Responses'!E:E,"Small*")</f>
        <v>0</v>
      </c>
      <c r="S179" s="45">
        <f>COUNTIFS('Booking Responses'!F:F,"="&amp;A179,'Booking Responses'!E:E,"Medium*")</f>
        <v>0</v>
      </c>
      <c r="T179" s="45">
        <f>COUNTIFS('Booking Responses'!F:F,"="&amp;A179,'Booking Responses'!E:E,"Large*")</f>
        <v>1</v>
      </c>
      <c r="U179" s="42">
        <f t="shared" si="1"/>
        <v>3</v>
      </c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</row>
    <row r="180">
      <c r="A180" s="19">
        <v>385.0</v>
      </c>
      <c r="B180" s="21" t="s">
        <v>554</v>
      </c>
      <c r="C180" s="21"/>
      <c r="D180" s="19"/>
      <c r="E180" s="19"/>
      <c r="F180" s="19" t="s">
        <v>551</v>
      </c>
      <c r="G180" s="19"/>
      <c r="H180" s="19" t="s">
        <v>415</v>
      </c>
      <c r="I180" s="19"/>
      <c r="J180" s="19"/>
      <c r="K180" s="24"/>
      <c r="L180" s="24"/>
      <c r="M180" s="66"/>
      <c r="N180" s="66"/>
      <c r="O180" s="24"/>
      <c r="P180" s="35">
        <f t="array" ref="P180">MAX(IF($A180='Booking Responses'!F:F,'Booking Responses'!D:D))</f>
        <v>44286</v>
      </c>
      <c r="Q180" s="36" t="str">
        <f t="array" ref="Q180">INDEX('Booking Responses'!C:C,MATCH(1,('Booking Responses'!F:F=A180)*('Booking Responses'!D:D=P180),0))</f>
        <v>Solidarity with our Farmers Stream 2021</v>
      </c>
      <c r="R180" s="36">
        <f>COUNTIFS('Booking Responses'!F:F,"="&amp;A180,'Booking Responses'!E:E,"Small*")</f>
        <v>0</v>
      </c>
      <c r="S180" s="36">
        <f>COUNTIFS('Booking Responses'!F:F,"="&amp;A180,'Booking Responses'!E:E,"Medium*")</f>
        <v>0</v>
      </c>
      <c r="T180" s="36">
        <f>COUNTIFS('Booking Responses'!F:F,"="&amp;A180,'Booking Responses'!E:E,"Large*")</f>
        <v>1</v>
      </c>
      <c r="U180" s="37">
        <f t="shared" si="1"/>
        <v>3</v>
      </c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  <row r="181">
      <c r="A181" s="38">
        <v>386.0</v>
      </c>
      <c r="B181" s="39" t="s">
        <v>555</v>
      </c>
      <c r="C181" s="39"/>
      <c r="D181" s="38"/>
      <c r="E181" s="38"/>
      <c r="F181" s="38" t="s">
        <v>14</v>
      </c>
      <c r="G181" s="38"/>
      <c r="H181" s="38" t="s">
        <v>21</v>
      </c>
      <c r="I181" s="38"/>
      <c r="J181" s="38"/>
      <c r="K181" s="43"/>
      <c r="L181" s="43"/>
      <c r="M181" s="61"/>
      <c r="N181" s="61"/>
      <c r="O181" s="43"/>
      <c r="P181" s="44">
        <f t="array" ref="P181">MAX(IF($A181='Booking Responses'!F:F,'Booking Responses'!D:D))</f>
        <v>45457</v>
      </c>
      <c r="Q181" s="45" t="str">
        <f t="array" ref="Q181">INDEX('Booking Responses'!C:C,MATCH(1,('Booking Responses'!F:F=A181)*('Booking Responses'!D:D=P181),0))</f>
        <v>This Is Fine' by Poorna Bell</v>
      </c>
      <c r="R181" s="45">
        <f>COUNTIFS('Booking Responses'!F:F,"="&amp;A181,'Booking Responses'!E:E,"Small*")</f>
        <v>2</v>
      </c>
      <c r="S181" s="45">
        <f>COUNTIFS('Booking Responses'!F:F,"="&amp;A181,'Booking Responses'!E:E,"Medium*")</f>
        <v>1</v>
      </c>
      <c r="T181" s="45">
        <f>COUNTIFS('Booking Responses'!F:F,"="&amp;A181,'Booking Responses'!E:E,"Large*")</f>
        <v>0</v>
      </c>
      <c r="U181" s="42">
        <f t="shared" si="1"/>
        <v>4</v>
      </c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</row>
    <row r="182">
      <c r="A182" s="19">
        <v>387.0</v>
      </c>
      <c r="B182" s="21" t="s">
        <v>556</v>
      </c>
      <c r="C182" s="21"/>
      <c r="D182" s="19"/>
      <c r="E182" s="19"/>
      <c r="F182" s="19" t="s">
        <v>557</v>
      </c>
      <c r="G182" s="19"/>
      <c r="H182" s="19" t="s">
        <v>544</v>
      </c>
      <c r="I182" s="19"/>
      <c r="J182" s="19"/>
      <c r="K182" s="24"/>
      <c r="L182" s="24"/>
      <c r="M182" s="66"/>
      <c r="N182" s="66"/>
      <c r="O182" s="24"/>
      <c r="P182" s="35">
        <f t="array" ref="P182">MAX(IF($A182='Booking Responses'!F:F,'Booking Responses'!D:D))</f>
        <v>45149</v>
      </c>
      <c r="Q182" s="36" t="str">
        <f t="array" ref="Q182">INDEX('Booking Responses'!C:C,MATCH(1,('Booking Responses'!F:F=A182)*('Booking Responses'!D:D=P182),0))</f>
        <v>Phonox Residency August 2023</v>
      </c>
      <c r="R182" s="36">
        <f>COUNTIFS('Booking Responses'!F:F,"="&amp;A182,'Booking Responses'!E:E,"Small*")</f>
        <v>0</v>
      </c>
      <c r="S182" s="36">
        <f>COUNTIFS('Booking Responses'!F:F,"="&amp;A182,'Booking Responses'!E:E,"Medium*")</f>
        <v>1</v>
      </c>
      <c r="T182" s="36">
        <f>COUNTIFS('Booking Responses'!F:F,"="&amp;A182,'Booking Responses'!E:E,"Large*")</f>
        <v>0</v>
      </c>
      <c r="U182" s="37">
        <f t="shared" si="1"/>
        <v>2</v>
      </c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</row>
    <row r="183">
      <c r="A183" s="38">
        <v>388.0</v>
      </c>
      <c r="B183" s="39" t="s">
        <v>558</v>
      </c>
      <c r="C183" s="39"/>
      <c r="D183" s="38"/>
      <c r="E183" s="38"/>
      <c r="F183" s="38" t="s">
        <v>14</v>
      </c>
      <c r="G183" s="38"/>
      <c r="H183" s="38" t="s">
        <v>21</v>
      </c>
      <c r="I183" s="38"/>
      <c r="J183" s="38"/>
      <c r="K183" s="43"/>
      <c r="L183" s="43"/>
      <c r="M183" s="61"/>
      <c r="N183" s="61"/>
      <c r="O183" s="43"/>
      <c r="P183" s="44">
        <f t="array" ref="P183">MAX(IF($A183='Booking Responses'!F:F,'Booking Responses'!D:D))</f>
        <v>45156</v>
      </c>
      <c r="Q183" s="45" t="str">
        <f t="array" ref="Q183">INDEX('Booking Responses'!C:C,MATCH(1,('Booking Responses'!F:F=A183)*('Booking Responses'!D:D=P183),0))</f>
        <v>Phonox Residency August 2023</v>
      </c>
      <c r="R183" s="45">
        <f>COUNTIFS('Booking Responses'!F:F,"="&amp;A183,'Booking Responses'!E:E,"Small*")</f>
        <v>0</v>
      </c>
      <c r="S183" s="45">
        <f>COUNTIFS('Booking Responses'!F:F,"="&amp;A183,'Booking Responses'!E:E,"Medium*")</f>
        <v>1</v>
      </c>
      <c r="T183" s="45">
        <f>COUNTIFS('Booking Responses'!F:F,"="&amp;A183,'Booking Responses'!E:E,"Large*")</f>
        <v>0</v>
      </c>
      <c r="U183" s="42">
        <f t="shared" si="1"/>
        <v>2</v>
      </c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</row>
    <row r="184">
      <c r="A184" s="19">
        <v>389.0</v>
      </c>
      <c r="B184" s="21" t="s">
        <v>559</v>
      </c>
      <c r="C184" s="21"/>
      <c r="D184" s="19"/>
      <c r="E184" s="19"/>
      <c r="F184" s="19" t="s">
        <v>14</v>
      </c>
      <c r="G184" s="19"/>
      <c r="H184" s="19" t="s">
        <v>21</v>
      </c>
      <c r="I184" s="19"/>
      <c r="J184" s="19"/>
      <c r="K184" s="24"/>
      <c r="L184" s="24"/>
      <c r="M184" s="66"/>
      <c r="N184" s="66"/>
      <c r="O184" s="24"/>
      <c r="P184" s="35">
        <f t="array" ref="P184">MAX(IF($A184='Booking Responses'!F:F,'Booking Responses'!D:D))</f>
        <v>45163</v>
      </c>
      <c r="Q184" s="36" t="str">
        <f t="array" ref="Q184">INDEX('Booking Responses'!C:C,MATCH(1,('Booking Responses'!F:F=A184)*('Booking Responses'!D:D=P184),0))</f>
        <v>Phonox Residency August 2023</v>
      </c>
      <c r="R184" s="36">
        <f>COUNTIFS('Booking Responses'!F:F,"="&amp;A184,'Booking Responses'!E:E,"Small*")</f>
        <v>0</v>
      </c>
      <c r="S184" s="36">
        <f>COUNTIFS('Booking Responses'!F:F,"="&amp;A184,'Booking Responses'!E:E,"Medium*")</f>
        <v>1</v>
      </c>
      <c r="T184" s="36">
        <f>COUNTIFS('Booking Responses'!F:F,"="&amp;A184,'Booking Responses'!E:E,"Large*")</f>
        <v>0</v>
      </c>
      <c r="U184" s="37">
        <f t="shared" si="1"/>
        <v>2</v>
      </c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</row>
    <row r="185">
      <c r="A185" s="38">
        <v>390.0</v>
      </c>
      <c r="B185" s="39" t="s">
        <v>560</v>
      </c>
      <c r="C185" s="39"/>
      <c r="D185" s="38"/>
      <c r="E185" s="38"/>
      <c r="F185" s="38" t="s">
        <v>561</v>
      </c>
      <c r="G185" s="38"/>
      <c r="H185" s="38" t="s">
        <v>562</v>
      </c>
      <c r="I185" s="38"/>
      <c r="J185" s="38"/>
      <c r="K185" s="43"/>
      <c r="L185" s="43"/>
      <c r="M185" s="61"/>
      <c r="N185" s="61"/>
      <c r="O185" s="43"/>
      <c r="P185" s="44">
        <f t="array" ref="P185">MAX(IF($A185='Booking Responses'!F:F,'Booking Responses'!D:D))</f>
        <v>45163</v>
      </c>
      <c r="Q185" s="45" t="str">
        <f t="array" ref="Q185">INDEX('Booking Responses'!C:C,MATCH(1,('Booking Responses'!F:F=A185)*('Booking Responses'!D:D=P185),0))</f>
        <v>Phonox Residency August 2023</v>
      </c>
      <c r="R185" s="45">
        <f>COUNTIFS('Booking Responses'!F:F,"="&amp;A185,'Booking Responses'!E:E,"Small*")</f>
        <v>0</v>
      </c>
      <c r="S185" s="45">
        <f>COUNTIFS('Booking Responses'!F:F,"="&amp;A185,'Booking Responses'!E:E,"Medium*")</f>
        <v>1</v>
      </c>
      <c r="T185" s="45">
        <f>COUNTIFS('Booking Responses'!F:F,"="&amp;A185,'Booking Responses'!E:E,"Large*")</f>
        <v>0</v>
      </c>
      <c r="U185" s="42">
        <f t="shared" si="1"/>
        <v>2</v>
      </c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</row>
    <row r="186">
      <c r="A186" s="19">
        <v>391.0</v>
      </c>
      <c r="B186" s="21" t="s">
        <v>563</v>
      </c>
      <c r="C186" s="21"/>
      <c r="D186" s="19"/>
      <c r="E186" s="19"/>
      <c r="F186" s="19" t="s">
        <v>14</v>
      </c>
      <c r="G186" s="19"/>
      <c r="H186" s="19" t="s">
        <v>21</v>
      </c>
      <c r="I186" s="19" t="s">
        <v>564</v>
      </c>
      <c r="J186" s="19"/>
      <c r="K186" s="24"/>
      <c r="L186" s="24"/>
      <c r="M186" s="66"/>
      <c r="N186" s="66"/>
      <c r="O186" s="24"/>
      <c r="P186" s="35">
        <f t="array" ref="P186">MAX(IF($A186='Booking Responses'!F:F,'Booking Responses'!D:D))</f>
        <v>45163</v>
      </c>
      <c r="Q186" s="36" t="str">
        <f t="array" ref="Q186">INDEX('Booking Responses'!C:C,MATCH(1,('Booking Responses'!F:F=A186)*('Booking Responses'!D:D=P186),0))</f>
        <v>Phonox Residency August 2023</v>
      </c>
      <c r="R186" s="36">
        <f>COUNTIFS('Booking Responses'!F:F,"="&amp;A186,'Booking Responses'!E:E,"Small*")</f>
        <v>0</v>
      </c>
      <c r="S186" s="36">
        <f>COUNTIFS('Booking Responses'!F:F,"="&amp;A186,'Booking Responses'!E:E,"Medium*")</f>
        <v>1</v>
      </c>
      <c r="T186" s="36">
        <f>COUNTIFS('Booking Responses'!F:F,"="&amp;A186,'Booking Responses'!E:E,"Large*")</f>
        <v>0</v>
      </c>
      <c r="U186" s="37">
        <f t="shared" si="1"/>
        <v>2</v>
      </c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</row>
    <row r="187">
      <c r="A187" s="38">
        <v>392.0</v>
      </c>
      <c r="B187" s="39" t="s">
        <v>565</v>
      </c>
      <c r="C187" s="39"/>
      <c r="D187" s="38"/>
      <c r="E187" s="38"/>
      <c r="F187" s="38" t="s">
        <v>14</v>
      </c>
      <c r="G187" s="38"/>
      <c r="H187" s="38" t="s">
        <v>21</v>
      </c>
      <c r="I187" s="38"/>
      <c r="J187" s="38"/>
      <c r="K187" s="43"/>
      <c r="L187" s="43"/>
      <c r="M187" s="61"/>
      <c r="N187" s="61"/>
      <c r="O187" s="43"/>
      <c r="P187" s="44">
        <f t="array" ref="P187">MAX(IF($A187='Booking Responses'!F:F,'Booking Responses'!D:D))</f>
        <v>45163</v>
      </c>
      <c r="Q187" s="45" t="str">
        <f t="array" ref="Q187">INDEX('Booking Responses'!C:C,MATCH(1,('Booking Responses'!F:F=A187)*('Booking Responses'!D:D=P187),0))</f>
        <v>Phonox Residency August 2023</v>
      </c>
      <c r="R187" s="45">
        <f>COUNTIFS('Booking Responses'!F:F,"="&amp;A187,'Booking Responses'!E:E,"Small*")</f>
        <v>0</v>
      </c>
      <c r="S187" s="45">
        <f>COUNTIFS('Booking Responses'!F:F,"="&amp;A187,'Booking Responses'!E:E,"Medium*")</f>
        <v>1</v>
      </c>
      <c r="T187" s="45">
        <f>COUNTIFS('Booking Responses'!F:F,"="&amp;A187,'Booking Responses'!E:E,"Large*")</f>
        <v>0</v>
      </c>
      <c r="U187" s="42">
        <f t="shared" si="1"/>
        <v>2</v>
      </c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</row>
    <row r="188">
      <c r="A188" s="19">
        <v>393.0</v>
      </c>
      <c r="B188" s="21" t="s">
        <v>566</v>
      </c>
      <c r="C188" s="21"/>
      <c r="D188" s="19"/>
      <c r="E188" s="19"/>
      <c r="F188" s="19" t="s">
        <v>14</v>
      </c>
      <c r="G188" s="19"/>
      <c r="H188" s="19" t="s">
        <v>21</v>
      </c>
      <c r="I188" s="19"/>
      <c r="J188" s="19"/>
      <c r="K188" s="24"/>
      <c r="L188" s="24"/>
      <c r="M188" s="66"/>
      <c r="N188" s="66"/>
      <c r="O188" s="24"/>
      <c r="P188" s="35">
        <f t="array" ref="P188">MAX(IF($A188='Booking Responses'!F:F,'Booking Responses'!D:D))</f>
        <v>45163</v>
      </c>
      <c r="Q188" s="36" t="str">
        <f t="array" ref="Q188">INDEX('Booking Responses'!C:C,MATCH(1,('Booking Responses'!F:F=A188)*('Booking Responses'!D:D=P188),0))</f>
        <v>Phonox Residency August 2023</v>
      </c>
      <c r="R188" s="36">
        <f>COUNTIFS('Booking Responses'!F:F,"="&amp;A188,'Booking Responses'!E:E,"Small*")</f>
        <v>0</v>
      </c>
      <c r="S188" s="36">
        <f>COUNTIFS('Booking Responses'!F:F,"="&amp;A188,'Booking Responses'!E:E,"Medium*")</f>
        <v>1</v>
      </c>
      <c r="T188" s="36">
        <f>COUNTIFS('Booking Responses'!F:F,"="&amp;A188,'Booking Responses'!E:E,"Large*")</f>
        <v>0</v>
      </c>
      <c r="U188" s="37">
        <f t="shared" si="1"/>
        <v>2</v>
      </c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</row>
    <row r="189">
      <c r="A189" s="38">
        <v>394.0</v>
      </c>
      <c r="B189" s="39" t="s">
        <v>567</v>
      </c>
      <c r="C189" s="39"/>
      <c r="D189" s="38"/>
      <c r="E189" s="38"/>
      <c r="F189" s="38" t="s">
        <v>14</v>
      </c>
      <c r="G189" s="38"/>
      <c r="H189" s="38" t="s">
        <v>21</v>
      </c>
      <c r="I189" s="38"/>
      <c r="J189" s="38"/>
      <c r="K189" s="43"/>
      <c r="L189" s="43"/>
      <c r="M189" s="61"/>
      <c r="N189" s="61"/>
      <c r="O189" s="43"/>
      <c r="P189" s="44">
        <f t="array" ref="P189">MAX(IF($A189='Booking Responses'!F:F,'Booking Responses'!D:D))</f>
        <v>45163</v>
      </c>
      <c r="Q189" s="45" t="str">
        <f t="array" ref="Q189">INDEX('Booking Responses'!C:C,MATCH(1,('Booking Responses'!F:F=A189)*('Booking Responses'!D:D=P189),0))</f>
        <v>Phonox Residency August 2023</v>
      </c>
      <c r="R189" s="45">
        <f>COUNTIFS('Booking Responses'!F:F,"="&amp;A189,'Booking Responses'!E:E,"Small*")</f>
        <v>0</v>
      </c>
      <c r="S189" s="45">
        <f>COUNTIFS('Booking Responses'!F:F,"="&amp;A189,'Booking Responses'!E:E,"Medium*")</f>
        <v>1</v>
      </c>
      <c r="T189" s="45">
        <f>COUNTIFS('Booking Responses'!F:F,"="&amp;A189,'Booking Responses'!E:E,"Large*")</f>
        <v>0</v>
      </c>
      <c r="U189" s="42">
        <f t="shared" si="1"/>
        <v>2</v>
      </c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</row>
    <row r="190">
      <c r="A190" s="19">
        <v>395.0</v>
      </c>
      <c r="B190" s="21" t="s">
        <v>568</v>
      </c>
      <c r="C190" s="21"/>
      <c r="D190" s="19"/>
      <c r="E190" s="19"/>
      <c r="F190" s="19" t="s">
        <v>569</v>
      </c>
      <c r="G190" s="19" t="s">
        <v>570</v>
      </c>
      <c r="H190" s="19" t="s">
        <v>415</v>
      </c>
      <c r="I190" s="19"/>
      <c r="J190" s="19"/>
      <c r="K190" s="24"/>
      <c r="L190" s="24"/>
      <c r="M190" s="66"/>
      <c r="N190" s="66"/>
      <c r="O190" s="24"/>
      <c r="P190" s="35">
        <f t="array" ref="P190">MAX(IF($A190='Booking Responses'!F:F,'Booking Responses'!D:D))</f>
        <v>0</v>
      </c>
      <c r="Q190" s="36" t="str">
        <f t="array" ref="Q190">INDEX('Booking Responses'!C:C,MATCH(1,('Booking Responses'!F:F=A190)*('Booking Responses'!D:D=P190),0))</f>
        <v>#N/A</v>
      </c>
      <c r="R190" s="36">
        <f>COUNTIFS('Booking Responses'!F:F,"="&amp;A190,'Booking Responses'!E:E,"Small*")</f>
        <v>0</v>
      </c>
      <c r="S190" s="36">
        <f>COUNTIFS('Booking Responses'!F:F,"="&amp;A190,'Booking Responses'!E:E,"Medium*")</f>
        <v>0</v>
      </c>
      <c r="T190" s="36">
        <f>COUNTIFS('Booking Responses'!F:F,"="&amp;A190,'Booking Responses'!E:E,"Large*")</f>
        <v>0</v>
      </c>
      <c r="U190" s="37">
        <f t="shared" si="1"/>
        <v>0</v>
      </c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</row>
    <row r="191">
      <c r="A191" s="38">
        <v>396.0</v>
      </c>
      <c r="B191" s="39" t="s">
        <v>571</v>
      </c>
      <c r="C191" s="39"/>
      <c r="D191" s="38"/>
      <c r="E191" s="38"/>
      <c r="F191" s="38" t="s">
        <v>572</v>
      </c>
      <c r="G191" s="38" t="s">
        <v>570</v>
      </c>
      <c r="H191" s="38" t="s">
        <v>573</v>
      </c>
      <c r="I191" s="38"/>
      <c r="J191" s="38"/>
      <c r="K191" s="43"/>
      <c r="L191" s="43"/>
      <c r="M191" s="61"/>
      <c r="N191" s="61"/>
      <c r="O191" s="43"/>
      <c r="P191" s="44">
        <f t="array" ref="P191">MAX(IF($A191='Booking Responses'!F:F,'Booking Responses'!D:D))</f>
        <v>0</v>
      </c>
      <c r="Q191" s="45" t="str">
        <f t="array" ref="Q191">INDEX('Booking Responses'!C:C,MATCH(1,('Booking Responses'!F:F=A191)*('Booking Responses'!D:D=P191),0))</f>
        <v>#N/A</v>
      </c>
      <c r="R191" s="45">
        <f>COUNTIFS('Booking Responses'!F:F,"="&amp;A191,'Booking Responses'!E:E,"Small*")</f>
        <v>0</v>
      </c>
      <c r="S191" s="45">
        <f>COUNTIFS('Booking Responses'!F:F,"="&amp;A191,'Booking Responses'!E:E,"Medium*")</f>
        <v>0</v>
      </c>
      <c r="T191" s="45">
        <f>COUNTIFS('Booking Responses'!F:F,"="&amp;A191,'Booking Responses'!E:E,"Large*")</f>
        <v>0</v>
      </c>
      <c r="U191" s="42">
        <f t="shared" si="1"/>
        <v>0</v>
      </c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</row>
    <row r="192">
      <c r="A192" s="19">
        <v>397.0</v>
      </c>
      <c r="B192" s="21" t="s">
        <v>574</v>
      </c>
      <c r="C192" s="21"/>
      <c r="D192" s="19"/>
      <c r="E192" s="19"/>
      <c r="F192" s="19" t="s">
        <v>14</v>
      </c>
      <c r="G192" s="19"/>
      <c r="H192" s="19" t="s">
        <v>21</v>
      </c>
      <c r="I192" s="19" t="s">
        <v>575</v>
      </c>
      <c r="J192" s="19"/>
      <c r="K192" s="24"/>
      <c r="L192" s="24"/>
      <c r="M192" s="66"/>
      <c r="N192" s="66"/>
      <c r="O192" s="24"/>
      <c r="P192" s="35">
        <f t="array" ref="P192">MAX(IF($A192='Booking Responses'!F:F,'Booking Responses'!D:D))</f>
        <v>45273</v>
      </c>
      <c r="Q192" s="36" t="str">
        <f t="array" ref="Q192">INDEX('Booking Responses'!C:C,MATCH(1,('Booking Responses'!F:F=A192)*('Booking Responses'!D:D=P192),0))</f>
        <v>Skate Lates Somerset House Dec 2023</v>
      </c>
      <c r="R192" s="36">
        <f>COUNTIFS('Booking Responses'!F:F,"="&amp;A192,'Booking Responses'!E:E,"Small*")</f>
        <v>1</v>
      </c>
      <c r="S192" s="36">
        <f>COUNTIFS('Booking Responses'!F:F,"="&amp;A192,'Booking Responses'!E:E,"Medium*")</f>
        <v>0</v>
      </c>
      <c r="T192" s="36">
        <f>COUNTIFS('Booking Responses'!F:F,"="&amp;A192,'Booking Responses'!E:E,"Large*")</f>
        <v>0</v>
      </c>
      <c r="U192" s="37">
        <f t="shared" si="1"/>
        <v>1</v>
      </c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</row>
    <row r="193">
      <c r="A193" s="38">
        <v>398.0</v>
      </c>
      <c r="B193" s="39" t="s">
        <v>576</v>
      </c>
      <c r="C193" s="39"/>
      <c r="D193" s="38"/>
      <c r="E193" s="38"/>
      <c r="F193" s="38" t="s">
        <v>577</v>
      </c>
      <c r="G193" s="38"/>
      <c r="H193" s="38" t="s">
        <v>21</v>
      </c>
      <c r="I193" s="38" t="s">
        <v>578</v>
      </c>
      <c r="J193" s="38"/>
      <c r="K193" s="43"/>
      <c r="L193" s="43"/>
      <c r="M193" s="61"/>
      <c r="N193" s="61"/>
      <c r="O193" s="43"/>
      <c r="P193" s="44">
        <f t="array" ref="P193">MAX(IF($A193='Booking Responses'!F:F,'Booking Responses'!D:D))</f>
        <v>45273</v>
      </c>
      <c r="Q193" s="45" t="str">
        <f t="array" ref="Q193">INDEX('Booking Responses'!C:C,MATCH(1,('Booking Responses'!F:F=A193)*('Booking Responses'!D:D=P193),0))</f>
        <v>Skate Lates Somerset House Dec 2023</v>
      </c>
      <c r="R193" s="45">
        <f>COUNTIFS('Booking Responses'!F:F,"="&amp;A193,'Booking Responses'!E:E,"Small*")</f>
        <v>1</v>
      </c>
      <c r="S193" s="45">
        <f>COUNTIFS('Booking Responses'!F:F,"="&amp;A193,'Booking Responses'!E:E,"Medium*")</f>
        <v>0</v>
      </c>
      <c r="T193" s="45">
        <f>COUNTIFS('Booking Responses'!F:F,"="&amp;A193,'Booking Responses'!E:E,"Large*")</f>
        <v>0</v>
      </c>
      <c r="U193" s="42">
        <f t="shared" si="1"/>
        <v>1</v>
      </c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</row>
    <row r="194">
      <c r="A194" s="19">
        <v>399.0</v>
      </c>
      <c r="B194" s="70" t="s">
        <v>579</v>
      </c>
      <c r="C194" s="21" t="s">
        <v>580</v>
      </c>
      <c r="D194" s="19"/>
      <c r="E194" s="19"/>
      <c r="F194" s="19" t="s">
        <v>14</v>
      </c>
      <c r="G194" s="19"/>
      <c r="H194" s="19" t="s">
        <v>21</v>
      </c>
      <c r="I194" s="19"/>
      <c r="J194" s="19"/>
      <c r="K194" s="24"/>
      <c r="L194" s="24"/>
      <c r="M194" s="66"/>
      <c r="N194" s="66"/>
      <c r="O194" s="24"/>
      <c r="P194" s="35">
        <f t="array" ref="P194">MAX(IF($A194='Booking Responses'!F:F,'Booking Responses'!D:D))</f>
        <v>0</v>
      </c>
      <c r="Q194" s="36" t="str">
        <f t="array" ref="Q194">INDEX('Booking Responses'!C:C,MATCH(1,('Booking Responses'!F:F=A194)*('Booking Responses'!D:D=P194),0))</f>
        <v>#N/A</v>
      </c>
      <c r="R194" s="36">
        <f>COUNTIFS('Booking Responses'!F:F,"="&amp;A194,'Booking Responses'!E:E,"Small*")</f>
        <v>0</v>
      </c>
      <c r="S194" s="36">
        <f>COUNTIFS('Booking Responses'!F:F,"="&amp;A194,'Booking Responses'!E:E,"Medium*")</f>
        <v>0</v>
      </c>
      <c r="T194" s="36">
        <f>COUNTIFS('Booking Responses'!F:F,"="&amp;A194,'Booking Responses'!E:E,"Large*")</f>
        <v>0</v>
      </c>
      <c r="U194" s="37">
        <f t="shared" si="1"/>
        <v>0</v>
      </c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</row>
    <row r="195">
      <c r="A195" s="38">
        <v>400.0</v>
      </c>
      <c r="B195" s="71" t="s">
        <v>581</v>
      </c>
      <c r="C195" s="39"/>
      <c r="D195" s="38"/>
      <c r="E195" s="38"/>
      <c r="F195" s="38" t="s">
        <v>336</v>
      </c>
      <c r="G195" s="38"/>
      <c r="H195" s="38" t="s">
        <v>415</v>
      </c>
      <c r="I195" s="38"/>
      <c r="J195" s="38"/>
      <c r="K195" s="43"/>
      <c r="L195" s="43"/>
      <c r="M195" s="61"/>
      <c r="N195" s="61"/>
      <c r="O195" s="43"/>
      <c r="P195" s="44">
        <f t="array" ref="P195">MAX(IF($A195='Booking Responses'!F:F,'Booking Responses'!D:D))</f>
        <v>45209</v>
      </c>
      <c r="Q195" s="45" t="str">
        <f t="array" ref="Q195">INDEX('Booking Responses'!C:C,MATCH(1,('Booking Responses'!F:F=A195)*('Booking Responses'!D:D=P195),0))</f>
        <v>The World Transformed 2023</v>
      </c>
      <c r="R195" s="45">
        <f>COUNTIFS('Booking Responses'!F:F,"="&amp;A195,'Booking Responses'!E:E,"Small*")</f>
        <v>1</v>
      </c>
      <c r="S195" s="45">
        <f>COUNTIFS('Booking Responses'!F:F,"="&amp;A195,'Booking Responses'!E:E,"Medium*")</f>
        <v>0</v>
      </c>
      <c r="T195" s="45">
        <f>COUNTIFS('Booking Responses'!F:F,"="&amp;A195,'Booking Responses'!E:E,"Large*")</f>
        <v>0</v>
      </c>
      <c r="U195" s="42">
        <f t="shared" si="1"/>
        <v>1</v>
      </c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</row>
    <row r="196">
      <c r="A196" s="19">
        <v>401.0</v>
      </c>
      <c r="B196" s="72" t="s">
        <v>582</v>
      </c>
      <c r="C196" s="21"/>
      <c r="D196" s="19"/>
      <c r="E196" s="19"/>
      <c r="F196" s="19" t="s">
        <v>583</v>
      </c>
      <c r="G196" s="19"/>
      <c r="H196" s="19" t="s">
        <v>21</v>
      </c>
      <c r="I196" s="19"/>
      <c r="J196" s="19"/>
      <c r="K196" s="24"/>
      <c r="L196" s="24"/>
      <c r="M196" s="66"/>
      <c r="N196" s="66"/>
      <c r="O196" s="24"/>
      <c r="P196" s="35">
        <f t="array" ref="P196">MAX(IF($A196='Booking Responses'!F:F,'Booking Responses'!D:D))</f>
        <v>45262</v>
      </c>
      <c r="Q196" s="36" t="str">
        <f t="array" ref="Q196">INDEX('Booking Responses'!C:C,MATCH(1,('Booking Responses'!F:F=A196)*('Booking Responses'!D:D=P196),0))</f>
        <v>Earth Hackney Dec 2023</v>
      </c>
      <c r="R196" s="36">
        <f>COUNTIFS('Booking Responses'!F:F,"="&amp;A196,'Booking Responses'!E:E,"Small*")</f>
        <v>0</v>
      </c>
      <c r="S196" s="36">
        <f>COUNTIFS('Booking Responses'!F:F,"="&amp;A196,'Booking Responses'!E:E,"Medium*")</f>
        <v>1</v>
      </c>
      <c r="T196" s="36">
        <f>COUNTIFS('Booking Responses'!F:F,"="&amp;A196,'Booking Responses'!E:E,"Large*")</f>
        <v>0</v>
      </c>
      <c r="U196" s="37">
        <f t="shared" si="1"/>
        <v>2</v>
      </c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</row>
    <row r="197">
      <c r="A197" s="38">
        <v>402.0</v>
      </c>
      <c r="B197" s="71" t="s">
        <v>584</v>
      </c>
      <c r="C197" s="39"/>
      <c r="D197" s="38"/>
      <c r="E197" s="38"/>
      <c r="F197" s="38" t="s">
        <v>14</v>
      </c>
      <c r="G197" s="38"/>
      <c r="H197" s="38" t="s">
        <v>585</v>
      </c>
      <c r="I197" s="38"/>
      <c r="J197" s="38"/>
      <c r="K197" s="43"/>
      <c r="L197" s="43"/>
      <c r="M197" s="61"/>
      <c r="N197" s="61"/>
      <c r="O197" s="43"/>
      <c r="P197" s="44">
        <f t="array" ref="P197">MAX(IF($A197='Booking Responses'!F:F,'Booking Responses'!D:D))</f>
        <v>45262</v>
      </c>
      <c r="Q197" s="45" t="str">
        <f t="array" ref="Q197">INDEX('Booking Responses'!C:C,MATCH(1,('Booking Responses'!F:F=A197)*('Booking Responses'!D:D=P197),0))</f>
        <v>Earth Hackney Dec 2023</v>
      </c>
      <c r="R197" s="45">
        <f>COUNTIFS('Booking Responses'!F:F,"="&amp;A197,'Booking Responses'!E:E,"Small*")</f>
        <v>0</v>
      </c>
      <c r="S197" s="45">
        <f>COUNTIFS('Booking Responses'!F:F,"="&amp;A197,'Booking Responses'!E:E,"Medium*")</f>
        <v>1</v>
      </c>
      <c r="T197" s="45">
        <f>COUNTIFS('Booking Responses'!F:F,"="&amp;A197,'Booking Responses'!E:E,"Large*")</f>
        <v>0</v>
      </c>
      <c r="U197" s="42">
        <f t="shared" si="1"/>
        <v>2</v>
      </c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</row>
    <row r="198">
      <c r="A198" s="19">
        <v>403.0</v>
      </c>
      <c r="B198" s="72" t="s">
        <v>586</v>
      </c>
      <c r="C198" s="21"/>
      <c r="D198" s="19"/>
      <c r="E198" s="19"/>
      <c r="F198" s="19" t="s">
        <v>14</v>
      </c>
      <c r="G198" s="19"/>
      <c r="H198" s="19" t="s">
        <v>21</v>
      </c>
      <c r="I198" s="19"/>
      <c r="J198" s="19"/>
      <c r="K198" s="24"/>
      <c r="L198" s="24"/>
      <c r="M198" s="66"/>
      <c r="N198" s="66"/>
      <c r="O198" s="24"/>
      <c r="P198" s="35">
        <f t="array" ref="P198">MAX(IF($A198='Booking Responses'!F:F,'Booking Responses'!D:D))</f>
        <v>45262</v>
      </c>
      <c r="Q198" s="36" t="str">
        <f t="array" ref="Q198">INDEX('Booking Responses'!C:C,MATCH(1,('Booking Responses'!F:F=A198)*('Booking Responses'!D:D=P198),0))</f>
        <v>Earth Hackney December 2023</v>
      </c>
      <c r="R198" s="36">
        <f>COUNTIFS('Booking Responses'!F:F,"="&amp;A198,'Booking Responses'!E:E,"Small*")</f>
        <v>0</v>
      </c>
      <c r="S198" s="36">
        <f>COUNTIFS('Booking Responses'!F:F,"="&amp;A198,'Booking Responses'!E:E,"Medium*")</f>
        <v>1</v>
      </c>
      <c r="T198" s="36">
        <f>COUNTIFS('Booking Responses'!F:F,"="&amp;A198,'Booking Responses'!E:E,"Large*")</f>
        <v>0</v>
      </c>
      <c r="U198" s="37">
        <f t="shared" si="1"/>
        <v>2</v>
      </c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</row>
    <row r="199">
      <c r="A199" s="38">
        <v>404.0</v>
      </c>
      <c r="B199" s="73" t="s">
        <v>587</v>
      </c>
      <c r="C199" s="39"/>
      <c r="D199" s="38"/>
      <c r="E199" s="38"/>
      <c r="F199" s="38" t="s">
        <v>14</v>
      </c>
      <c r="G199" s="38"/>
      <c r="H199" s="38" t="s">
        <v>21</v>
      </c>
      <c r="I199" s="38"/>
      <c r="J199" s="38"/>
      <c r="K199" s="43"/>
      <c r="L199" s="43"/>
      <c r="M199" s="61"/>
      <c r="N199" s="61"/>
      <c r="O199" s="43"/>
      <c r="P199" s="44">
        <f t="array" ref="P199">MAX(IF($A199='Booking Responses'!F:F,'Booking Responses'!D:D))</f>
        <v>45262</v>
      </c>
      <c r="Q199" s="45" t="str">
        <f t="array" ref="Q199">INDEX('Booking Responses'!C:C,MATCH(1,('Booking Responses'!F:F=A199)*('Booking Responses'!D:D=P199),0))</f>
        <v>Earth Hackney Dec 2023</v>
      </c>
      <c r="R199" s="45">
        <f>COUNTIFS('Booking Responses'!F:F,"="&amp;A199,'Booking Responses'!E:E,"Small*")</f>
        <v>0</v>
      </c>
      <c r="S199" s="45">
        <f>COUNTIFS('Booking Responses'!F:F,"="&amp;A199,'Booking Responses'!E:E,"Medium*")</f>
        <v>1</v>
      </c>
      <c r="T199" s="45">
        <f>COUNTIFS('Booking Responses'!F:F,"="&amp;A199,'Booking Responses'!E:E,"Large*")</f>
        <v>0</v>
      </c>
      <c r="U199" s="42">
        <f t="shared" si="1"/>
        <v>2</v>
      </c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</row>
    <row r="200">
      <c r="A200" s="19">
        <v>405.0</v>
      </c>
      <c r="B200" s="74" t="s">
        <v>588</v>
      </c>
      <c r="C200" s="21"/>
      <c r="D200" s="19"/>
      <c r="E200" s="19"/>
      <c r="F200" s="19" t="s">
        <v>14</v>
      </c>
      <c r="G200" s="19"/>
      <c r="H200" s="19" t="s">
        <v>21</v>
      </c>
      <c r="I200" s="19"/>
      <c r="J200" s="19"/>
      <c r="K200" s="24"/>
      <c r="L200" s="24"/>
      <c r="M200" s="66"/>
      <c r="N200" s="66"/>
      <c r="O200" s="24"/>
      <c r="P200" s="35">
        <f t="array" ref="P200">MAX(IF($A200='Booking Responses'!F:F,'Booking Responses'!D:D))</f>
        <v>45262</v>
      </c>
      <c r="Q200" s="36" t="str">
        <f t="array" ref="Q200">INDEX('Booking Responses'!C:C,MATCH(1,('Booking Responses'!F:F=A200)*('Booking Responses'!D:D=P200),0))</f>
        <v>Earth Hackney Dec 2023</v>
      </c>
      <c r="R200" s="36">
        <f>COUNTIFS('Booking Responses'!F:F,"="&amp;A200,'Booking Responses'!E:E,"Small*")</f>
        <v>0</v>
      </c>
      <c r="S200" s="36">
        <f>COUNTIFS('Booking Responses'!F:F,"="&amp;A200,'Booking Responses'!E:E,"Medium*")</f>
        <v>1</v>
      </c>
      <c r="T200" s="36">
        <f>COUNTIFS('Booking Responses'!F:F,"="&amp;A200,'Booking Responses'!E:E,"Large*")</f>
        <v>0</v>
      </c>
      <c r="U200" s="37">
        <f t="shared" si="1"/>
        <v>2</v>
      </c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</row>
    <row r="201">
      <c r="A201" s="38">
        <v>406.0</v>
      </c>
      <c r="B201" s="73" t="s">
        <v>589</v>
      </c>
      <c r="C201" s="39" t="s">
        <v>590</v>
      </c>
      <c r="D201" s="38" t="s">
        <v>591</v>
      </c>
      <c r="E201" s="38"/>
      <c r="F201" s="38" t="s">
        <v>592</v>
      </c>
      <c r="G201" s="38" t="s">
        <v>570</v>
      </c>
      <c r="H201" s="38" t="s">
        <v>593</v>
      </c>
      <c r="I201" s="38"/>
      <c r="J201" s="38"/>
      <c r="K201" s="46" t="s">
        <v>594</v>
      </c>
      <c r="L201" s="46" t="s">
        <v>595</v>
      </c>
      <c r="M201" s="61"/>
      <c r="N201" s="61"/>
      <c r="O201" s="43"/>
      <c r="P201" s="44">
        <f t="array" ref="P201">MAX(IF($A201='Booking Responses'!F:F,'Booking Responses'!D:D))</f>
        <v>0</v>
      </c>
      <c r="Q201" s="45" t="str">
        <f t="array" ref="Q201">INDEX('Booking Responses'!C:C,MATCH(1,('Booking Responses'!F:F=A201)*('Booking Responses'!D:D=P201),0))</f>
        <v>#N/A</v>
      </c>
      <c r="R201" s="45">
        <f>COUNTIFS('Booking Responses'!F:F,"="&amp;A201,'Booking Responses'!E:E,"Small*")</f>
        <v>0</v>
      </c>
      <c r="S201" s="45">
        <f>COUNTIFS('Booking Responses'!F:F,"="&amp;A201,'Booking Responses'!E:E,"Medium*")</f>
        <v>0</v>
      </c>
      <c r="T201" s="45">
        <f>COUNTIFS('Booking Responses'!F:F,"="&amp;A201,'Booking Responses'!E:E,"Large*")</f>
        <v>0</v>
      </c>
      <c r="U201" s="42">
        <f t="shared" si="1"/>
        <v>0</v>
      </c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</row>
    <row r="202">
      <c r="A202" s="19">
        <v>407.0</v>
      </c>
      <c r="B202" s="74" t="s">
        <v>596</v>
      </c>
      <c r="C202" s="21"/>
      <c r="D202" s="19"/>
      <c r="E202" s="19"/>
      <c r="F202" s="19" t="s">
        <v>597</v>
      </c>
      <c r="G202" s="19" t="s">
        <v>570</v>
      </c>
      <c r="H202" s="19" t="s">
        <v>598</v>
      </c>
      <c r="I202" s="19"/>
      <c r="J202" s="19"/>
      <c r="K202" s="25" t="s">
        <v>599</v>
      </c>
      <c r="L202" s="25" t="s">
        <v>600</v>
      </c>
      <c r="M202" s="66"/>
      <c r="N202" s="66"/>
      <c r="O202" s="24"/>
      <c r="P202" s="35">
        <f t="array" ref="P202">MAX(IF($A202='Booking Responses'!F:F,'Booking Responses'!D:D))</f>
        <v>0</v>
      </c>
      <c r="Q202" s="36" t="str">
        <f t="array" ref="Q202">INDEX('Booking Responses'!C:C,MATCH(1,('Booking Responses'!F:F=A202)*('Booking Responses'!D:D=P202),0))</f>
        <v>#N/A</v>
      </c>
      <c r="R202" s="36">
        <f>COUNTIFS('Booking Responses'!F:F,"="&amp;A202,'Booking Responses'!E:E,"Small*")</f>
        <v>0</v>
      </c>
      <c r="S202" s="36">
        <f>COUNTIFS('Booking Responses'!F:F,"="&amp;A202,'Booking Responses'!E:E,"Medium*")</f>
        <v>0</v>
      </c>
      <c r="T202" s="36">
        <f>COUNTIFS('Booking Responses'!F:F,"="&amp;A202,'Booking Responses'!E:E,"Large*")</f>
        <v>0</v>
      </c>
      <c r="U202" s="37">
        <f t="shared" si="1"/>
        <v>0</v>
      </c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</row>
    <row r="203">
      <c r="A203" s="38">
        <v>408.0</v>
      </c>
      <c r="B203" s="73" t="s">
        <v>601</v>
      </c>
      <c r="C203" s="39"/>
      <c r="D203" s="38"/>
      <c r="E203" s="38"/>
      <c r="F203" s="38" t="s">
        <v>602</v>
      </c>
      <c r="G203" s="38" t="s">
        <v>570</v>
      </c>
      <c r="H203" s="38" t="s">
        <v>598</v>
      </c>
      <c r="I203" s="38" t="s">
        <v>603</v>
      </c>
      <c r="J203" s="38"/>
      <c r="K203" s="46" t="s">
        <v>604</v>
      </c>
      <c r="L203" s="43"/>
      <c r="M203" s="61"/>
      <c r="N203" s="61"/>
      <c r="O203" s="46" t="s">
        <v>605</v>
      </c>
      <c r="P203" s="44">
        <f t="array" ref="P203">MAX(IF($A203='Booking Responses'!F:F,'Booking Responses'!D:D))</f>
        <v>0</v>
      </c>
      <c r="Q203" s="45" t="str">
        <f t="array" ref="Q203">INDEX('Booking Responses'!C:C,MATCH(1,('Booking Responses'!F:F=A203)*('Booking Responses'!D:D=P203),0))</f>
        <v>#N/A</v>
      </c>
      <c r="R203" s="45">
        <f>COUNTIFS('Booking Responses'!F:F,"="&amp;A203,'Booking Responses'!E:E,"Small*")</f>
        <v>0</v>
      </c>
      <c r="S203" s="45">
        <f>COUNTIFS('Booking Responses'!F:F,"="&amp;A203,'Booking Responses'!E:E,"Medium*")</f>
        <v>0</v>
      </c>
      <c r="T203" s="45">
        <f>COUNTIFS('Booking Responses'!F:F,"="&amp;A203,'Booking Responses'!E:E,"Large*")</f>
        <v>0</v>
      </c>
      <c r="U203" s="42">
        <f t="shared" si="1"/>
        <v>0</v>
      </c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</row>
    <row r="204">
      <c r="A204" s="19">
        <v>409.0</v>
      </c>
      <c r="B204" s="74" t="s">
        <v>606</v>
      </c>
      <c r="C204" s="21"/>
      <c r="D204" s="19"/>
      <c r="E204" s="19"/>
      <c r="F204" s="19" t="s">
        <v>14</v>
      </c>
      <c r="G204" s="19"/>
      <c r="H204" s="19" t="s">
        <v>21</v>
      </c>
      <c r="I204" s="19"/>
      <c r="J204" s="19"/>
      <c r="K204" s="25" t="s">
        <v>607</v>
      </c>
      <c r="L204" s="24"/>
      <c r="M204" s="66"/>
      <c r="N204" s="66"/>
      <c r="O204" s="24"/>
      <c r="P204" s="35">
        <f t="array" ref="P204">MAX(IF($A204='Booking Responses'!F:F,'Booking Responses'!D:D))</f>
        <v>0</v>
      </c>
      <c r="Q204" s="36" t="str">
        <f t="array" ref="Q204">INDEX('Booking Responses'!C:C,MATCH(1,('Booking Responses'!F:F=A204)*('Booking Responses'!D:D=P204),0))</f>
        <v>#N/A</v>
      </c>
      <c r="R204" s="36">
        <f>COUNTIFS('Booking Responses'!F:F,"="&amp;A204,'Booking Responses'!E:E,"Small*")</f>
        <v>0</v>
      </c>
      <c r="S204" s="36">
        <f>COUNTIFS('Booking Responses'!F:F,"="&amp;A204,'Booking Responses'!E:E,"Medium*")</f>
        <v>0</v>
      </c>
      <c r="T204" s="36">
        <f>COUNTIFS('Booking Responses'!F:F,"="&amp;A204,'Booking Responses'!E:E,"Large*")</f>
        <v>0</v>
      </c>
      <c r="U204" s="37">
        <f t="shared" si="1"/>
        <v>0</v>
      </c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</row>
    <row r="205">
      <c r="A205" s="38">
        <v>410.0</v>
      </c>
      <c r="B205" s="73" t="s">
        <v>608</v>
      </c>
      <c r="C205" s="39"/>
      <c r="D205" s="38"/>
      <c r="E205" s="38"/>
      <c r="F205" s="38" t="s">
        <v>557</v>
      </c>
      <c r="G205" s="38" t="s">
        <v>570</v>
      </c>
      <c r="H205" s="38" t="s">
        <v>598</v>
      </c>
      <c r="I205" s="38"/>
      <c r="J205" s="38"/>
      <c r="K205" s="46" t="s">
        <v>609</v>
      </c>
      <c r="L205" s="43"/>
      <c r="M205" s="61"/>
      <c r="N205" s="61"/>
      <c r="O205" s="43"/>
      <c r="P205" s="44">
        <f t="array" ref="P205">MAX(IF($A205='Booking Responses'!F:F,'Booking Responses'!D:D))</f>
        <v>0</v>
      </c>
      <c r="Q205" s="45" t="str">
        <f t="array" ref="Q205">INDEX('Booking Responses'!C:C,MATCH(1,('Booking Responses'!F:F=A205)*('Booking Responses'!D:D=P205),0))</f>
        <v>#N/A</v>
      </c>
      <c r="R205" s="45">
        <f>COUNTIFS('Booking Responses'!F:F,"="&amp;A205,'Booking Responses'!E:E,"Small*")</f>
        <v>0</v>
      </c>
      <c r="S205" s="45">
        <f>COUNTIFS('Booking Responses'!F:F,"="&amp;A205,'Booking Responses'!E:E,"Medium*")</f>
        <v>0</v>
      </c>
      <c r="T205" s="45">
        <f>COUNTIFS('Booking Responses'!F:F,"="&amp;A205,'Booking Responses'!E:E,"Large*")</f>
        <v>0</v>
      </c>
      <c r="U205" s="42">
        <f t="shared" si="1"/>
        <v>0</v>
      </c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</row>
    <row r="206">
      <c r="A206" s="19">
        <v>411.0</v>
      </c>
      <c r="B206" s="21" t="s">
        <v>610</v>
      </c>
      <c r="C206" s="21"/>
      <c r="D206" s="19"/>
      <c r="E206" s="19"/>
      <c r="F206" s="19" t="s">
        <v>14</v>
      </c>
      <c r="G206" s="19"/>
      <c r="H206" s="19" t="s">
        <v>21</v>
      </c>
      <c r="I206" s="19" t="s">
        <v>611</v>
      </c>
      <c r="J206" s="19" t="s">
        <v>612</v>
      </c>
      <c r="K206" s="25" t="s">
        <v>613</v>
      </c>
      <c r="L206" s="25" t="s">
        <v>614</v>
      </c>
      <c r="M206" s="68" t="s">
        <v>615</v>
      </c>
      <c r="N206" s="66"/>
      <c r="O206" s="24"/>
      <c r="P206" s="35">
        <f t="array" ref="P206">MAX(IF($A206='Booking Responses'!F:F,'Booking Responses'!D:D))</f>
        <v>45630</v>
      </c>
      <c r="Q206" s="36" t="str">
        <f t="array" ref="Q206">INDEX('Booking Responses'!C:C,MATCH(1,('Booking Responses'!F:F=A206)*('Booking Responses'!D:D=P206),0))</f>
        <v>Jazz Cafe </v>
      </c>
      <c r="R206" s="36">
        <f>COUNTIFS('Booking Responses'!F:F,"="&amp;A206,'Booking Responses'!E:E,"Small*")</f>
        <v>0</v>
      </c>
      <c r="S206" s="36">
        <f>COUNTIFS('Booking Responses'!F:F,"="&amp;A206,'Booking Responses'!E:E,"Medium*")</f>
        <v>2</v>
      </c>
      <c r="T206" s="36">
        <f>COUNTIFS('Booking Responses'!F:F,"="&amp;A206,'Booking Responses'!E:E,"Large*")</f>
        <v>0</v>
      </c>
      <c r="U206" s="37">
        <f t="shared" si="1"/>
        <v>4</v>
      </c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</row>
    <row r="207">
      <c r="A207" s="38">
        <v>412.0</v>
      </c>
      <c r="B207" s="39" t="s">
        <v>616</v>
      </c>
      <c r="C207" s="39"/>
      <c r="D207" s="38"/>
      <c r="E207" s="38"/>
      <c r="F207" s="38" t="s">
        <v>617</v>
      </c>
      <c r="G207" s="38"/>
      <c r="H207" s="38" t="s">
        <v>21</v>
      </c>
      <c r="I207" s="38" t="s">
        <v>618</v>
      </c>
      <c r="J207" s="38"/>
      <c r="K207" s="75" t="s">
        <v>619</v>
      </c>
      <c r="L207" s="75" t="s">
        <v>620</v>
      </c>
      <c r="M207" s="61"/>
      <c r="N207" s="61"/>
      <c r="O207" s="43"/>
      <c r="P207" s="44">
        <f t="array" ref="P207">MAX(IF($A207='Booking Responses'!F:F,'Booking Responses'!D:D))</f>
        <v>0</v>
      </c>
      <c r="Q207" s="45" t="str">
        <f t="array" ref="Q207">INDEX('Booking Responses'!C:C,MATCH(1,('Booking Responses'!F:F=A207)*('Booking Responses'!D:D=P207),0))</f>
        <v>#N/A</v>
      </c>
      <c r="R207" s="45">
        <f>COUNTIFS('Booking Responses'!F:F,"="&amp;A207,'Booking Responses'!E:E,"Small*")</f>
        <v>0</v>
      </c>
      <c r="S207" s="45">
        <f>COUNTIFS('Booking Responses'!F:F,"="&amp;A207,'Booking Responses'!E:E,"Medium*")</f>
        <v>0</v>
      </c>
      <c r="T207" s="45">
        <f>COUNTIFS('Booking Responses'!F:F,"="&amp;A207,'Booking Responses'!E:E,"Large*")</f>
        <v>0</v>
      </c>
      <c r="U207" s="42">
        <f t="shared" si="1"/>
        <v>0</v>
      </c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</row>
    <row r="208">
      <c r="A208" s="19">
        <v>413.0</v>
      </c>
      <c r="B208" s="21" t="s">
        <v>621</v>
      </c>
      <c r="C208" s="21"/>
      <c r="D208" s="19"/>
      <c r="E208" s="19"/>
      <c r="F208" s="19"/>
      <c r="G208" s="19"/>
      <c r="H208" s="19" t="s">
        <v>21</v>
      </c>
      <c r="I208" s="19"/>
      <c r="J208" s="19"/>
      <c r="K208" s="67" t="s">
        <v>622</v>
      </c>
      <c r="L208" s="24"/>
      <c r="M208" s="66"/>
      <c r="N208" s="66"/>
      <c r="O208" s="24"/>
      <c r="P208" s="35">
        <f t="array" ref="P208">MAX(IF($A208='Booking Responses'!F:F,'Booking Responses'!D:D))</f>
        <v>0</v>
      </c>
      <c r="Q208" s="36" t="str">
        <f t="array" ref="Q208">INDEX('Booking Responses'!C:C,MATCH(1,('Booking Responses'!F:F=A208)*('Booking Responses'!D:D=P208),0))</f>
        <v>#N/A</v>
      </c>
      <c r="R208" s="36">
        <f>COUNTIFS('Booking Responses'!F:F,"="&amp;A208,'Booking Responses'!E:E,"Small*")</f>
        <v>0</v>
      </c>
      <c r="S208" s="36">
        <f>COUNTIFS('Booking Responses'!F:F,"="&amp;A208,'Booking Responses'!E:E,"Medium*")</f>
        <v>0</v>
      </c>
      <c r="T208" s="36">
        <f>COUNTIFS('Booking Responses'!F:F,"="&amp;A208,'Booking Responses'!E:E,"Large*")</f>
        <v>0</v>
      </c>
      <c r="U208" s="37">
        <f t="shared" si="1"/>
        <v>0</v>
      </c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>
      <c r="A209" s="38">
        <v>414.0</v>
      </c>
      <c r="B209" s="39" t="s">
        <v>623</v>
      </c>
      <c r="C209" s="39"/>
      <c r="D209" s="38"/>
      <c r="E209" s="38"/>
      <c r="F209" s="38"/>
      <c r="G209" s="38"/>
      <c r="H209" s="38"/>
      <c r="I209" s="38"/>
      <c r="J209" s="38"/>
      <c r="K209" s="43"/>
      <c r="L209" s="43"/>
      <c r="M209" s="61"/>
      <c r="N209" s="61"/>
      <c r="O209" s="43"/>
      <c r="P209" s="44">
        <f t="array" ref="P209">MAX(IF($A209='Booking Responses'!F:F,'Booking Responses'!D:D))</f>
        <v>45395</v>
      </c>
      <c r="Q209" s="45" t="str">
        <f t="array" ref="Q209">INDEX('Booking Responses'!C:C,MATCH(1,('Booking Responses'!F:F=A209)*('Booking Responses'!D:D=P209),0))</f>
        <v>DAYTIMERS BERLIN</v>
      </c>
      <c r="R209" s="45">
        <f>COUNTIFS('Booking Responses'!F:F,"="&amp;A209,'Booking Responses'!E:E,"Small*")</f>
        <v>0</v>
      </c>
      <c r="S209" s="45">
        <f>COUNTIFS('Booking Responses'!F:F,"="&amp;A209,'Booking Responses'!E:E,"Medium*")</f>
        <v>1</v>
      </c>
      <c r="T209" s="45">
        <f>COUNTIFS('Booking Responses'!F:F,"="&amp;A209,'Booking Responses'!E:E,"Large*")</f>
        <v>0</v>
      </c>
      <c r="U209" s="42">
        <f t="shared" si="1"/>
        <v>2</v>
      </c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</row>
    <row r="210">
      <c r="A210" s="19">
        <v>415.0</v>
      </c>
      <c r="B210" s="21" t="s">
        <v>624</v>
      </c>
      <c r="C210" s="21"/>
      <c r="D210" s="19"/>
      <c r="E210" s="19"/>
      <c r="F210" s="19"/>
      <c r="G210" s="19"/>
      <c r="H210" s="19"/>
      <c r="I210" s="19"/>
      <c r="J210" s="19"/>
      <c r="K210" s="24"/>
      <c r="L210" s="24"/>
      <c r="M210" s="66"/>
      <c r="N210" s="66"/>
      <c r="O210" s="24"/>
      <c r="P210" s="35">
        <f t="array" ref="P210">MAX(IF($A210='Booking Responses'!F:F,'Booking Responses'!D:D))</f>
        <v>45395</v>
      </c>
      <c r="Q210" s="36" t="str">
        <f t="array" ref="Q210">INDEX('Booking Responses'!C:C,MATCH(1,('Booking Responses'!F:F=A210)*('Booking Responses'!D:D=P210),0))</f>
        <v>DAYTIMERS BERLIN</v>
      </c>
      <c r="R210" s="36">
        <f>COUNTIFS('Booking Responses'!F:F,"="&amp;A210,'Booking Responses'!E:E,"Small*")</f>
        <v>0</v>
      </c>
      <c r="S210" s="36">
        <f>COUNTIFS('Booking Responses'!F:F,"="&amp;A210,'Booking Responses'!E:E,"Medium*")</f>
        <v>1</v>
      </c>
      <c r="T210" s="36">
        <f>COUNTIFS('Booking Responses'!F:F,"="&amp;A210,'Booking Responses'!E:E,"Large*")</f>
        <v>0</v>
      </c>
      <c r="U210" s="37">
        <f t="shared" si="1"/>
        <v>2</v>
      </c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>
      <c r="A211" s="38">
        <v>416.0</v>
      </c>
      <c r="B211" s="39" t="s">
        <v>625</v>
      </c>
      <c r="C211" s="39"/>
      <c r="D211" s="38"/>
      <c r="E211" s="38"/>
      <c r="F211" s="38"/>
      <c r="G211" s="38"/>
      <c r="H211" s="38"/>
      <c r="I211" s="38"/>
      <c r="J211" s="38"/>
      <c r="K211" s="43"/>
      <c r="L211" s="43"/>
      <c r="M211" s="61"/>
      <c r="N211" s="61"/>
      <c r="O211" s="43"/>
      <c r="P211" s="44">
        <f t="array" ref="P211">MAX(IF($A211='Booking Responses'!F:F,'Booking Responses'!D:D))</f>
        <v>45395</v>
      </c>
      <c r="Q211" s="45" t="str">
        <f t="array" ref="Q211">INDEX('Booking Responses'!C:C,MATCH(1,('Booking Responses'!F:F=A211)*('Booking Responses'!D:D=P211),0))</f>
        <v>DAYTIMERS BERLIN</v>
      </c>
      <c r="R211" s="45">
        <f>COUNTIFS('Booking Responses'!F:F,"="&amp;A211,'Booking Responses'!E:E,"Small*")</f>
        <v>0</v>
      </c>
      <c r="S211" s="45">
        <f>COUNTIFS('Booking Responses'!F:F,"="&amp;A211,'Booking Responses'!E:E,"Medium*")</f>
        <v>1</v>
      </c>
      <c r="T211" s="45">
        <f>COUNTIFS('Booking Responses'!F:F,"="&amp;A211,'Booking Responses'!E:E,"Large*")</f>
        <v>0</v>
      </c>
      <c r="U211" s="42">
        <f t="shared" si="1"/>
        <v>2</v>
      </c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</row>
    <row r="212">
      <c r="A212" s="19">
        <v>417.0</v>
      </c>
      <c r="B212" s="21" t="s">
        <v>626</v>
      </c>
      <c r="C212" s="21"/>
      <c r="D212" s="19"/>
      <c r="E212" s="19"/>
      <c r="F212" s="19"/>
      <c r="G212" s="19"/>
      <c r="H212" s="19" t="s">
        <v>21</v>
      </c>
      <c r="I212" s="19" t="s">
        <v>627</v>
      </c>
      <c r="J212" s="19"/>
      <c r="K212" s="24"/>
      <c r="L212" s="24"/>
      <c r="M212" s="66"/>
      <c r="N212" s="66"/>
      <c r="O212" s="24"/>
      <c r="P212" s="35">
        <f t="array" ref="P212">MAX(IF($A212='Booking Responses'!F:F,'Booking Responses'!D:D))</f>
        <v>0</v>
      </c>
      <c r="Q212" s="36" t="str">
        <f t="array" ref="Q212">INDEX('Booking Responses'!C:C,MATCH(1,('Booking Responses'!F:F=A212)*('Booking Responses'!D:D=P212),0))</f>
        <v>#N/A</v>
      </c>
      <c r="R212" s="36">
        <f>COUNTIFS('Booking Responses'!F:F,"="&amp;A212,'Booking Responses'!E:E,"Small*")</f>
        <v>0</v>
      </c>
      <c r="S212" s="36">
        <f>COUNTIFS('Booking Responses'!F:F,"="&amp;A212,'Booking Responses'!E:E,"Medium*")</f>
        <v>0</v>
      </c>
      <c r="T212" s="36">
        <f>COUNTIFS('Booking Responses'!F:F,"="&amp;A212,'Booking Responses'!E:E,"Large*")</f>
        <v>0</v>
      </c>
      <c r="U212" s="37">
        <f t="shared" si="1"/>
        <v>0</v>
      </c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>
      <c r="A213" s="38">
        <v>418.0</v>
      </c>
      <c r="B213" s="39" t="s">
        <v>628</v>
      </c>
      <c r="C213" s="39" t="s">
        <v>629</v>
      </c>
      <c r="D213" s="38"/>
      <c r="E213" s="38"/>
      <c r="F213" s="38" t="s">
        <v>14</v>
      </c>
      <c r="G213" s="38"/>
      <c r="H213" s="38" t="s">
        <v>21</v>
      </c>
      <c r="I213" s="38" t="s">
        <v>630</v>
      </c>
      <c r="J213" s="38" t="s">
        <v>631</v>
      </c>
      <c r="K213" s="46" t="s">
        <v>632</v>
      </c>
      <c r="L213" s="43"/>
      <c r="M213" s="61"/>
      <c r="N213" s="61"/>
      <c r="O213" s="46" t="s">
        <v>633</v>
      </c>
      <c r="P213" s="44">
        <f t="array" ref="P213">MAX(IF($A213='Booking Responses'!F:F,'Booking Responses'!D:D))</f>
        <v>0</v>
      </c>
      <c r="Q213" s="45" t="str">
        <f t="array" ref="Q213">INDEX('Booking Responses'!C:C,MATCH(1,('Booking Responses'!F:F=A213)*('Booking Responses'!D:D=P213),0))</f>
        <v>#N/A</v>
      </c>
      <c r="R213" s="45">
        <f>COUNTIFS('Booking Responses'!F:F,"="&amp;A213,'Booking Responses'!E:E,"Small*")</f>
        <v>0</v>
      </c>
      <c r="S213" s="45">
        <f>COUNTIFS('Booking Responses'!F:F,"="&amp;A213,'Booking Responses'!E:E,"Medium*")</f>
        <v>0</v>
      </c>
      <c r="T213" s="45">
        <f>COUNTIFS('Booking Responses'!F:F,"="&amp;A213,'Booking Responses'!E:E,"Large*")</f>
        <v>0</v>
      </c>
      <c r="U213" s="42">
        <f t="shared" si="1"/>
        <v>0</v>
      </c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</row>
    <row r="214">
      <c r="A214" s="19">
        <v>418.0</v>
      </c>
      <c r="B214" s="21" t="s">
        <v>634</v>
      </c>
      <c r="C214" s="21"/>
      <c r="D214" s="19"/>
      <c r="E214" s="19"/>
      <c r="F214" s="19"/>
      <c r="G214" s="19"/>
      <c r="H214" s="19"/>
      <c r="I214" s="19" t="s">
        <v>635</v>
      </c>
      <c r="J214" s="19"/>
      <c r="K214" s="24"/>
      <c r="L214" s="24"/>
      <c r="M214" s="66"/>
      <c r="N214" s="66"/>
      <c r="O214" s="24"/>
      <c r="P214" s="35">
        <f t="array" ref="P214">MAX(IF($A214='Booking Responses'!F:F,'Booking Responses'!D:D))</f>
        <v>0</v>
      </c>
      <c r="Q214" s="36" t="str">
        <f t="array" ref="Q214">INDEX('Booking Responses'!C:C,MATCH(1,('Booking Responses'!F:F=A214)*('Booking Responses'!D:D=P214),0))</f>
        <v>#N/A</v>
      </c>
      <c r="R214" s="36">
        <f>COUNTIFS('Booking Responses'!F:F,"="&amp;A214,'Booking Responses'!E:E,"Small*")</f>
        <v>0</v>
      </c>
      <c r="S214" s="36">
        <f>COUNTIFS('Booking Responses'!F:F,"="&amp;A214,'Booking Responses'!E:E,"Medium*")</f>
        <v>0</v>
      </c>
      <c r="T214" s="36">
        <f>COUNTIFS('Booking Responses'!F:F,"="&amp;A214,'Booking Responses'!E:E,"Large*")</f>
        <v>0</v>
      </c>
      <c r="U214" s="37">
        <f t="shared" si="1"/>
        <v>0</v>
      </c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>
      <c r="A215" s="38">
        <v>419.0</v>
      </c>
      <c r="B215" s="39" t="s">
        <v>636</v>
      </c>
      <c r="C215" s="39"/>
      <c r="D215" s="38"/>
      <c r="E215" s="38"/>
      <c r="F215" s="38"/>
      <c r="G215" s="38"/>
      <c r="H215" s="38"/>
      <c r="I215" s="38" t="s">
        <v>637</v>
      </c>
      <c r="J215" s="38"/>
      <c r="K215" s="43"/>
      <c r="L215" s="43"/>
      <c r="M215" s="61"/>
      <c r="N215" s="61"/>
      <c r="O215" s="43"/>
      <c r="P215" s="44">
        <f t="array" ref="P215">MAX(IF($A215='Booking Responses'!F:F,'Booking Responses'!D:D))</f>
        <v>0</v>
      </c>
      <c r="Q215" s="45" t="str">
        <f t="array" ref="Q215">INDEX('Booking Responses'!C:C,MATCH(1,('Booking Responses'!F:F=A215)*('Booking Responses'!D:D=P215),0))</f>
        <v>#N/A</v>
      </c>
      <c r="R215" s="45">
        <f>COUNTIFS('Booking Responses'!F:F,"="&amp;A215,'Booking Responses'!E:E,"Small*")</f>
        <v>0</v>
      </c>
      <c r="S215" s="45">
        <f>COUNTIFS('Booking Responses'!F:F,"="&amp;A215,'Booking Responses'!E:E,"Medium*")</f>
        <v>0</v>
      </c>
      <c r="T215" s="45">
        <f>COUNTIFS('Booking Responses'!F:F,"="&amp;A215,'Booking Responses'!E:E,"Large*")</f>
        <v>0</v>
      </c>
      <c r="U215" s="42">
        <f t="shared" si="1"/>
        <v>0</v>
      </c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</row>
    <row r="216">
      <c r="A216" s="19">
        <v>420.0</v>
      </c>
      <c r="B216" s="21" t="s">
        <v>638</v>
      </c>
      <c r="C216" s="21" t="s">
        <v>638</v>
      </c>
      <c r="D216" s="19" t="s">
        <v>591</v>
      </c>
      <c r="E216" s="19" t="s">
        <v>639</v>
      </c>
      <c r="F216" s="19" t="s">
        <v>14</v>
      </c>
      <c r="G216" s="19"/>
      <c r="H216" s="19" t="s">
        <v>415</v>
      </c>
      <c r="I216" s="19" t="s">
        <v>640</v>
      </c>
      <c r="J216" s="19" t="s">
        <v>641</v>
      </c>
      <c r="K216" s="25" t="s">
        <v>642</v>
      </c>
      <c r="L216" s="24"/>
      <c r="M216" s="66"/>
      <c r="N216" s="66"/>
      <c r="O216" s="25" t="s">
        <v>643</v>
      </c>
      <c r="P216" s="35">
        <f t="array" ref="P216">MAX(IF($A216='Booking Responses'!F:F,'Booking Responses'!D:D))</f>
        <v>45458</v>
      </c>
      <c r="Q216" s="36" t="str">
        <f t="array" ref="Q216">INDEX('Booking Responses'!C:C,MATCH(1,('Booking Responses'!F:F=A216)*('Booking Responses'!D:D=P216),0))</f>
        <v>DAYTIMERS Festival</v>
      </c>
      <c r="R216" s="36">
        <f>COUNTIFS('Booking Responses'!F:F,"="&amp;A216,'Booking Responses'!E:E,"Small*")</f>
        <v>0</v>
      </c>
      <c r="S216" s="36">
        <f>COUNTIFS('Booking Responses'!F:F,"="&amp;A216,'Booking Responses'!E:E,"Medium*")</f>
        <v>1</v>
      </c>
      <c r="T216" s="36">
        <f>COUNTIFS('Booking Responses'!F:F,"="&amp;A216,'Booking Responses'!E:E,"Large*")</f>
        <v>0</v>
      </c>
      <c r="U216" s="37">
        <f t="shared" si="1"/>
        <v>2</v>
      </c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>
      <c r="A217" s="38">
        <v>421.0</v>
      </c>
      <c r="B217" s="39" t="s">
        <v>644</v>
      </c>
      <c r="C217" s="39" t="s">
        <v>644</v>
      </c>
      <c r="D217" s="38" t="s">
        <v>31</v>
      </c>
      <c r="E217" s="38"/>
      <c r="F217" s="38" t="s">
        <v>645</v>
      </c>
      <c r="G217" s="38"/>
      <c r="H217" s="38" t="s">
        <v>21</v>
      </c>
      <c r="I217" s="38" t="s">
        <v>646</v>
      </c>
      <c r="J217" s="38" t="s">
        <v>647</v>
      </c>
      <c r="K217" s="46" t="s">
        <v>648</v>
      </c>
      <c r="L217" s="43"/>
      <c r="M217" s="61"/>
      <c r="N217" s="61"/>
      <c r="O217" s="46" t="s">
        <v>649</v>
      </c>
      <c r="P217" s="44">
        <f t="array" ref="P217">MAX(IF($A217='Booking Responses'!F:F,'Booking Responses'!D:D))</f>
        <v>0</v>
      </c>
      <c r="Q217" s="45" t="str">
        <f t="array" ref="Q217">INDEX('Booking Responses'!C:C,MATCH(1,('Booking Responses'!F:F=A217)*('Booking Responses'!D:D=P217),0))</f>
        <v>#N/A</v>
      </c>
      <c r="R217" s="45">
        <f>COUNTIFS('Booking Responses'!F:F,"="&amp;A217,'Booking Responses'!E:E,"Small*")</f>
        <v>0</v>
      </c>
      <c r="S217" s="45">
        <f>COUNTIFS('Booking Responses'!F:F,"="&amp;A217,'Booking Responses'!E:E,"Medium*")</f>
        <v>0</v>
      </c>
      <c r="T217" s="45">
        <f>COUNTIFS('Booking Responses'!F:F,"="&amp;A217,'Booking Responses'!E:E,"Large*")</f>
        <v>0</v>
      </c>
      <c r="U217" s="42">
        <f t="shared" si="1"/>
        <v>0</v>
      </c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</row>
    <row r="218">
      <c r="A218" s="19">
        <v>422.0</v>
      </c>
      <c r="B218" s="21" t="s">
        <v>650</v>
      </c>
      <c r="C218" s="21" t="s">
        <v>650</v>
      </c>
      <c r="D218" s="19"/>
      <c r="E218" s="19"/>
      <c r="F218" s="19" t="s">
        <v>14</v>
      </c>
      <c r="G218" s="19"/>
      <c r="H218" s="19" t="s">
        <v>21</v>
      </c>
      <c r="I218" s="19"/>
      <c r="J218" s="19" t="s">
        <v>651</v>
      </c>
      <c r="K218" s="25" t="s">
        <v>652</v>
      </c>
      <c r="L218" s="24"/>
      <c r="M218" s="66"/>
      <c r="N218" s="66"/>
      <c r="O218" s="24"/>
      <c r="P218" s="35">
        <f t="array" ref="P218">MAX(IF($A218='Booking Responses'!F:F,'Booking Responses'!D:D))</f>
        <v>0</v>
      </c>
      <c r="Q218" s="36" t="str">
        <f t="array" ref="Q218">INDEX('Booking Responses'!C:C,MATCH(1,('Booking Responses'!F:F=A218)*('Booking Responses'!D:D=P218),0))</f>
        <v>#N/A</v>
      </c>
      <c r="R218" s="36">
        <f>COUNTIFS('Booking Responses'!F:F,"="&amp;A218,'Booking Responses'!E:E,"Small*")</f>
        <v>0</v>
      </c>
      <c r="S218" s="36">
        <f>COUNTIFS('Booking Responses'!F:F,"="&amp;A218,'Booking Responses'!E:E,"Medium*")</f>
        <v>0</v>
      </c>
      <c r="T218" s="36">
        <f>COUNTIFS('Booking Responses'!F:F,"="&amp;A218,'Booking Responses'!E:E,"Large*")</f>
        <v>0</v>
      </c>
      <c r="U218" s="37">
        <f t="shared" si="1"/>
        <v>0</v>
      </c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>
      <c r="A219" s="38">
        <v>423.0</v>
      </c>
      <c r="B219" s="39" t="s">
        <v>653</v>
      </c>
      <c r="C219" s="39" t="s">
        <v>654</v>
      </c>
      <c r="D219" s="38"/>
      <c r="E219" s="38"/>
      <c r="F219" s="38" t="s">
        <v>14</v>
      </c>
      <c r="G219" s="38"/>
      <c r="H219" s="38" t="s">
        <v>21</v>
      </c>
      <c r="I219" s="38"/>
      <c r="J219" s="38" t="s">
        <v>655</v>
      </c>
      <c r="K219" s="46" t="s">
        <v>656</v>
      </c>
      <c r="L219" s="43"/>
      <c r="M219" s="61"/>
      <c r="N219" s="61"/>
      <c r="O219" s="46" t="s">
        <v>657</v>
      </c>
      <c r="P219" s="44">
        <f t="array" ref="P219">MAX(IF($A219='Booking Responses'!F:F,'Booking Responses'!D:D))</f>
        <v>0</v>
      </c>
      <c r="Q219" s="45" t="str">
        <f t="array" ref="Q219">INDEX('Booking Responses'!C:C,MATCH(1,('Booking Responses'!F:F=A219)*('Booking Responses'!D:D=P219),0))</f>
        <v>#N/A</v>
      </c>
      <c r="R219" s="45">
        <f>COUNTIFS('Booking Responses'!F:F,"="&amp;A219,'Booking Responses'!E:E,"Small*")</f>
        <v>0</v>
      </c>
      <c r="S219" s="45">
        <f>COUNTIFS('Booking Responses'!F:F,"="&amp;A219,'Booking Responses'!E:E,"Medium*")</f>
        <v>0</v>
      </c>
      <c r="T219" s="45">
        <f>COUNTIFS('Booking Responses'!F:F,"="&amp;A219,'Booking Responses'!E:E,"Large*")</f>
        <v>0</v>
      </c>
      <c r="U219" s="42">
        <f t="shared" si="1"/>
        <v>0</v>
      </c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</row>
    <row r="220">
      <c r="A220" s="19">
        <v>424.0</v>
      </c>
      <c r="B220" s="21" t="s">
        <v>658</v>
      </c>
      <c r="C220" s="21" t="s">
        <v>659</v>
      </c>
      <c r="D220" s="19"/>
      <c r="E220" s="19"/>
      <c r="F220" s="19" t="s">
        <v>14</v>
      </c>
      <c r="G220" s="19"/>
      <c r="H220" s="19" t="s">
        <v>21</v>
      </c>
      <c r="I220" s="19" t="s">
        <v>660</v>
      </c>
      <c r="J220" s="19" t="s">
        <v>661</v>
      </c>
      <c r="K220" s="25" t="s">
        <v>662</v>
      </c>
      <c r="L220" s="24"/>
      <c r="M220" s="66"/>
      <c r="N220" s="66"/>
      <c r="O220" s="25" t="s">
        <v>663</v>
      </c>
      <c r="P220" s="35">
        <f t="array" ref="P220">MAX(IF($A220='Booking Responses'!F:F,'Booking Responses'!D:D))</f>
        <v>0</v>
      </c>
      <c r="Q220" s="36" t="str">
        <f t="array" ref="Q220">INDEX('Booking Responses'!C:C,MATCH(1,('Booking Responses'!F:F=A220)*('Booking Responses'!D:D=P220),0))</f>
        <v>#N/A</v>
      </c>
      <c r="R220" s="36">
        <f>COUNTIFS('Booking Responses'!F:F,"="&amp;A220,'Booking Responses'!E:E,"Small*")</f>
        <v>0</v>
      </c>
      <c r="S220" s="36">
        <f>COUNTIFS('Booking Responses'!F:F,"="&amp;A220,'Booking Responses'!E:E,"Medium*")</f>
        <v>0</v>
      </c>
      <c r="T220" s="36">
        <f>COUNTIFS('Booking Responses'!F:F,"="&amp;A220,'Booking Responses'!E:E,"Large*")</f>
        <v>0</v>
      </c>
      <c r="U220" s="37">
        <f t="shared" si="1"/>
        <v>0</v>
      </c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>
      <c r="A221" s="38">
        <v>425.0</v>
      </c>
      <c r="B221" s="39" t="s">
        <v>664</v>
      </c>
      <c r="C221" s="39" t="s">
        <v>665</v>
      </c>
      <c r="D221" s="38" t="s">
        <v>666</v>
      </c>
      <c r="E221" s="38"/>
      <c r="F221" s="38" t="s">
        <v>14</v>
      </c>
      <c r="G221" s="38"/>
      <c r="H221" s="38" t="s">
        <v>21</v>
      </c>
      <c r="I221" s="38" t="s">
        <v>667</v>
      </c>
      <c r="J221" s="38" t="s">
        <v>668</v>
      </c>
      <c r="K221" s="46" t="s">
        <v>669</v>
      </c>
      <c r="L221" s="43"/>
      <c r="M221" s="61"/>
      <c r="N221" s="61"/>
      <c r="O221" s="43"/>
      <c r="P221" s="44">
        <f t="array" ref="P221">MAX(IF($A221='Booking Responses'!F:F,'Booking Responses'!D:D))</f>
        <v>0</v>
      </c>
      <c r="Q221" s="45" t="str">
        <f t="array" ref="Q221">INDEX('Booking Responses'!C:C,MATCH(1,('Booking Responses'!F:F=A221)*('Booking Responses'!D:D=P221),0))</f>
        <v>#N/A</v>
      </c>
      <c r="R221" s="45">
        <f>COUNTIFS('Booking Responses'!F:F,"="&amp;A221,'Booking Responses'!E:E,"Small*")</f>
        <v>0</v>
      </c>
      <c r="S221" s="45">
        <f>COUNTIFS('Booking Responses'!F:F,"="&amp;A221,'Booking Responses'!E:E,"Medium*")</f>
        <v>0</v>
      </c>
      <c r="T221" s="45">
        <f>COUNTIFS('Booking Responses'!F:F,"="&amp;A221,'Booking Responses'!E:E,"Large*")</f>
        <v>0</v>
      </c>
      <c r="U221" s="42">
        <f t="shared" si="1"/>
        <v>0</v>
      </c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</row>
    <row r="222">
      <c r="A222" s="19">
        <v>426.0</v>
      </c>
      <c r="B222" s="21" t="s">
        <v>670</v>
      </c>
      <c r="C222" s="21"/>
      <c r="D222" s="19" t="s">
        <v>666</v>
      </c>
      <c r="E222" s="19"/>
      <c r="F222" s="19"/>
      <c r="G222" s="19" t="s">
        <v>671</v>
      </c>
      <c r="H222" s="19" t="s">
        <v>21</v>
      </c>
      <c r="I222" s="19" t="s">
        <v>672</v>
      </c>
      <c r="J222" s="19" t="s">
        <v>673</v>
      </c>
      <c r="K222" s="25" t="s">
        <v>674</v>
      </c>
      <c r="L222" s="24"/>
      <c r="M222" s="66"/>
      <c r="N222" s="66"/>
      <c r="O222" s="25" t="s">
        <v>675</v>
      </c>
      <c r="P222" s="35">
        <f t="array" ref="P222">MAX(IF($A222='Booking Responses'!F:F,'Booking Responses'!D:D))</f>
        <v>0</v>
      </c>
      <c r="Q222" s="36" t="str">
        <f t="array" ref="Q222">INDEX('Booking Responses'!C:C,MATCH(1,('Booking Responses'!F:F=A222)*('Booking Responses'!D:D=P222),0))</f>
        <v>#N/A</v>
      </c>
      <c r="R222" s="36">
        <f>COUNTIFS('Booking Responses'!F:F,"="&amp;A222,'Booking Responses'!E:E,"Small*")</f>
        <v>0</v>
      </c>
      <c r="S222" s="36">
        <f>COUNTIFS('Booking Responses'!F:F,"="&amp;A222,'Booking Responses'!E:E,"Medium*")</f>
        <v>0</v>
      </c>
      <c r="T222" s="36">
        <f>COUNTIFS('Booking Responses'!F:F,"="&amp;A222,'Booking Responses'!E:E,"Large*")</f>
        <v>0</v>
      </c>
      <c r="U222" s="37">
        <f t="shared" si="1"/>
        <v>0</v>
      </c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>
      <c r="A223" s="38"/>
      <c r="B223" s="39" t="s">
        <v>676</v>
      </c>
      <c r="C223" s="39" t="s">
        <v>677</v>
      </c>
      <c r="D223" s="38" t="s">
        <v>31</v>
      </c>
      <c r="E223" s="38"/>
      <c r="F223" s="38" t="s">
        <v>14</v>
      </c>
      <c r="G223" s="38"/>
      <c r="H223" s="38" t="s">
        <v>21</v>
      </c>
      <c r="I223" s="38" t="s">
        <v>678</v>
      </c>
      <c r="J223" s="38" t="s">
        <v>679</v>
      </c>
      <c r="K223" s="46" t="s">
        <v>680</v>
      </c>
      <c r="L223" s="43"/>
      <c r="M223" s="61"/>
      <c r="N223" s="61"/>
      <c r="O223" s="46" t="s">
        <v>681</v>
      </c>
      <c r="P223" s="44"/>
      <c r="Q223" s="45"/>
      <c r="R223" s="45"/>
      <c r="S223" s="45"/>
      <c r="T223" s="45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</row>
    <row r="224">
      <c r="A224" s="19">
        <v>427.0</v>
      </c>
      <c r="B224" s="21" t="s">
        <v>682</v>
      </c>
      <c r="C224" s="21" t="s">
        <v>683</v>
      </c>
      <c r="D224" s="19" t="s">
        <v>684</v>
      </c>
      <c r="E224" s="19" t="s">
        <v>685</v>
      </c>
      <c r="F224" s="19" t="s">
        <v>14</v>
      </c>
      <c r="G224" s="19"/>
      <c r="H224" s="19" t="s">
        <v>21</v>
      </c>
      <c r="I224" s="19" t="s">
        <v>686</v>
      </c>
      <c r="J224" s="19" t="s">
        <v>687</v>
      </c>
      <c r="K224" s="24"/>
      <c r="L224" s="25" t="s">
        <v>688</v>
      </c>
      <c r="M224" s="68" t="s">
        <v>689</v>
      </c>
      <c r="N224" s="66"/>
      <c r="O224" s="24"/>
      <c r="P224" s="35"/>
      <c r="Q224" s="36"/>
      <c r="R224" s="36"/>
      <c r="S224" s="36"/>
      <c r="T224" s="36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>
      <c r="A225" s="38">
        <v>428.0</v>
      </c>
      <c r="B225" s="39" t="s">
        <v>347</v>
      </c>
      <c r="C225" s="39" t="s">
        <v>690</v>
      </c>
      <c r="D225" s="38" t="s">
        <v>691</v>
      </c>
      <c r="E225" s="38" t="s">
        <v>692</v>
      </c>
      <c r="F225" s="38" t="s">
        <v>14</v>
      </c>
      <c r="G225" s="38"/>
      <c r="H225" s="38" t="s">
        <v>21</v>
      </c>
      <c r="I225" s="38" t="s">
        <v>693</v>
      </c>
      <c r="J225" s="38" t="s">
        <v>350</v>
      </c>
      <c r="K225" s="46" t="s">
        <v>694</v>
      </c>
      <c r="L225" s="46" t="s">
        <v>695</v>
      </c>
      <c r="M225" s="61"/>
      <c r="N225" s="65" t="s">
        <v>355</v>
      </c>
      <c r="O225" s="46" t="s">
        <v>696</v>
      </c>
      <c r="P225" s="44"/>
      <c r="Q225" s="45"/>
      <c r="R225" s="45"/>
      <c r="S225" s="45"/>
      <c r="T225" s="45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</row>
    <row r="226">
      <c r="A226" s="19">
        <v>429.0</v>
      </c>
      <c r="B226" s="21" t="s">
        <v>697</v>
      </c>
      <c r="C226" s="21" t="s">
        <v>697</v>
      </c>
      <c r="D226" s="19" t="s">
        <v>698</v>
      </c>
      <c r="E226" s="19" t="s">
        <v>699</v>
      </c>
      <c r="F226" s="19" t="s">
        <v>14</v>
      </c>
      <c r="G226" s="19" t="s">
        <v>700</v>
      </c>
      <c r="H226" s="19" t="s">
        <v>21</v>
      </c>
      <c r="I226" s="19" t="s">
        <v>701</v>
      </c>
      <c r="J226" s="19" t="s">
        <v>702</v>
      </c>
      <c r="K226" s="25" t="s">
        <v>703</v>
      </c>
      <c r="L226" s="25" t="s">
        <v>704</v>
      </c>
      <c r="M226" s="66" t="s">
        <v>700</v>
      </c>
      <c r="N226" s="66" t="s">
        <v>700</v>
      </c>
      <c r="O226" s="25" t="s">
        <v>705</v>
      </c>
      <c r="P226" s="35"/>
      <c r="Q226" s="36"/>
      <c r="R226" s="36"/>
      <c r="S226" s="36"/>
      <c r="T226" s="36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</row>
    <row r="227">
      <c r="A227" s="38">
        <v>430.0</v>
      </c>
      <c r="B227" s="39" t="s">
        <v>706</v>
      </c>
      <c r="C227" s="39" t="s">
        <v>707</v>
      </c>
      <c r="D227" s="38" t="s">
        <v>708</v>
      </c>
      <c r="E227" s="38" t="s">
        <v>709</v>
      </c>
      <c r="F227" s="38" t="s">
        <v>14</v>
      </c>
      <c r="G227" s="38"/>
      <c r="H227" s="38" t="s">
        <v>32</v>
      </c>
      <c r="I227" s="38" t="s">
        <v>710</v>
      </c>
      <c r="J227" s="38" t="s">
        <v>711</v>
      </c>
      <c r="K227" s="43" t="s">
        <v>712</v>
      </c>
      <c r="L227" s="46" t="s">
        <v>713</v>
      </c>
      <c r="M227" s="65" t="s">
        <v>714</v>
      </c>
      <c r="N227" s="61"/>
      <c r="O227" s="43" t="s">
        <v>715</v>
      </c>
      <c r="P227" s="44"/>
      <c r="Q227" s="45"/>
      <c r="R227" s="45"/>
      <c r="S227" s="45"/>
      <c r="T227" s="45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</row>
    <row r="228">
      <c r="A228" s="19"/>
      <c r="B228" s="21" t="s">
        <v>716</v>
      </c>
      <c r="C228" s="21" t="s">
        <v>717</v>
      </c>
      <c r="D228" s="19" t="s">
        <v>39</v>
      </c>
      <c r="E228" s="19" t="s">
        <v>718</v>
      </c>
      <c r="F228" s="19"/>
      <c r="G228" s="19" t="s">
        <v>719</v>
      </c>
      <c r="H228" s="19" t="s">
        <v>415</v>
      </c>
      <c r="I228" s="19" t="s">
        <v>720</v>
      </c>
      <c r="J228" s="19" t="s">
        <v>721</v>
      </c>
      <c r="K228" s="25" t="s">
        <v>722</v>
      </c>
      <c r="L228" s="25" t="s">
        <v>723</v>
      </c>
      <c r="M228" s="68" t="s">
        <v>724</v>
      </c>
      <c r="N228" s="66"/>
      <c r="O228" s="24"/>
      <c r="P228" s="35"/>
      <c r="Q228" s="36"/>
      <c r="R228" s="36"/>
      <c r="S228" s="36"/>
      <c r="T228" s="36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</row>
    <row r="229">
      <c r="A229" s="38">
        <v>432.0</v>
      </c>
      <c r="B229" s="39" t="s">
        <v>725</v>
      </c>
      <c r="C229" s="39" t="s">
        <v>725</v>
      </c>
      <c r="D229" s="38" t="s">
        <v>726</v>
      </c>
      <c r="E229" s="38" t="s">
        <v>727</v>
      </c>
      <c r="F229" s="38" t="s">
        <v>14</v>
      </c>
      <c r="G229" s="38" t="s">
        <v>511</v>
      </c>
      <c r="H229" s="38" t="s">
        <v>415</v>
      </c>
      <c r="I229" s="38" t="s">
        <v>728</v>
      </c>
      <c r="J229" s="38" t="s">
        <v>729</v>
      </c>
      <c r="K229" s="46" t="s">
        <v>730</v>
      </c>
      <c r="L229" s="46" t="s">
        <v>731</v>
      </c>
      <c r="M229" s="61" t="s">
        <v>732</v>
      </c>
      <c r="N229" s="65" t="s">
        <v>733</v>
      </c>
      <c r="O229" s="43" t="s">
        <v>734</v>
      </c>
      <c r="P229" s="44"/>
      <c r="Q229" s="45"/>
      <c r="R229" s="45"/>
      <c r="S229" s="45"/>
      <c r="T229" s="45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</row>
    <row r="230">
      <c r="A230" s="19">
        <v>433.0</v>
      </c>
      <c r="B230" s="21" t="s">
        <v>735</v>
      </c>
      <c r="C230" s="21" t="s">
        <v>736</v>
      </c>
      <c r="D230" s="19" t="s">
        <v>39</v>
      </c>
      <c r="E230" s="19" t="s">
        <v>737</v>
      </c>
      <c r="F230" s="19" t="s">
        <v>738</v>
      </c>
      <c r="G230" s="19"/>
      <c r="H230" s="19" t="s">
        <v>21</v>
      </c>
      <c r="I230" s="19" t="s">
        <v>739</v>
      </c>
      <c r="J230" s="19" t="s">
        <v>740</v>
      </c>
      <c r="K230" s="24" t="s">
        <v>741</v>
      </c>
      <c r="L230" s="25" t="s">
        <v>742</v>
      </c>
      <c r="M230" s="66"/>
      <c r="N230" s="66"/>
      <c r="O230" s="25" t="s">
        <v>742</v>
      </c>
      <c r="P230" s="35"/>
      <c r="Q230" s="36"/>
      <c r="R230" s="36"/>
      <c r="S230" s="36"/>
      <c r="T230" s="36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</row>
    <row r="231">
      <c r="A231" s="38"/>
      <c r="B231" s="39" t="s">
        <v>735</v>
      </c>
      <c r="C231" s="39" t="s">
        <v>736</v>
      </c>
      <c r="D231" s="38" t="s">
        <v>39</v>
      </c>
      <c r="E231" s="38" t="s">
        <v>737</v>
      </c>
      <c r="F231" s="38" t="s">
        <v>738</v>
      </c>
      <c r="G231" s="38"/>
      <c r="H231" s="38" t="s">
        <v>21</v>
      </c>
      <c r="I231" s="38" t="s">
        <v>739</v>
      </c>
      <c r="J231" s="38" t="s">
        <v>740</v>
      </c>
      <c r="K231" s="43" t="s">
        <v>743</v>
      </c>
      <c r="L231" s="46" t="s">
        <v>744</v>
      </c>
      <c r="M231" s="61"/>
      <c r="N231" s="61"/>
      <c r="O231" s="46" t="s">
        <v>744</v>
      </c>
      <c r="P231" s="44"/>
      <c r="Q231" s="45"/>
      <c r="R231" s="45"/>
      <c r="S231" s="45"/>
      <c r="T231" s="45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</row>
    <row r="232">
      <c r="A232" s="19">
        <v>435.0</v>
      </c>
      <c r="B232" s="21" t="s">
        <v>745</v>
      </c>
      <c r="C232" s="21" t="s">
        <v>746</v>
      </c>
      <c r="D232" s="19" t="s">
        <v>684</v>
      </c>
      <c r="E232" s="19" t="s">
        <v>747</v>
      </c>
      <c r="F232" s="19" t="s">
        <v>14</v>
      </c>
      <c r="G232" s="19"/>
      <c r="H232" s="19" t="s">
        <v>32</v>
      </c>
      <c r="I232" s="19" t="s">
        <v>748</v>
      </c>
      <c r="J232" s="19" t="s">
        <v>749</v>
      </c>
      <c r="K232" s="25" t="s">
        <v>750</v>
      </c>
      <c r="L232" s="25" t="s">
        <v>751</v>
      </c>
      <c r="M232" s="68" t="s">
        <v>752</v>
      </c>
      <c r="N232" s="68" t="s">
        <v>753</v>
      </c>
      <c r="O232" s="25" t="s">
        <v>751</v>
      </c>
      <c r="P232" s="35"/>
      <c r="Q232" s="36"/>
      <c r="R232" s="36"/>
      <c r="S232" s="36"/>
      <c r="T232" s="36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</row>
    <row r="233">
      <c r="A233" s="38">
        <v>436.0</v>
      </c>
      <c r="B233" s="39" t="s">
        <v>754</v>
      </c>
      <c r="C233" s="39" t="s">
        <v>755</v>
      </c>
      <c r="D233" s="38"/>
      <c r="E233" s="38" t="s">
        <v>756</v>
      </c>
      <c r="F233" s="38" t="s">
        <v>14</v>
      </c>
      <c r="G233" s="38"/>
      <c r="H233" s="38" t="s">
        <v>21</v>
      </c>
      <c r="I233" s="38" t="s">
        <v>757</v>
      </c>
      <c r="J233" s="38" t="s">
        <v>758</v>
      </c>
      <c r="K233" s="46" t="s">
        <v>759</v>
      </c>
      <c r="L233" s="43" t="s">
        <v>760</v>
      </c>
      <c r="M233" s="65" t="s">
        <v>761</v>
      </c>
      <c r="N233" s="65" t="s">
        <v>762</v>
      </c>
      <c r="O233" s="43" t="s">
        <v>763</v>
      </c>
      <c r="P233" s="44"/>
      <c r="Q233" s="45"/>
      <c r="R233" s="45"/>
      <c r="S233" s="45"/>
      <c r="T233" s="45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</row>
    <row r="234">
      <c r="A234" s="19">
        <v>437.0</v>
      </c>
      <c r="B234" s="21" t="s">
        <v>764</v>
      </c>
      <c r="C234" s="21" t="s">
        <v>765</v>
      </c>
      <c r="D234" s="19" t="s">
        <v>691</v>
      </c>
      <c r="E234" s="19" t="s">
        <v>540</v>
      </c>
      <c r="F234" s="19" t="s">
        <v>14</v>
      </c>
      <c r="G234" s="19" t="s">
        <v>766</v>
      </c>
      <c r="H234" s="19" t="s">
        <v>21</v>
      </c>
      <c r="I234" s="19" t="s">
        <v>767</v>
      </c>
      <c r="J234" s="19" t="s">
        <v>768</v>
      </c>
      <c r="K234" s="25" t="s">
        <v>769</v>
      </c>
      <c r="L234" s="25" t="s">
        <v>770</v>
      </c>
      <c r="M234" s="66" t="s">
        <v>511</v>
      </c>
      <c r="N234" s="68" t="s">
        <v>771</v>
      </c>
      <c r="O234" s="24" t="s">
        <v>772</v>
      </c>
      <c r="P234" s="35"/>
      <c r="Q234" s="36"/>
      <c r="R234" s="36"/>
      <c r="S234" s="36"/>
      <c r="T234" s="36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</row>
    <row r="235">
      <c r="A235" s="38">
        <v>438.0</v>
      </c>
      <c r="B235" s="39" t="s">
        <v>773</v>
      </c>
      <c r="C235" s="39" t="s">
        <v>773</v>
      </c>
      <c r="D235" s="38" t="s">
        <v>31</v>
      </c>
      <c r="E235" s="38" t="s">
        <v>774</v>
      </c>
      <c r="F235" s="38"/>
      <c r="G235" s="38" t="s">
        <v>775</v>
      </c>
      <c r="H235" s="38" t="s">
        <v>21</v>
      </c>
      <c r="I235" s="38" t="s">
        <v>776</v>
      </c>
      <c r="J235" s="38" t="s">
        <v>777</v>
      </c>
      <c r="K235" s="43" t="s">
        <v>778</v>
      </c>
      <c r="L235" s="46" t="s">
        <v>779</v>
      </c>
      <c r="M235" s="61"/>
      <c r="N235" s="61"/>
      <c r="O235" s="43" t="s">
        <v>780</v>
      </c>
      <c r="P235" s="44"/>
      <c r="Q235" s="45"/>
      <c r="R235" s="45"/>
      <c r="S235" s="45"/>
      <c r="T235" s="45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</row>
    <row r="236">
      <c r="A236" s="19">
        <v>439.0</v>
      </c>
      <c r="B236" s="21" t="s">
        <v>781</v>
      </c>
      <c r="C236" s="21" t="s">
        <v>782</v>
      </c>
      <c r="D236" s="19" t="s">
        <v>726</v>
      </c>
      <c r="E236" s="19" t="s">
        <v>783</v>
      </c>
      <c r="F236" s="19" t="s">
        <v>14</v>
      </c>
      <c r="G236" s="19"/>
      <c r="H236" s="19" t="s">
        <v>21</v>
      </c>
      <c r="I236" s="19" t="s">
        <v>784</v>
      </c>
      <c r="J236" s="19" t="s">
        <v>785</v>
      </c>
      <c r="K236" s="24" t="s">
        <v>786</v>
      </c>
      <c r="L236" s="24"/>
      <c r="M236" s="66"/>
      <c r="N236" s="66"/>
      <c r="O236" s="24" t="s">
        <v>787</v>
      </c>
      <c r="P236" s="35"/>
      <c r="Q236" s="36"/>
      <c r="R236" s="36"/>
      <c r="S236" s="36"/>
      <c r="T236" s="36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</row>
    <row r="237">
      <c r="A237" s="38">
        <v>440.0</v>
      </c>
      <c r="B237" s="39" t="s">
        <v>788</v>
      </c>
      <c r="C237" s="39" t="s">
        <v>789</v>
      </c>
      <c r="D237" s="38" t="s">
        <v>666</v>
      </c>
      <c r="E237" s="38" t="s">
        <v>790</v>
      </c>
      <c r="F237" s="38" t="s">
        <v>791</v>
      </c>
      <c r="G237" s="38"/>
      <c r="H237" s="38" t="s">
        <v>21</v>
      </c>
      <c r="I237" s="38" t="s">
        <v>792</v>
      </c>
      <c r="J237" s="38" t="s">
        <v>793</v>
      </c>
      <c r="K237" s="46" t="s">
        <v>794</v>
      </c>
      <c r="L237" s="46" t="s">
        <v>620</v>
      </c>
      <c r="M237" s="61"/>
      <c r="N237" s="61"/>
      <c r="O237" s="46" t="s">
        <v>795</v>
      </c>
      <c r="P237" s="44"/>
      <c r="Q237" s="45"/>
      <c r="R237" s="45"/>
      <c r="S237" s="45"/>
      <c r="T237" s="45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</row>
    <row r="238">
      <c r="A238" s="19">
        <v>441.0</v>
      </c>
      <c r="B238" s="21" t="s">
        <v>796</v>
      </c>
      <c r="C238" s="21" t="s">
        <v>797</v>
      </c>
      <c r="D238" s="19" t="s">
        <v>39</v>
      </c>
      <c r="E238" s="19"/>
      <c r="F238" s="19" t="s">
        <v>14</v>
      </c>
      <c r="G238" s="19"/>
      <c r="H238" s="19" t="s">
        <v>21</v>
      </c>
      <c r="I238" s="19" t="s">
        <v>798</v>
      </c>
      <c r="J238" s="19" t="s">
        <v>799</v>
      </c>
      <c r="K238" s="24" t="s">
        <v>800</v>
      </c>
      <c r="L238" s="25" t="s">
        <v>801</v>
      </c>
      <c r="M238" s="66"/>
      <c r="N238" s="66"/>
      <c r="O238" s="25" t="s">
        <v>801</v>
      </c>
      <c r="P238" s="35"/>
      <c r="Q238" s="36"/>
      <c r="R238" s="36"/>
      <c r="S238" s="36"/>
      <c r="T238" s="36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</row>
    <row r="239">
      <c r="A239" s="38">
        <v>442.0</v>
      </c>
      <c r="B239" s="39" t="s">
        <v>802</v>
      </c>
      <c r="C239" s="39" t="s">
        <v>803</v>
      </c>
      <c r="D239" s="38" t="s">
        <v>31</v>
      </c>
      <c r="E239" s="38"/>
      <c r="F239" s="38" t="s">
        <v>14</v>
      </c>
      <c r="G239" s="38"/>
      <c r="H239" s="38" t="s">
        <v>415</v>
      </c>
      <c r="I239" s="38" t="s">
        <v>804</v>
      </c>
      <c r="J239" s="38" t="s">
        <v>805</v>
      </c>
      <c r="K239" s="43" t="s">
        <v>806</v>
      </c>
      <c r="L239" s="46" t="s">
        <v>807</v>
      </c>
      <c r="M239" s="65" t="s">
        <v>808</v>
      </c>
      <c r="N239" s="61" t="s">
        <v>511</v>
      </c>
      <c r="O239" s="43"/>
      <c r="P239" s="44"/>
      <c r="Q239" s="45"/>
      <c r="R239" s="45"/>
      <c r="S239" s="45"/>
      <c r="T239" s="45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</row>
    <row r="240">
      <c r="A240" s="19">
        <v>443.0</v>
      </c>
      <c r="B240" s="21" t="s">
        <v>809</v>
      </c>
      <c r="C240" s="21" t="s">
        <v>810</v>
      </c>
      <c r="D240" s="19" t="s">
        <v>708</v>
      </c>
      <c r="E240" s="19" t="s">
        <v>811</v>
      </c>
      <c r="F240" s="19" t="s">
        <v>14</v>
      </c>
      <c r="G240" s="19"/>
      <c r="H240" s="19" t="s">
        <v>21</v>
      </c>
      <c r="I240" s="19" t="s">
        <v>812</v>
      </c>
      <c r="J240" s="19" t="s">
        <v>813</v>
      </c>
      <c r="K240" s="24" t="s">
        <v>814</v>
      </c>
      <c r="L240" s="24" t="s">
        <v>815</v>
      </c>
      <c r="M240" s="66"/>
      <c r="N240" s="66"/>
      <c r="O240" s="24" t="s">
        <v>816</v>
      </c>
      <c r="P240" s="35"/>
      <c r="Q240" s="36"/>
      <c r="R240" s="36"/>
      <c r="S240" s="36"/>
      <c r="T240" s="36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</row>
    <row r="241">
      <c r="A241" s="38">
        <v>444.0</v>
      </c>
      <c r="B241" s="39" t="s">
        <v>817</v>
      </c>
      <c r="C241" s="39" t="s">
        <v>818</v>
      </c>
      <c r="D241" s="38"/>
      <c r="E241" s="38" t="s">
        <v>727</v>
      </c>
      <c r="F241" s="38" t="s">
        <v>14</v>
      </c>
      <c r="G241" s="38"/>
      <c r="H241" s="38" t="s">
        <v>21</v>
      </c>
      <c r="I241" s="38" t="s">
        <v>819</v>
      </c>
      <c r="J241" s="38" t="s">
        <v>820</v>
      </c>
      <c r="K241" s="43" t="s">
        <v>821</v>
      </c>
      <c r="L241" s="46" t="s">
        <v>822</v>
      </c>
      <c r="M241" s="65" t="s">
        <v>823</v>
      </c>
      <c r="N241" s="61"/>
      <c r="O241" s="43"/>
      <c r="P241" s="44"/>
      <c r="Q241" s="45"/>
      <c r="R241" s="45"/>
      <c r="S241" s="45"/>
      <c r="T241" s="45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</row>
    <row r="242">
      <c r="A242" s="19">
        <v>445.0</v>
      </c>
      <c r="B242" s="21" t="s">
        <v>764</v>
      </c>
      <c r="C242" s="21" t="s">
        <v>765</v>
      </c>
      <c r="D242" s="19" t="s">
        <v>691</v>
      </c>
      <c r="E242" s="19" t="s">
        <v>824</v>
      </c>
      <c r="F242" s="19" t="s">
        <v>14</v>
      </c>
      <c r="G242" s="19" t="s">
        <v>825</v>
      </c>
      <c r="H242" s="19" t="s">
        <v>21</v>
      </c>
      <c r="I242" s="19" t="s">
        <v>826</v>
      </c>
      <c r="J242" s="19" t="s">
        <v>768</v>
      </c>
      <c r="K242" s="25" t="s">
        <v>827</v>
      </c>
      <c r="L242" s="25" t="s">
        <v>770</v>
      </c>
      <c r="M242" s="66" t="s">
        <v>511</v>
      </c>
      <c r="N242" s="66" t="s">
        <v>511</v>
      </c>
      <c r="O242" s="24" t="s">
        <v>828</v>
      </c>
      <c r="P242" s="35"/>
      <c r="Q242" s="36"/>
      <c r="R242" s="36"/>
      <c r="S242" s="36"/>
      <c r="T242" s="36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</row>
    <row r="243">
      <c r="A243" s="38">
        <v>446.0</v>
      </c>
      <c r="B243" s="39" t="s">
        <v>829</v>
      </c>
      <c r="C243" s="39" t="s">
        <v>829</v>
      </c>
      <c r="D243" s="38" t="s">
        <v>666</v>
      </c>
      <c r="E243" s="38" t="s">
        <v>830</v>
      </c>
      <c r="F243" s="38" t="s">
        <v>14</v>
      </c>
      <c r="G243" s="38"/>
      <c r="H243" s="38" t="s">
        <v>415</v>
      </c>
      <c r="I243" s="38" t="s">
        <v>831</v>
      </c>
      <c r="J243" s="38" t="s">
        <v>832</v>
      </c>
      <c r="K243" s="43" t="s">
        <v>833</v>
      </c>
      <c r="L243" s="46" t="s">
        <v>834</v>
      </c>
      <c r="M243" s="61"/>
      <c r="N243" s="65" t="s">
        <v>835</v>
      </c>
      <c r="O243" s="46" t="s">
        <v>836</v>
      </c>
      <c r="P243" s="44"/>
      <c r="Q243" s="45"/>
      <c r="R243" s="45"/>
      <c r="S243" s="45"/>
      <c r="T243" s="45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</row>
    <row r="244">
      <c r="A244" s="19">
        <v>447.0</v>
      </c>
      <c r="B244" s="21" t="s">
        <v>837</v>
      </c>
      <c r="C244" s="21" t="s">
        <v>838</v>
      </c>
      <c r="D244" s="19" t="s">
        <v>39</v>
      </c>
      <c r="E244" s="19" t="s">
        <v>692</v>
      </c>
      <c r="F244" s="19" t="s">
        <v>14</v>
      </c>
      <c r="G244" s="19"/>
      <c r="H244" s="19" t="s">
        <v>21</v>
      </c>
      <c r="I244" s="19" t="s">
        <v>839</v>
      </c>
      <c r="J244" s="19" t="s">
        <v>840</v>
      </c>
      <c r="K244" s="24" t="s">
        <v>841</v>
      </c>
      <c r="L244" s="25" t="s">
        <v>842</v>
      </c>
      <c r="M244" s="66"/>
      <c r="N244" s="66"/>
      <c r="O244" s="25" t="s">
        <v>843</v>
      </c>
      <c r="P244" s="35"/>
      <c r="Q244" s="36"/>
      <c r="R244" s="36"/>
      <c r="S244" s="36"/>
      <c r="T244" s="36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</row>
    <row r="245">
      <c r="A245" s="38">
        <v>448.0</v>
      </c>
      <c r="B245" s="39" t="s">
        <v>844</v>
      </c>
      <c r="C245" s="39" t="s">
        <v>845</v>
      </c>
      <c r="D245" s="38" t="s">
        <v>666</v>
      </c>
      <c r="E245" s="38" t="s">
        <v>846</v>
      </c>
      <c r="F245" s="38"/>
      <c r="G245" s="38" t="s">
        <v>847</v>
      </c>
      <c r="H245" s="38" t="s">
        <v>21</v>
      </c>
      <c r="I245" s="38" t="s">
        <v>848</v>
      </c>
      <c r="J245" s="38" t="s">
        <v>849</v>
      </c>
      <c r="K245" s="43" t="s">
        <v>850</v>
      </c>
      <c r="L245" s="43" t="s">
        <v>851</v>
      </c>
      <c r="M245" s="61" t="s">
        <v>511</v>
      </c>
      <c r="N245" s="61" t="s">
        <v>852</v>
      </c>
      <c r="O245" s="43" t="s">
        <v>853</v>
      </c>
      <c r="P245" s="44"/>
      <c r="Q245" s="45"/>
      <c r="R245" s="45"/>
      <c r="S245" s="45"/>
      <c r="T245" s="45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</row>
    <row r="246">
      <c r="A246" s="19">
        <v>449.0</v>
      </c>
      <c r="B246" s="21" t="s">
        <v>854</v>
      </c>
      <c r="C246" s="21"/>
      <c r="D246" s="19"/>
      <c r="E246" s="19"/>
      <c r="F246" s="19"/>
      <c r="G246" s="19" t="s">
        <v>855</v>
      </c>
      <c r="H246" s="19" t="s">
        <v>32</v>
      </c>
      <c r="I246" s="19" t="s">
        <v>856</v>
      </c>
      <c r="J246" s="19" t="s">
        <v>857</v>
      </c>
      <c r="K246" s="24" t="s">
        <v>858</v>
      </c>
      <c r="L246" s="25" t="s">
        <v>859</v>
      </c>
      <c r="M246" s="66"/>
      <c r="N246" s="66"/>
      <c r="O246" s="25" t="s">
        <v>860</v>
      </c>
      <c r="P246" s="35"/>
      <c r="Q246" s="36"/>
      <c r="R246" s="36"/>
      <c r="S246" s="36"/>
      <c r="T246" s="36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</row>
    <row r="247">
      <c r="A247" s="38"/>
      <c r="B247" s="39" t="s">
        <v>861</v>
      </c>
      <c r="C247" s="39" t="s">
        <v>862</v>
      </c>
      <c r="D247" s="38"/>
      <c r="E247" s="38" t="s">
        <v>863</v>
      </c>
      <c r="F247" s="38" t="s">
        <v>14</v>
      </c>
      <c r="G247" s="38"/>
      <c r="H247" s="38" t="s">
        <v>21</v>
      </c>
      <c r="I247" s="38" t="s">
        <v>864</v>
      </c>
      <c r="J247" s="38" t="s">
        <v>865</v>
      </c>
      <c r="K247" s="46" t="s">
        <v>866</v>
      </c>
      <c r="L247" s="46" t="s">
        <v>867</v>
      </c>
      <c r="M247" s="65" t="s">
        <v>868</v>
      </c>
      <c r="N247" s="65" t="s">
        <v>869</v>
      </c>
      <c r="O247" s="46" t="s">
        <v>870</v>
      </c>
      <c r="P247" s="44"/>
      <c r="Q247" s="45"/>
      <c r="R247" s="45"/>
      <c r="S247" s="45"/>
      <c r="T247" s="45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</row>
    <row r="248">
      <c r="A248" s="19">
        <v>451.0</v>
      </c>
      <c r="B248" s="21" t="s">
        <v>871</v>
      </c>
      <c r="C248" s="21" t="s">
        <v>872</v>
      </c>
      <c r="D248" s="19" t="s">
        <v>31</v>
      </c>
      <c r="E248" s="19" t="s">
        <v>873</v>
      </c>
      <c r="F248" s="19" t="s">
        <v>14</v>
      </c>
      <c r="G248" s="19"/>
      <c r="H248" s="19" t="s">
        <v>21</v>
      </c>
      <c r="I248" s="19" t="s">
        <v>874</v>
      </c>
      <c r="J248" s="19" t="s">
        <v>875</v>
      </c>
      <c r="K248" s="24" t="s">
        <v>876</v>
      </c>
      <c r="L248" s="25" t="s">
        <v>877</v>
      </c>
      <c r="M248" s="66" t="s">
        <v>878</v>
      </c>
      <c r="N248" s="68" t="s">
        <v>879</v>
      </c>
      <c r="O248" s="25" t="s">
        <v>880</v>
      </c>
      <c r="P248" s="35"/>
      <c r="Q248" s="36"/>
      <c r="R248" s="36"/>
      <c r="S248" s="36"/>
      <c r="T248" s="36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</row>
    <row r="249">
      <c r="A249" s="38">
        <v>452.0</v>
      </c>
      <c r="B249" s="39" t="s">
        <v>881</v>
      </c>
      <c r="C249" s="39" t="s">
        <v>881</v>
      </c>
      <c r="D249" s="38" t="s">
        <v>39</v>
      </c>
      <c r="E249" s="38" t="s">
        <v>882</v>
      </c>
      <c r="F249" s="38" t="s">
        <v>517</v>
      </c>
      <c r="G249" s="38"/>
      <c r="H249" s="38" t="s">
        <v>21</v>
      </c>
      <c r="I249" s="38" t="s">
        <v>883</v>
      </c>
      <c r="J249" s="38" t="s">
        <v>884</v>
      </c>
      <c r="K249" s="43" t="s">
        <v>885</v>
      </c>
      <c r="L249" s="46" t="s">
        <v>886</v>
      </c>
      <c r="M249" s="65" t="s">
        <v>887</v>
      </c>
      <c r="N249" s="65" t="s">
        <v>888</v>
      </c>
      <c r="O249" s="43" t="s">
        <v>889</v>
      </c>
      <c r="P249" s="44"/>
      <c r="Q249" s="45"/>
      <c r="R249" s="45"/>
      <c r="S249" s="45"/>
      <c r="T249" s="45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</row>
    <row r="250">
      <c r="A250" s="19">
        <v>453.0</v>
      </c>
      <c r="B250" s="21" t="s">
        <v>890</v>
      </c>
      <c r="C250" s="21" t="s">
        <v>891</v>
      </c>
      <c r="D250" s="19" t="s">
        <v>691</v>
      </c>
      <c r="E250" s="19" t="s">
        <v>892</v>
      </c>
      <c r="F250" s="19" t="s">
        <v>14</v>
      </c>
      <c r="G250" s="19"/>
      <c r="H250" s="19" t="s">
        <v>21</v>
      </c>
      <c r="I250" s="19" t="s">
        <v>893</v>
      </c>
      <c r="J250" s="19" t="s">
        <v>894</v>
      </c>
      <c r="K250" s="24" t="s">
        <v>895</v>
      </c>
      <c r="L250" s="25" t="s">
        <v>896</v>
      </c>
      <c r="M250" s="66"/>
      <c r="N250" s="66"/>
      <c r="O250" s="25" t="s">
        <v>897</v>
      </c>
      <c r="P250" s="35"/>
      <c r="Q250" s="36"/>
      <c r="R250" s="36"/>
      <c r="S250" s="36"/>
      <c r="T250" s="36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</row>
    <row r="251">
      <c r="A251" s="38">
        <v>454.0</v>
      </c>
      <c r="B251" s="39" t="s">
        <v>898</v>
      </c>
      <c r="C251" s="39" t="s">
        <v>899</v>
      </c>
      <c r="D251" s="38" t="s">
        <v>666</v>
      </c>
      <c r="E251" s="38" t="s">
        <v>900</v>
      </c>
      <c r="F251" s="38" t="s">
        <v>14</v>
      </c>
      <c r="G251" s="38"/>
      <c r="H251" s="38" t="s">
        <v>21</v>
      </c>
      <c r="I251" s="38" t="s">
        <v>901</v>
      </c>
      <c r="J251" s="38" t="s">
        <v>902</v>
      </c>
      <c r="K251" s="46" t="s">
        <v>903</v>
      </c>
      <c r="L251" s="46" t="s">
        <v>904</v>
      </c>
      <c r="M251" s="65" t="s">
        <v>905</v>
      </c>
      <c r="N251" s="61"/>
      <c r="O251" s="46" t="s">
        <v>906</v>
      </c>
      <c r="P251" s="44"/>
      <c r="Q251" s="45"/>
      <c r="R251" s="45"/>
      <c r="S251" s="45"/>
      <c r="T251" s="45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</row>
    <row r="252">
      <c r="A252" s="19">
        <v>455.0</v>
      </c>
      <c r="B252" s="21" t="s">
        <v>907</v>
      </c>
      <c r="C252" s="21" t="s">
        <v>908</v>
      </c>
      <c r="D252" s="19" t="s">
        <v>39</v>
      </c>
      <c r="E252" s="19" t="s">
        <v>909</v>
      </c>
      <c r="F252" s="19" t="s">
        <v>910</v>
      </c>
      <c r="G252" s="19" t="s">
        <v>911</v>
      </c>
      <c r="H252" s="19" t="s">
        <v>21</v>
      </c>
      <c r="I252" s="19" t="s">
        <v>912</v>
      </c>
      <c r="J252" s="19" t="s">
        <v>913</v>
      </c>
      <c r="K252" s="24" t="s">
        <v>914</v>
      </c>
      <c r="L252" s="24" t="s">
        <v>914</v>
      </c>
      <c r="M252" s="66" t="s">
        <v>914</v>
      </c>
      <c r="N252" s="66"/>
      <c r="O252" s="25" t="s">
        <v>915</v>
      </c>
      <c r="P252" s="35"/>
      <c r="Q252" s="36"/>
      <c r="R252" s="36"/>
      <c r="S252" s="36"/>
      <c r="T252" s="36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</row>
    <row r="253">
      <c r="A253" s="38">
        <v>456.0</v>
      </c>
      <c r="B253" s="39" t="s">
        <v>916</v>
      </c>
      <c r="C253" s="39" t="s">
        <v>916</v>
      </c>
      <c r="D253" s="38" t="s">
        <v>31</v>
      </c>
      <c r="E253" s="38" t="s">
        <v>692</v>
      </c>
      <c r="F253" s="38"/>
      <c r="G253" s="38" t="s">
        <v>917</v>
      </c>
      <c r="H253" s="38" t="s">
        <v>415</v>
      </c>
      <c r="I253" s="38" t="s">
        <v>918</v>
      </c>
      <c r="J253" s="38" t="s">
        <v>919</v>
      </c>
      <c r="K253" s="46" t="s">
        <v>920</v>
      </c>
      <c r="L253" s="43"/>
      <c r="M253" s="61"/>
      <c r="N253" s="65" t="s">
        <v>921</v>
      </c>
      <c r="O253" s="46" t="s">
        <v>922</v>
      </c>
      <c r="P253" s="44"/>
      <c r="Q253" s="45"/>
      <c r="R253" s="45"/>
      <c r="S253" s="45"/>
      <c r="T253" s="45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</row>
    <row r="254">
      <c r="A254" s="19">
        <v>457.0</v>
      </c>
      <c r="B254" s="21" t="s">
        <v>923</v>
      </c>
      <c r="C254" s="21" t="s">
        <v>924</v>
      </c>
      <c r="D254" s="19"/>
      <c r="E254" s="19" t="s">
        <v>925</v>
      </c>
      <c r="F254" s="19" t="s">
        <v>14</v>
      </c>
      <c r="G254" s="19"/>
      <c r="H254" s="19" t="s">
        <v>415</v>
      </c>
      <c r="I254" s="19" t="s">
        <v>926</v>
      </c>
      <c r="J254" s="19" t="s">
        <v>927</v>
      </c>
      <c r="K254" s="25" t="s">
        <v>928</v>
      </c>
      <c r="L254" s="25" t="s">
        <v>929</v>
      </c>
      <c r="M254" s="68" t="s">
        <v>930</v>
      </c>
      <c r="N254" s="68" t="s">
        <v>931</v>
      </c>
      <c r="O254" s="25" t="s">
        <v>932</v>
      </c>
      <c r="P254" s="35"/>
      <c r="Q254" s="36"/>
      <c r="R254" s="36"/>
      <c r="S254" s="36"/>
      <c r="T254" s="36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</row>
    <row r="255">
      <c r="A255" s="38"/>
      <c r="B255" s="39" t="s">
        <v>650</v>
      </c>
      <c r="C255" s="39" t="s">
        <v>650</v>
      </c>
      <c r="D255" s="38" t="s">
        <v>698</v>
      </c>
      <c r="E255" s="38" t="s">
        <v>933</v>
      </c>
      <c r="F255" s="38" t="s">
        <v>934</v>
      </c>
      <c r="G255" s="38"/>
      <c r="H255" s="38" t="s">
        <v>21</v>
      </c>
      <c r="I255" s="38" t="s">
        <v>935</v>
      </c>
      <c r="J255" s="38" t="s">
        <v>936</v>
      </c>
      <c r="K255" s="43" t="s">
        <v>937</v>
      </c>
      <c r="L255" s="46" t="s">
        <v>938</v>
      </c>
      <c r="M255" s="61"/>
      <c r="N255" s="61"/>
      <c r="O255" s="46" t="s">
        <v>939</v>
      </c>
      <c r="P255" s="44"/>
      <c r="Q255" s="45"/>
      <c r="R255" s="45"/>
      <c r="S255" s="45"/>
      <c r="T255" s="45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</row>
    <row r="256">
      <c r="A256" s="19">
        <v>459.0</v>
      </c>
      <c r="B256" s="21" t="s">
        <v>940</v>
      </c>
      <c r="C256" s="21" t="s">
        <v>941</v>
      </c>
      <c r="D256" s="19" t="s">
        <v>666</v>
      </c>
      <c r="E256" s="19" t="s">
        <v>942</v>
      </c>
      <c r="F256" s="19"/>
      <c r="G256" s="19" t="s">
        <v>592</v>
      </c>
      <c r="H256" s="19" t="s">
        <v>21</v>
      </c>
      <c r="I256" s="19" t="s">
        <v>943</v>
      </c>
      <c r="J256" s="19" t="s">
        <v>944</v>
      </c>
      <c r="K256" s="25" t="s">
        <v>945</v>
      </c>
      <c r="L256" s="25" t="s">
        <v>946</v>
      </c>
      <c r="M256" s="66"/>
      <c r="N256" s="68" t="s">
        <v>947</v>
      </c>
      <c r="O256" s="24"/>
      <c r="P256" s="35"/>
      <c r="Q256" s="36"/>
      <c r="R256" s="36"/>
      <c r="S256" s="36"/>
      <c r="T256" s="36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</row>
    <row r="257">
      <c r="A257" s="38">
        <v>460.0</v>
      </c>
      <c r="B257" s="39" t="s">
        <v>948</v>
      </c>
      <c r="C257" s="39" t="s">
        <v>803</v>
      </c>
      <c r="D257" s="38" t="s">
        <v>708</v>
      </c>
      <c r="E257" s="38" t="s">
        <v>949</v>
      </c>
      <c r="F257" s="38" t="s">
        <v>14</v>
      </c>
      <c r="G257" s="38"/>
      <c r="H257" s="38" t="s">
        <v>21</v>
      </c>
      <c r="I257" s="38" t="s">
        <v>950</v>
      </c>
      <c r="J257" s="38" t="s">
        <v>805</v>
      </c>
      <c r="K257" s="43" t="s">
        <v>951</v>
      </c>
      <c r="L257" s="43"/>
      <c r="M257" s="61"/>
      <c r="N257" s="61"/>
      <c r="O257" s="46" t="s">
        <v>952</v>
      </c>
      <c r="P257" s="44"/>
      <c r="Q257" s="45"/>
      <c r="R257" s="45"/>
      <c r="S257" s="45"/>
      <c r="T257" s="45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</row>
    <row r="258">
      <c r="A258" s="19">
        <v>461.0</v>
      </c>
      <c r="B258" s="21" t="s">
        <v>953</v>
      </c>
      <c r="C258" s="21" t="s">
        <v>954</v>
      </c>
      <c r="D258" s="19" t="s">
        <v>698</v>
      </c>
      <c r="E258" s="19" t="s">
        <v>692</v>
      </c>
      <c r="F258" s="19" t="s">
        <v>955</v>
      </c>
      <c r="G258" s="19"/>
      <c r="H258" s="19" t="s">
        <v>21</v>
      </c>
      <c r="I258" s="19" t="s">
        <v>956</v>
      </c>
      <c r="J258" s="19" t="s">
        <v>957</v>
      </c>
      <c r="K258" s="24" t="s">
        <v>958</v>
      </c>
      <c r="L258" s="24" t="s">
        <v>953</v>
      </c>
      <c r="M258" s="66" t="s">
        <v>959</v>
      </c>
      <c r="N258" s="66"/>
      <c r="O258" s="25" t="s">
        <v>960</v>
      </c>
      <c r="P258" s="35"/>
      <c r="Q258" s="36"/>
      <c r="R258" s="36"/>
      <c r="S258" s="36"/>
      <c r="T258" s="36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</row>
    <row r="259">
      <c r="A259" s="38">
        <v>462.0</v>
      </c>
      <c r="B259" s="39" t="s">
        <v>961</v>
      </c>
      <c r="C259" s="39" t="s">
        <v>962</v>
      </c>
      <c r="D259" s="38" t="s">
        <v>698</v>
      </c>
      <c r="E259" s="38" t="s">
        <v>963</v>
      </c>
      <c r="F259" s="38" t="s">
        <v>14</v>
      </c>
      <c r="G259" s="38" t="s">
        <v>511</v>
      </c>
      <c r="H259" s="38" t="s">
        <v>21</v>
      </c>
      <c r="I259" s="38" t="s">
        <v>964</v>
      </c>
      <c r="J259" s="38" t="s">
        <v>965</v>
      </c>
      <c r="K259" s="43" t="s">
        <v>966</v>
      </c>
      <c r="L259" s="43" t="s">
        <v>967</v>
      </c>
      <c r="M259" s="61"/>
      <c r="N259" s="61"/>
      <c r="O259" s="46" t="s">
        <v>968</v>
      </c>
      <c r="P259" s="44"/>
      <c r="Q259" s="45"/>
      <c r="R259" s="45"/>
      <c r="S259" s="45"/>
      <c r="T259" s="45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</row>
    <row r="260">
      <c r="A260" s="19">
        <v>463.0</v>
      </c>
      <c r="B260" s="21" t="s">
        <v>969</v>
      </c>
      <c r="C260" s="21"/>
      <c r="D260" s="19" t="s">
        <v>666</v>
      </c>
      <c r="E260" s="19" t="s">
        <v>970</v>
      </c>
      <c r="F260" s="19" t="s">
        <v>14</v>
      </c>
      <c r="G260" s="19"/>
      <c r="H260" s="19" t="s">
        <v>21</v>
      </c>
      <c r="I260" s="19" t="s">
        <v>971</v>
      </c>
      <c r="J260" s="76" t="s">
        <v>972</v>
      </c>
      <c r="K260" s="24" t="s">
        <v>973</v>
      </c>
      <c r="L260" s="67" t="s">
        <v>974</v>
      </c>
      <c r="M260" s="66"/>
      <c r="N260" s="66"/>
      <c r="O260" s="67" t="s">
        <v>975</v>
      </c>
      <c r="P260" s="35"/>
      <c r="Q260" s="36"/>
      <c r="R260" s="36"/>
      <c r="S260" s="36"/>
      <c r="T260" s="36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</row>
    <row r="261">
      <c r="A261" s="38">
        <v>464.0</v>
      </c>
      <c r="B261" s="39" t="s">
        <v>976</v>
      </c>
      <c r="C261" s="39" t="s">
        <v>977</v>
      </c>
      <c r="D261" s="38" t="s">
        <v>666</v>
      </c>
      <c r="E261" s="38" t="s">
        <v>970</v>
      </c>
      <c r="F261" s="38" t="s">
        <v>14</v>
      </c>
      <c r="G261" s="38"/>
      <c r="H261" s="38" t="s">
        <v>598</v>
      </c>
      <c r="I261" s="38" t="s">
        <v>978</v>
      </c>
      <c r="J261" s="38" t="s">
        <v>979</v>
      </c>
      <c r="K261" s="43" t="s">
        <v>980</v>
      </c>
      <c r="L261" s="43" t="s">
        <v>981</v>
      </c>
      <c r="M261" s="61"/>
      <c r="N261" s="61"/>
      <c r="O261" s="43"/>
      <c r="P261" s="44"/>
      <c r="Q261" s="45"/>
      <c r="R261" s="45"/>
      <c r="S261" s="45"/>
      <c r="T261" s="45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</row>
    <row r="262">
      <c r="A262" s="19">
        <v>465.0</v>
      </c>
      <c r="B262" s="21" t="s">
        <v>982</v>
      </c>
      <c r="C262" s="21"/>
      <c r="D262" s="19" t="s">
        <v>31</v>
      </c>
      <c r="E262" s="19" t="s">
        <v>983</v>
      </c>
      <c r="F262" s="19" t="s">
        <v>14</v>
      </c>
      <c r="G262" s="19"/>
      <c r="H262" s="19" t="s">
        <v>598</v>
      </c>
      <c r="I262" s="19" t="s">
        <v>984</v>
      </c>
      <c r="J262" s="19" t="s">
        <v>985</v>
      </c>
      <c r="K262" s="24" t="s">
        <v>986</v>
      </c>
      <c r="L262" s="24" t="s">
        <v>987</v>
      </c>
      <c r="M262" s="66"/>
      <c r="N262" s="66"/>
      <c r="O262" s="67" t="s">
        <v>988</v>
      </c>
      <c r="P262" s="35"/>
      <c r="Q262" s="36"/>
      <c r="R262" s="36"/>
      <c r="S262" s="36"/>
      <c r="T262" s="36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</row>
    <row r="263">
      <c r="A263" s="38">
        <v>466.0</v>
      </c>
      <c r="B263" s="39" t="s">
        <v>989</v>
      </c>
      <c r="C263" s="39" t="s">
        <v>990</v>
      </c>
      <c r="D263" s="38" t="s">
        <v>991</v>
      </c>
      <c r="E263" s="38" t="s">
        <v>970</v>
      </c>
      <c r="F263" s="38" t="s">
        <v>14</v>
      </c>
      <c r="G263" s="38"/>
      <c r="H263" s="38" t="s">
        <v>21</v>
      </c>
      <c r="I263" s="38" t="s">
        <v>992</v>
      </c>
      <c r="J263" s="77" t="s">
        <v>993</v>
      </c>
      <c r="K263" s="43" t="s">
        <v>994</v>
      </c>
      <c r="L263" s="43" t="s">
        <v>994</v>
      </c>
      <c r="M263" s="61"/>
      <c r="N263" s="61"/>
      <c r="O263" s="43"/>
      <c r="P263" s="44"/>
      <c r="Q263" s="45"/>
      <c r="R263" s="45"/>
      <c r="S263" s="45"/>
      <c r="T263" s="45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</row>
    <row r="264">
      <c r="A264" s="19">
        <v>467.0</v>
      </c>
      <c r="B264" s="21" t="s">
        <v>995</v>
      </c>
      <c r="C264" s="21" t="s">
        <v>995</v>
      </c>
      <c r="D264" s="19"/>
      <c r="E264" s="19" t="s">
        <v>863</v>
      </c>
      <c r="F264" s="19" t="s">
        <v>14</v>
      </c>
      <c r="G264" s="19"/>
      <c r="H264" s="19" t="s">
        <v>21</v>
      </c>
      <c r="I264" s="19" t="s">
        <v>996</v>
      </c>
      <c r="J264" s="76" t="s">
        <v>997</v>
      </c>
      <c r="K264" s="24" t="s">
        <v>998</v>
      </c>
      <c r="L264" s="24"/>
      <c r="M264" s="66"/>
      <c r="N264" s="66"/>
      <c r="O264" s="67" t="s">
        <v>999</v>
      </c>
      <c r="P264" s="35"/>
      <c r="Q264" s="36"/>
      <c r="R264" s="36"/>
      <c r="S264" s="36"/>
      <c r="T264" s="36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</row>
    <row r="265">
      <c r="A265" s="38">
        <v>468.0</v>
      </c>
      <c r="B265" s="39" t="s">
        <v>1000</v>
      </c>
      <c r="C265" s="39"/>
      <c r="D265" s="38"/>
      <c r="E265" s="38"/>
      <c r="F265" s="38"/>
      <c r="G265" s="38"/>
      <c r="H265" s="38"/>
      <c r="I265" s="38"/>
      <c r="J265" s="38"/>
      <c r="K265" s="43"/>
      <c r="L265" s="43"/>
      <c r="M265" s="61"/>
      <c r="N265" s="61"/>
      <c r="O265" s="43"/>
      <c r="P265" s="44"/>
      <c r="Q265" s="45"/>
      <c r="R265" s="45"/>
      <c r="S265" s="45"/>
      <c r="T265" s="45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</row>
    <row r="266">
      <c r="A266" s="19">
        <v>469.0</v>
      </c>
      <c r="B266" s="21" t="s">
        <v>1001</v>
      </c>
      <c r="C266" s="21"/>
      <c r="D266" s="19"/>
      <c r="E266" s="19"/>
      <c r="F266" s="19"/>
      <c r="G266" s="19"/>
      <c r="H266" s="19"/>
      <c r="I266" s="19"/>
      <c r="J266" s="19"/>
      <c r="K266" s="24"/>
      <c r="L266" s="24"/>
      <c r="M266" s="66"/>
      <c r="N266" s="66"/>
      <c r="O266" s="24"/>
      <c r="P266" s="35"/>
      <c r="Q266" s="36"/>
      <c r="R266" s="36"/>
      <c r="S266" s="36"/>
      <c r="T266" s="36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</row>
    <row r="267">
      <c r="A267" s="38">
        <v>470.0</v>
      </c>
      <c r="B267" s="39" t="s">
        <v>1002</v>
      </c>
      <c r="C267" s="39"/>
      <c r="D267" s="38"/>
      <c r="E267" s="38"/>
      <c r="F267" s="38"/>
      <c r="G267" s="38"/>
      <c r="H267" s="38"/>
      <c r="I267" s="38"/>
      <c r="J267" s="38"/>
      <c r="K267" s="43"/>
      <c r="L267" s="43"/>
      <c r="M267" s="61"/>
      <c r="N267" s="61"/>
      <c r="O267" s="43"/>
      <c r="P267" s="44"/>
      <c r="Q267" s="45"/>
      <c r="R267" s="45"/>
      <c r="S267" s="45"/>
      <c r="T267" s="45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</row>
    <row r="268">
      <c r="A268" s="19">
        <v>471.0</v>
      </c>
      <c r="B268" s="21" t="s">
        <v>1003</v>
      </c>
      <c r="C268" s="21"/>
      <c r="D268" s="19"/>
      <c r="E268" s="19"/>
      <c r="F268" s="19"/>
      <c r="G268" s="19"/>
      <c r="H268" s="19"/>
      <c r="I268" s="19"/>
      <c r="J268" s="19"/>
      <c r="K268" s="24"/>
      <c r="L268" s="24"/>
      <c r="M268" s="66"/>
      <c r="N268" s="66"/>
      <c r="O268" s="24"/>
      <c r="P268" s="35"/>
      <c r="Q268" s="36"/>
      <c r="R268" s="36"/>
      <c r="S268" s="36"/>
      <c r="T268" s="36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</row>
    <row r="269">
      <c r="A269" s="38">
        <v>472.0</v>
      </c>
      <c r="B269" s="39" t="s">
        <v>1004</v>
      </c>
      <c r="C269" s="39"/>
      <c r="D269" s="38"/>
      <c r="E269" s="38"/>
      <c r="F269" s="38"/>
      <c r="G269" s="38"/>
      <c r="H269" s="38"/>
      <c r="I269" s="38"/>
      <c r="J269" s="38"/>
      <c r="K269" s="43"/>
      <c r="L269" s="43"/>
      <c r="M269" s="61"/>
      <c r="N269" s="61"/>
      <c r="O269" s="43"/>
      <c r="P269" s="44"/>
      <c r="Q269" s="45"/>
      <c r="R269" s="45"/>
      <c r="S269" s="45"/>
      <c r="T269" s="45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</row>
    <row r="270">
      <c r="A270" s="19">
        <v>463.0</v>
      </c>
      <c r="B270" s="21" t="s">
        <v>961</v>
      </c>
      <c r="C270" s="21" t="s">
        <v>961</v>
      </c>
      <c r="D270" s="19" t="s">
        <v>666</v>
      </c>
      <c r="E270" s="19" t="s">
        <v>727</v>
      </c>
      <c r="F270" s="19" t="s">
        <v>14</v>
      </c>
      <c r="G270" s="19" t="s">
        <v>511</v>
      </c>
      <c r="H270" s="19" t="s">
        <v>21</v>
      </c>
      <c r="I270" s="19" t="s">
        <v>1005</v>
      </c>
      <c r="J270" s="19" t="s">
        <v>965</v>
      </c>
      <c r="K270" s="24" t="s">
        <v>1006</v>
      </c>
      <c r="L270" s="25" t="s">
        <v>1007</v>
      </c>
      <c r="M270" s="66"/>
      <c r="N270" s="66"/>
      <c r="O270" s="25" t="s">
        <v>1008</v>
      </c>
      <c r="P270" s="35"/>
      <c r="Q270" s="36"/>
      <c r="R270" s="36"/>
      <c r="S270" s="36"/>
      <c r="T270" s="36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</row>
    <row r="271">
      <c r="A271" s="38">
        <v>464.0</v>
      </c>
      <c r="B271" s="39" t="s">
        <v>1009</v>
      </c>
      <c r="C271" s="39" t="s">
        <v>1010</v>
      </c>
      <c r="D271" s="38" t="s">
        <v>39</v>
      </c>
      <c r="E271" s="38" t="s">
        <v>1011</v>
      </c>
      <c r="F271" s="38" t="s">
        <v>1012</v>
      </c>
      <c r="G271" s="38"/>
      <c r="H271" s="38" t="s">
        <v>21</v>
      </c>
      <c r="I271" s="38" t="s">
        <v>1013</v>
      </c>
      <c r="J271" s="38" t="s">
        <v>1014</v>
      </c>
      <c r="K271" s="43" t="s">
        <v>1015</v>
      </c>
      <c r="L271" s="46" t="s">
        <v>1016</v>
      </c>
      <c r="M271" s="65" t="s">
        <v>1017</v>
      </c>
      <c r="N271" s="61"/>
      <c r="O271" s="43"/>
      <c r="P271" s="44"/>
      <c r="Q271" s="45"/>
      <c r="R271" s="45"/>
      <c r="S271" s="45"/>
      <c r="T271" s="45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</row>
    <row r="272">
      <c r="A272" s="19"/>
      <c r="B272" s="21" t="s">
        <v>1018</v>
      </c>
      <c r="C272" s="21" t="s">
        <v>1019</v>
      </c>
      <c r="D272" s="19" t="s">
        <v>1020</v>
      </c>
      <c r="E272" s="19" t="s">
        <v>1021</v>
      </c>
      <c r="F272" s="19" t="s">
        <v>14</v>
      </c>
      <c r="G272" s="19"/>
      <c r="H272" s="19" t="s">
        <v>21</v>
      </c>
      <c r="I272" s="19" t="s">
        <v>1022</v>
      </c>
      <c r="J272" s="19" t="s">
        <v>1023</v>
      </c>
      <c r="K272" s="24" t="s">
        <v>1024</v>
      </c>
      <c r="L272" s="24" t="s">
        <v>1025</v>
      </c>
      <c r="M272" s="66" t="s">
        <v>1026</v>
      </c>
      <c r="N272" s="66"/>
      <c r="O272" s="24" t="s">
        <v>1027</v>
      </c>
      <c r="P272" s="35"/>
      <c r="Q272" s="36"/>
      <c r="R272" s="36"/>
      <c r="S272" s="36"/>
      <c r="T272" s="36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</row>
    <row r="273">
      <c r="A273" s="38"/>
      <c r="B273" s="39" t="s">
        <v>1028</v>
      </c>
      <c r="C273" s="39" t="s">
        <v>554</v>
      </c>
      <c r="D273" s="38" t="s">
        <v>698</v>
      </c>
      <c r="E273" s="38" t="s">
        <v>1029</v>
      </c>
      <c r="F273" s="38" t="s">
        <v>1030</v>
      </c>
      <c r="G273" s="38"/>
      <c r="H273" s="38" t="s">
        <v>21</v>
      </c>
      <c r="I273" s="38" t="s">
        <v>1031</v>
      </c>
      <c r="J273" s="38" t="s">
        <v>1032</v>
      </c>
      <c r="K273" s="43" t="s">
        <v>1033</v>
      </c>
      <c r="L273" s="46" t="s">
        <v>1034</v>
      </c>
      <c r="M273" s="61"/>
      <c r="N273" s="61"/>
      <c r="O273" s="46" t="s">
        <v>1035</v>
      </c>
      <c r="P273" s="44"/>
      <c r="Q273" s="45"/>
      <c r="R273" s="45"/>
      <c r="S273" s="45"/>
      <c r="T273" s="45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</row>
    <row r="274">
      <c r="A274" s="19"/>
      <c r="B274" s="21" t="s">
        <v>1036</v>
      </c>
      <c r="C274" s="21" t="s">
        <v>1037</v>
      </c>
      <c r="D274" s="19" t="s">
        <v>1038</v>
      </c>
      <c r="E274" s="19" t="s">
        <v>692</v>
      </c>
      <c r="F274" s="19" t="s">
        <v>14</v>
      </c>
      <c r="G274" s="19"/>
      <c r="H274" s="19" t="s">
        <v>21</v>
      </c>
      <c r="I274" s="19" t="s">
        <v>1039</v>
      </c>
      <c r="J274" s="19" t="s">
        <v>1040</v>
      </c>
      <c r="K274" s="24" t="s">
        <v>1041</v>
      </c>
      <c r="L274" s="25" t="s">
        <v>1042</v>
      </c>
      <c r="M274" s="66" t="s">
        <v>1041</v>
      </c>
      <c r="N274" s="66"/>
      <c r="O274" s="25" t="s">
        <v>1043</v>
      </c>
      <c r="P274" s="35"/>
      <c r="Q274" s="36"/>
      <c r="R274" s="36"/>
      <c r="S274" s="36"/>
      <c r="T274" s="36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</row>
    <row r="275">
      <c r="A275" s="38">
        <v>468.0</v>
      </c>
      <c r="B275" s="39" t="s">
        <v>1044</v>
      </c>
      <c r="C275" s="39" t="s">
        <v>1045</v>
      </c>
      <c r="D275" s="38" t="s">
        <v>726</v>
      </c>
      <c r="E275" s="38"/>
      <c r="F275" s="38" t="s">
        <v>66</v>
      </c>
      <c r="G275" s="38"/>
      <c r="H275" s="38" t="s">
        <v>415</v>
      </c>
      <c r="I275" s="38" t="s">
        <v>1046</v>
      </c>
      <c r="J275" s="38" t="s">
        <v>1047</v>
      </c>
      <c r="K275" s="43" t="s">
        <v>1048</v>
      </c>
      <c r="L275" s="43"/>
      <c r="M275" s="61" t="s">
        <v>1048</v>
      </c>
      <c r="N275" s="65" t="s">
        <v>1049</v>
      </c>
      <c r="O275" s="46" t="s">
        <v>1050</v>
      </c>
      <c r="P275" s="44"/>
      <c r="Q275" s="45"/>
      <c r="R275" s="45"/>
      <c r="S275" s="45"/>
      <c r="T275" s="45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</row>
    <row r="276">
      <c r="A276" s="19"/>
      <c r="B276" s="21"/>
      <c r="C276" s="21"/>
      <c r="D276" s="19"/>
      <c r="E276" s="19"/>
      <c r="F276" s="19"/>
      <c r="G276" s="19"/>
      <c r="H276" s="19"/>
      <c r="I276" s="19"/>
      <c r="J276" s="19"/>
      <c r="K276" s="24"/>
      <c r="L276" s="24"/>
      <c r="M276" s="66"/>
      <c r="N276" s="66"/>
      <c r="O276" s="24"/>
      <c r="P276" s="35"/>
      <c r="Q276" s="36"/>
      <c r="R276" s="36"/>
      <c r="S276" s="36"/>
      <c r="T276" s="36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</row>
  </sheetData>
  <autoFilter ref="$A$1:$U$275">
    <sortState ref="A1:U275">
      <sortCondition ref="A1:A275"/>
      <sortCondition ref="B1:B275"/>
      <sortCondition ref="Q1:Q275"/>
      <sortCondition ref="P1:P275"/>
      <sortCondition descending="1" ref="U1:U275"/>
    </sortState>
  </autoFilter>
  <customSheetViews>
    <customSheetView guid="{EB1C237C-E71F-4B74-84F4-9042CEB8B96C}" filter="1" showAutoFilter="1">
      <autoFilter ref="$A$1:$U$275">
        <sortState ref="A1:U275">
          <sortCondition descending="1" ref="A1:A275"/>
        </sortState>
      </autoFilter>
    </customSheetView>
  </customSheetViews>
  <hyperlinks>
    <hyperlink r:id="rId1" ref="K2"/>
    <hyperlink r:id="rId2" ref="O2"/>
    <hyperlink r:id="rId3" ref="K3"/>
    <hyperlink r:id="rId4" ref="K4"/>
    <hyperlink r:id="rId5" ref="L4"/>
    <hyperlink r:id="rId6" ref="O4"/>
    <hyperlink r:id="rId7" ref="K5"/>
    <hyperlink r:id="rId8" ref="L5"/>
    <hyperlink r:id="rId9" ref="O5"/>
    <hyperlink r:id="rId10" ref="L6"/>
    <hyperlink r:id="rId11" ref="O6"/>
    <hyperlink r:id="rId12" ref="K7"/>
    <hyperlink r:id="rId13" ref="L7"/>
    <hyperlink r:id="rId14" ref="O7"/>
    <hyperlink r:id="rId15" ref="K8"/>
    <hyperlink r:id="rId16" ref="L8"/>
    <hyperlink r:id="rId17" ref="O8"/>
    <hyperlink r:id="rId18" ref="K9"/>
    <hyperlink r:id="rId19" ref="L9"/>
    <hyperlink r:id="rId20" ref="O9"/>
    <hyperlink r:id="rId21" ref="K10"/>
    <hyperlink r:id="rId22" ref="L10"/>
    <hyperlink r:id="rId23" ref="O10"/>
    <hyperlink r:id="rId24" ref="K11"/>
    <hyperlink r:id="rId25" ref="L11"/>
    <hyperlink r:id="rId26" ref="O11"/>
    <hyperlink r:id="rId27" ref="K12"/>
    <hyperlink r:id="rId28" ref="L12"/>
    <hyperlink r:id="rId29" ref="O12"/>
    <hyperlink r:id="rId30" ref="K13"/>
    <hyperlink r:id="rId31" ref="L13"/>
    <hyperlink r:id="rId32" ref="O13"/>
    <hyperlink r:id="rId33" ref="K14"/>
    <hyperlink r:id="rId34" ref="L14"/>
    <hyperlink r:id="rId35" ref="M14"/>
    <hyperlink r:id="rId36" ref="O14"/>
    <hyperlink r:id="rId37" ref="K15"/>
    <hyperlink r:id="rId38" ref="L15"/>
    <hyperlink r:id="rId39" ref="O15"/>
    <hyperlink r:id="rId40" ref="K16"/>
    <hyperlink r:id="rId41" ref="L16"/>
    <hyperlink r:id="rId42" ref="O16"/>
    <hyperlink r:id="rId43" ref="K17"/>
    <hyperlink r:id="rId44" ref="L17"/>
    <hyperlink r:id="rId45" ref="O17"/>
    <hyperlink r:id="rId46" ref="L18"/>
    <hyperlink r:id="rId47" ref="O18"/>
    <hyperlink r:id="rId48" ref="K20"/>
    <hyperlink r:id="rId49" ref="L20"/>
    <hyperlink r:id="rId50" ref="O20"/>
    <hyperlink r:id="rId51" ref="L21"/>
    <hyperlink r:id="rId52" ref="O21"/>
    <hyperlink r:id="rId53" ref="O23"/>
    <hyperlink r:id="rId54" ref="O24"/>
    <hyperlink r:id="rId55" ref="K25"/>
    <hyperlink r:id="rId56" ref="L25"/>
    <hyperlink r:id="rId57" ref="O25"/>
    <hyperlink r:id="rId58" ref="K26"/>
    <hyperlink r:id="rId59" ref="L26"/>
    <hyperlink r:id="rId60" ref="O26"/>
    <hyperlink r:id="rId61" ref="K27"/>
    <hyperlink r:id="rId62" ref="L27"/>
    <hyperlink r:id="rId63" ref="N27"/>
    <hyperlink r:id="rId64" ref="O27"/>
    <hyperlink r:id="rId65" ref="K28"/>
    <hyperlink r:id="rId66" ref="L28"/>
    <hyperlink r:id="rId67" ref="O28"/>
    <hyperlink r:id="rId68" ref="L29"/>
    <hyperlink r:id="rId69" ref="O29"/>
    <hyperlink r:id="rId70" ref="K30"/>
    <hyperlink r:id="rId71" ref="L30"/>
    <hyperlink r:id="rId72" ref="O30"/>
    <hyperlink r:id="rId73" ref="K31"/>
    <hyperlink r:id="rId74" ref="L31"/>
    <hyperlink r:id="rId75" ref="O31"/>
    <hyperlink r:id="rId76" ref="K32"/>
    <hyperlink r:id="rId77" ref="L32"/>
    <hyperlink r:id="rId78" ref="O32"/>
    <hyperlink r:id="rId79" ref="K33"/>
    <hyperlink r:id="rId80" ref="L33"/>
    <hyperlink r:id="rId81" ref="O33"/>
    <hyperlink r:id="rId82" ref="K34"/>
    <hyperlink r:id="rId83" ref="L34"/>
    <hyperlink r:id="rId84" ref="O34"/>
    <hyperlink r:id="rId85" ref="K35"/>
    <hyperlink r:id="rId86" ref="L35"/>
    <hyperlink r:id="rId87" ref="O35"/>
    <hyperlink r:id="rId88" ref="K36"/>
    <hyperlink r:id="rId89" ref="L36"/>
    <hyperlink r:id="rId90" ref="O36"/>
    <hyperlink r:id="rId91" ref="K37"/>
    <hyperlink r:id="rId92" ref="L37"/>
    <hyperlink r:id="rId93" ref="O37"/>
    <hyperlink r:id="rId94" ref="O38"/>
    <hyperlink r:id="rId95" ref="K39"/>
    <hyperlink r:id="rId96" ref="L39"/>
    <hyperlink r:id="rId97" ref="O39"/>
    <hyperlink r:id="rId98" ref="K40"/>
    <hyperlink r:id="rId99" ref="L40"/>
    <hyperlink r:id="rId100" ref="O40"/>
    <hyperlink r:id="rId101" ref="K41"/>
    <hyperlink r:id="rId102" ref="L41"/>
    <hyperlink r:id="rId103" ref="O41"/>
    <hyperlink r:id="rId104" ref="K42"/>
    <hyperlink r:id="rId105" ref="O42"/>
    <hyperlink r:id="rId106" ref="K43"/>
    <hyperlink r:id="rId107" ref="L43"/>
    <hyperlink r:id="rId108" ref="O43"/>
    <hyperlink r:id="rId109" ref="K44"/>
    <hyperlink r:id="rId110" ref="O44"/>
    <hyperlink r:id="rId111" ref="L45"/>
    <hyperlink r:id="rId112" ref="O45"/>
    <hyperlink r:id="rId113" ref="K46"/>
    <hyperlink r:id="rId114" ref="L46"/>
    <hyperlink r:id="rId115" ref="O46"/>
    <hyperlink r:id="rId116" ref="K47"/>
    <hyperlink r:id="rId117" ref="L47"/>
    <hyperlink r:id="rId118" ref="O47"/>
    <hyperlink r:id="rId119" ref="K48"/>
    <hyperlink r:id="rId120" ref="L48"/>
    <hyperlink r:id="rId121" ref="O48"/>
    <hyperlink r:id="rId122" ref="K49"/>
    <hyperlink r:id="rId123" ref="L49"/>
    <hyperlink r:id="rId124" ref="M49"/>
    <hyperlink r:id="rId125" ref="N49"/>
    <hyperlink r:id="rId126" ref="O49"/>
    <hyperlink r:id="rId127" ref="K50"/>
    <hyperlink r:id="rId128" ref="L50"/>
    <hyperlink r:id="rId129" ref="N50"/>
    <hyperlink r:id="rId130" ref="O50"/>
    <hyperlink r:id="rId131" ref="N51"/>
    <hyperlink r:id="rId132" ref="O51"/>
    <hyperlink r:id="rId133" ref="K52"/>
    <hyperlink r:id="rId134" ref="L52"/>
    <hyperlink r:id="rId135" ref="O52"/>
    <hyperlink r:id="rId136" ref="K53"/>
    <hyperlink r:id="rId137" ref="O53"/>
    <hyperlink r:id="rId138" ref="K54"/>
    <hyperlink r:id="rId139" ref="L54"/>
    <hyperlink r:id="rId140" ref="N54"/>
    <hyperlink r:id="rId141" ref="O54"/>
    <hyperlink r:id="rId142" ref="K55"/>
    <hyperlink r:id="rId143" ref="O55"/>
    <hyperlink r:id="rId144" ref="K56"/>
    <hyperlink r:id="rId145" ref="L56"/>
    <hyperlink r:id="rId146" ref="O56"/>
    <hyperlink r:id="rId147" ref="K57"/>
    <hyperlink r:id="rId148" ref="L57"/>
    <hyperlink r:id="rId149" ref="O57"/>
    <hyperlink r:id="rId150" ref="K58"/>
    <hyperlink r:id="rId151" ref="L58"/>
    <hyperlink r:id="rId152" ref="O58"/>
    <hyperlink r:id="rId153" ref="K59"/>
    <hyperlink r:id="rId154" ref="O59"/>
    <hyperlink r:id="rId155" ref="L60"/>
    <hyperlink r:id="rId156" ref="N60"/>
    <hyperlink r:id="rId157" ref="O60"/>
    <hyperlink r:id="rId158" ref="K116"/>
    <hyperlink r:id="rId159" ref="L116"/>
    <hyperlink r:id="rId160" ref="B124"/>
    <hyperlink r:id="rId161" ref="K201"/>
    <hyperlink r:id="rId162" ref="L201"/>
    <hyperlink r:id="rId163" ref="K202"/>
    <hyperlink r:id="rId164" ref="L202"/>
    <hyperlink r:id="rId165" ref="K203"/>
    <hyperlink r:id="rId166" ref="O203"/>
    <hyperlink r:id="rId167" ref="K204"/>
    <hyperlink r:id="rId168" ref="K205"/>
    <hyperlink r:id="rId169" ref="K206"/>
    <hyperlink r:id="rId170" ref="L206"/>
    <hyperlink r:id="rId171" ref="M206"/>
    <hyperlink r:id="rId172" ref="K207"/>
    <hyperlink r:id="rId173" ref="L207"/>
    <hyperlink r:id="rId174" ref="K208"/>
    <hyperlink r:id="rId175" ref="K213"/>
    <hyperlink r:id="rId176" ref="O213"/>
    <hyperlink r:id="rId177" ref="K216"/>
    <hyperlink r:id="rId178" ref="O216"/>
    <hyperlink r:id="rId179" ref="K217"/>
    <hyperlink r:id="rId180" ref="O217"/>
    <hyperlink r:id="rId181" ref="K218"/>
    <hyperlink r:id="rId182" ref="K219"/>
    <hyperlink r:id="rId183" ref="O219"/>
    <hyperlink r:id="rId184" ref="K220"/>
    <hyperlink r:id="rId185" ref="O220"/>
    <hyperlink r:id="rId186" ref="K221"/>
    <hyperlink r:id="rId187" ref="K222"/>
    <hyperlink r:id="rId188" ref="O222"/>
    <hyperlink r:id="rId189" ref="K223"/>
    <hyperlink r:id="rId190" ref="O223"/>
    <hyperlink r:id="rId191" ref="L224"/>
    <hyperlink r:id="rId192" ref="M224"/>
    <hyperlink r:id="rId193" ref="K225"/>
    <hyperlink r:id="rId194" ref="L225"/>
    <hyperlink r:id="rId195" ref="N225"/>
    <hyperlink r:id="rId196" ref="O225"/>
    <hyperlink r:id="rId197" ref="K226"/>
    <hyperlink r:id="rId198" ref="L226"/>
    <hyperlink r:id="rId199" ref="O226"/>
    <hyperlink r:id="rId200" ref="L227"/>
    <hyperlink r:id="rId201" ref="M227"/>
    <hyperlink r:id="rId202" ref="K228"/>
    <hyperlink r:id="rId203" ref="L228"/>
    <hyperlink r:id="rId204" ref="M228"/>
    <hyperlink r:id="rId205" ref="K229"/>
    <hyperlink r:id="rId206" ref="L229"/>
    <hyperlink r:id="rId207" ref="N229"/>
    <hyperlink r:id="rId208" ref="L230"/>
    <hyperlink r:id="rId209" ref="O230"/>
    <hyperlink r:id="rId210" ref="L231"/>
    <hyperlink r:id="rId211" ref="O231"/>
    <hyperlink r:id="rId212" ref="K232"/>
    <hyperlink r:id="rId213" ref="L232"/>
    <hyperlink r:id="rId214" ref="M232"/>
    <hyperlink r:id="rId215" ref="N232"/>
    <hyperlink r:id="rId216" ref="O232"/>
    <hyperlink r:id="rId217" ref="K233"/>
    <hyperlink r:id="rId218" ref="M233"/>
    <hyperlink r:id="rId219" ref="N233"/>
    <hyperlink r:id="rId220" ref="K234"/>
    <hyperlink r:id="rId221" ref="L234"/>
    <hyperlink r:id="rId222" ref="N234"/>
    <hyperlink r:id="rId223" ref="L235"/>
    <hyperlink r:id="rId224" ref="K237"/>
    <hyperlink r:id="rId225" ref="L237"/>
    <hyperlink r:id="rId226" ref="O237"/>
    <hyperlink r:id="rId227" ref="L238"/>
    <hyperlink r:id="rId228" ref="O238"/>
    <hyperlink r:id="rId229" ref="L239"/>
    <hyperlink r:id="rId230" ref="M239"/>
    <hyperlink r:id="rId231" ref="L241"/>
    <hyperlink r:id="rId232" ref="M241"/>
    <hyperlink r:id="rId233" ref="K242"/>
    <hyperlink r:id="rId234" ref="L242"/>
    <hyperlink r:id="rId235" ref="L243"/>
    <hyperlink r:id="rId236" ref="N243"/>
    <hyperlink r:id="rId237" ref="O243"/>
    <hyperlink r:id="rId238" ref="L244"/>
    <hyperlink r:id="rId239" ref="O244"/>
    <hyperlink r:id="rId240" ref="L246"/>
    <hyperlink r:id="rId241" ref="O246"/>
    <hyperlink r:id="rId242" ref="K247"/>
    <hyperlink r:id="rId243" ref="L247"/>
    <hyperlink r:id="rId244" ref="M247"/>
    <hyperlink r:id="rId245" ref="N247"/>
    <hyperlink r:id="rId246" ref="O247"/>
    <hyperlink r:id="rId247" ref="L248"/>
    <hyperlink r:id="rId248" ref="N248"/>
    <hyperlink r:id="rId249" ref="O248"/>
    <hyperlink r:id="rId250" ref="L249"/>
    <hyperlink r:id="rId251" ref="M249"/>
    <hyperlink r:id="rId252" ref="N249"/>
    <hyperlink r:id="rId253" ref="L250"/>
    <hyperlink r:id="rId254" ref="O250"/>
    <hyperlink r:id="rId255" ref="K251"/>
    <hyperlink r:id="rId256" ref="L251"/>
    <hyperlink r:id="rId257" ref="M251"/>
    <hyperlink r:id="rId258" ref="O251"/>
    <hyperlink r:id="rId259" ref="O252"/>
    <hyperlink r:id="rId260" ref="K253"/>
    <hyperlink r:id="rId261" ref="N253"/>
    <hyperlink r:id="rId262" ref="O253"/>
    <hyperlink r:id="rId263" ref="K254"/>
    <hyperlink r:id="rId264" ref="L254"/>
    <hyperlink r:id="rId265" ref="M254"/>
    <hyperlink r:id="rId266" ref="N254"/>
    <hyperlink r:id="rId267" ref="O254"/>
    <hyperlink r:id="rId268" ref="L255"/>
    <hyperlink r:id="rId269" ref="O255"/>
    <hyperlink r:id="rId270" ref="K256"/>
    <hyperlink r:id="rId271" ref="L256"/>
    <hyperlink r:id="rId272" ref="N256"/>
    <hyperlink r:id="rId273" ref="O257"/>
    <hyperlink r:id="rId274" ref="O258"/>
    <hyperlink r:id="rId275" ref="O259"/>
    <hyperlink r:id="rId276" ref="J260"/>
    <hyperlink r:id="rId277" ref="L260"/>
    <hyperlink r:id="rId278" ref="O260"/>
    <hyperlink r:id="rId279" ref="O262"/>
    <hyperlink r:id="rId280" ref="J263"/>
    <hyperlink r:id="rId281" ref="J264"/>
    <hyperlink r:id="rId282" ref="O264"/>
    <hyperlink r:id="rId283" ref="L270"/>
    <hyperlink r:id="rId284" ref="O270"/>
    <hyperlink r:id="rId285" ref="L271"/>
    <hyperlink r:id="rId286" ref="M271"/>
    <hyperlink r:id="rId287" ref="L273"/>
    <hyperlink r:id="rId288" ref="O273"/>
    <hyperlink r:id="rId289" ref="L274"/>
    <hyperlink r:id="rId290" ref="O274"/>
    <hyperlink r:id="rId291" ref="N275"/>
    <hyperlink r:id="rId292" ref="O275"/>
  </hyperlinks>
  <drawing r:id="rId2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3" max="3" width="28.25"/>
    <col customWidth="1" hidden="1" min="4" max="4" width="14.63"/>
    <col customWidth="1" hidden="1" min="5" max="5" width="16.38"/>
    <col customWidth="1" hidden="1" min="6" max="6" width="14.63"/>
    <col hidden="1" min="7" max="16" width="12.63"/>
    <col customWidth="1" min="17" max="17" width="18.38"/>
    <col customWidth="1" min="18" max="18" width="36.75"/>
  </cols>
  <sheetData>
    <row r="1">
      <c r="A1" s="47" t="s">
        <v>79</v>
      </c>
      <c r="B1" s="48" t="s">
        <v>80</v>
      </c>
      <c r="C1" s="48">
        <v>25.0</v>
      </c>
    </row>
    <row r="2">
      <c r="B2" s="49" t="s">
        <v>81</v>
      </c>
      <c r="C2" s="50" t="s">
        <v>2</v>
      </c>
      <c r="D2" s="51" t="s">
        <v>4</v>
      </c>
      <c r="E2" s="52" t="s">
        <v>5</v>
      </c>
      <c r="F2" s="52" t="s">
        <v>6</v>
      </c>
      <c r="G2" s="52" t="s">
        <v>7</v>
      </c>
      <c r="H2" s="52" t="s">
        <v>8</v>
      </c>
      <c r="I2" s="52" t="s">
        <v>9</v>
      </c>
      <c r="J2" s="52" t="s">
        <v>10</v>
      </c>
      <c r="K2" s="52" t="s">
        <v>12</v>
      </c>
      <c r="L2" s="52" t="s">
        <v>13</v>
      </c>
      <c r="M2" s="53" t="s">
        <v>15</v>
      </c>
      <c r="N2" s="53" t="s">
        <v>16</v>
      </c>
      <c r="O2" s="53" t="s">
        <v>17</v>
      </c>
      <c r="P2" s="53" t="s">
        <v>18</v>
      </c>
      <c r="Q2" s="54" t="s">
        <v>19</v>
      </c>
      <c r="R2" s="53" t="s">
        <v>22</v>
      </c>
      <c r="S2" s="53" t="s">
        <v>23</v>
      </c>
      <c r="T2" s="53" t="s">
        <v>24</v>
      </c>
      <c r="U2" s="53" t="s">
        <v>25</v>
      </c>
      <c r="V2" s="55" t="s">
        <v>26</v>
      </c>
    </row>
    <row r="3">
      <c r="B3" s="7">
        <f t="array" ref="B3:B27">iferror(rank(V3:V27, V3:V27, False), "")</f>
        <v>1</v>
      </c>
      <c r="C3" s="7" t="str">
        <f>IFERROR(__xludf.DUMMYFUNCTION("SORTN('Roster Info'!B44:U1000, C1, false, 'Roster Info'!U44:U1000, false)"),"Chande")</f>
        <v>Chande</v>
      </c>
      <c r="D3" s="7"/>
      <c r="E3" s="7"/>
      <c r="F3" s="7"/>
      <c r="G3" s="7"/>
      <c r="H3" s="7"/>
      <c r="I3" s="7" t="str">
        <f>IFERROR(__xludf.DUMMYFUNCTION("""COMPUTED_VALUE"""),"DJ")</f>
        <v>DJ</v>
      </c>
      <c r="J3" s="7"/>
      <c r="K3" s="7"/>
      <c r="L3" s="7"/>
      <c r="M3" s="7"/>
      <c r="N3" s="7"/>
      <c r="O3" s="7"/>
      <c r="P3" s="7"/>
      <c r="Q3" s="56">
        <f>IFERROR(__xludf.DUMMYFUNCTION("""COMPUTED_VALUE"""),45248.0)</f>
        <v>45248</v>
      </c>
      <c r="R3" s="7" t="str">
        <f>IFERROR(__xludf.DUMMYFUNCTION("""COMPUTED_VALUE"""),"Warehouse Project 2023")</f>
        <v>Warehouse Project 2023</v>
      </c>
      <c r="S3" s="7">
        <f>IFERROR(__xludf.DUMMYFUNCTION("""COMPUTED_VALUE"""),2.0)</f>
        <v>2</v>
      </c>
      <c r="T3" s="7">
        <f>IFERROR(__xludf.DUMMYFUNCTION("""COMPUTED_VALUE"""),4.0)</f>
        <v>4</v>
      </c>
      <c r="U3" s="7">
        <f>IFERROR(__xludf.DUMMYFUNCTION("""COMPUTED_VALUE"""),5.0)</f>
        <v>5</v>
      </c>
      <c r="V3" s="7">
        <f>IFERROR(__xludf.DUMMYFUNCTION("""COMPUTED_VALUE"""),25.0)</f>
        <v>25</v>
      </c>
    </row>
    <row r="4">
      <c r="B4" s="7">
        <v>2.0</v>
      </c>
      <c r="C4" s="7" t="str">
        <f>IFERROR(__xludf.DUMMYFUNCTION("""COMPUTED_VALUE"""),"Nadī")</f>
        <v>Nadī</v>
      </c>
      <c r="D4" s="7" t="str">
        <f>IFERROR(__xludf.DUMMYFUNCTION("""COMPUTED_VALUE"""),"Samia")</f>
        <v>Samia</v>
      </c>
      <c r="E4" s="7"/>
      <c r="F4" s="7"/>
      <c r="G4" s="7" t="str">
        <f>IFERROR(__xludf.DUMMYFUNCTION("""COMPUTED_VALUE"""),"London")</f>
        <v>London</v>
      </c>
      <c r="H4" s="7"/>
      <c r="I4" s="7" t="str">
        <f>IFERROR(__xludf.DUMMYFUNCTION("""COMPUTED_VALUE"""),"DJ")</f>
        <v>DJ</v>
      </c>
      <c r="J4" s="7" t="str">
        <f>IFERROR(__xludf.DUMMYFUNCTION("""COMPUTED_VALUE"""),"Club, dancehall, R&amp;b, hiphop, Asian underground and more ")</f>
        <v>Club, dancehall, R&amp;b, hiphop, Asian underground and more </v>
      </c>
      <c r="K4" s="7" t="str">
        <f>IFERROR(__xludf.DUMMYFUNCTION("""COMPUTED_VALUE"""),"nadi.enquiries@gmail.com")</f>
        <v>nadi.enquiries@gmail.com</v>
      </c>
      <c r="L4" s="57" t="str">
        <f>IFERROR(__xludf.DUMMYFUNCTION("""COMPUTED_VALUE"""),"https://www.instagram.com/nadi_bpm/")</f>
        <v>https://www.instagram.com/nadi_bpm/</v>
      </c>
      <c r="M4" s="57" t="str">
        <f>IFERROR(__xludf.DUMMYFUNCTION("""COMPUTED_VALUE"""),"https://soundcloud.com/thisisnadi")</f>
        <v>https://soundcloud.com/thisisnadi</v>
      </c>
      <c r="N4" s="7"/>
      <c r="O4" s="7"/>
      <c r="P4" s="57" t="str">
        <f>IFERROR(__xludf.DUMMYFUNCTION("""COMPUTED_VALUE"""),"https://www.thisisnadi.com")</f>
        <v>https://www.thisisnadi.com</v>
      </c>
      <c r="Q4" s="56">
        <f>IFERROR(__xludf.DUMMYFUNCTION("""COMPUTED_VALUE"""),45149.0)</f>
        <v>45149</v>
      </c>
      <c r="R4" s="7" t="str">
        <f>IFERROR(__xludf.DUMMYFUNCTION("""COMPUTED_VALUE"""),"Phonox Residency August 2023")</f>
        <v>Phonox Residency August 2023</v>
      </c>
      <c r="S4" s="7">
        <f>IFERROR(__xludf.DUMMYFUNCTION("""COMPUTED_VALUE"""),4.0)</f>
        <v>4</v>
      </c>
      <c r="T4" s="7">
        <f>IFERROR(__xludf.DUMMYFUNCTION("""COMPUTED_VALUE"""),4.0)</f>
        <v>4</v>
      </c>
      <c r="U4" s="7">
        <f>IFERROR(__xludf.DUMMYFUNCTION("""COMPUTED_VALUE"""),2.0)</f>
        <v>2</v>
      </c>
      <c r="V4" s="7">
        <f>IFERROR(__xludf.DUMMYFUNCTION("""COMPUTED_VALUE"""),18.0)</f>
        <v>18</v>
      </c>
    </row>
    <row r="5">
      <c r="B5" s="7">
        <v>3.0</v>
      </c>
      <c r="C5" s="7" t="str">
        <f>IFERROR(__xludf.DUMMYFUNCTION("""COMPUTED_VALUE"""),"yourboykiran")</f>
        <v>yourboykiran</v>
      </c>
      <c r="D5" s="7" t="str">
        <f>IFERROR(__xludf.DUMMYFUNCTION("""COMPUTED_VALUE"""),"Kiran Kotecha")</f>
        <v>Kiran Kotecha</v>
      </c>
      <c r="E5" s="7"/>
      <c r="F5" s="7"/>
      <c r="G5" s="7" t="str">
        <f>IFERROR(__xludf.DUMMYFUNCTION("""COMPUTED_VALUE"""),"London")</f>
        <v>London</v>
      </c>
      <c r="H5" s="7"/>
      <c r="I5" s="7" t="str">
        <f>IFERROR(__xludf.DUMMYFUNCTION("""COMPUTED_VALUE"""),"DJ")</f>
        <v>DJ</v>
      </c>
      <c r="J5" s="7" t="str">
        <f>IFERROR(__xludf.DUMMYFUNCTION("""COMPUTED_VALUE"""),"Flips + Edits / Baile Funk / UK Funky / Breaks / UKG / 140 / Electro / 160 / Jungle")</f>
        <v>Flips + Edits / Baile Funk / UK Funky / Breaks / UKG / 140 / Electro / 160 / Jungle</v>
      </c>
      <c r="K5" s="7" t="str">
        <f>IFERROR(__xludf.DUMMYFUNCTION("""COMPUTED_VALUE"""),"yourboykiran@gmail.com")</f>
        <v>yourboykiran@gmail.com</v>
      </c>
      <c r="L5" s="57" t="str">
        <f>IFERROR(__xludf.DUMMYFUNCTION("""COMPUTED_VALUE"""),"https://www.instagram.com/yourboykiran/")</f>
        <v>https://www.instagram.com/yourboykiran/</v>
      </c>
      <c r="M5" s="57" t="str">
        <f>IFERROR(__xludf.DUMMYFUNCTION("""COMPUTED_VALUE"""),"https://soundcloud.com/yourboykiran")</f>
        <v>https://soundcloud.com/yourboykiran</v>
      </c>
      <c r="N5" s="7"/>
      <c r="O5" s="57" t="str">
        <f>IFERROR(__xludf.DUMMYFUNCTION("""COMPUTED_VALUE"""),"https://lnk.bio/yourboykiran")</f>
        <v>https://lnk.bio/yourboykiran</v>
      </c>
      <c r="P5" s="57" t="str">
        <f>IFERROR(__xludf.DUMMYFUNCTION("""COMPUTED_VALUE"""),"https://soundcloud.com/yourboykiran")</f>
        <v>https://soundcloud.com/yourboykiran</v>
      </c>
      <c r="Q5" s="56">
        <f>IFERROR(__xludf.DUMMYFUNCTION("""COMPUTED_VALUE"""),45325.0)</f>
        <v>45325</v>
      </c>
      <c r="R5" s="7" t="str">
        <f>IFERROR(__xludf.DUMMYFUNCTION("""COMPUTED_VALUE"""),"DT x NDR Versus")</f>
        <v>DT x NDR Versus</v>
      </c>
      <c r="S5" s="7">
        <f>IFERROR(__xludf.DUMMYFUNCTION("""COMPUTED_VALUE"""),1.0)</f>
        <v>1</v>
      </c>
      <c r="T5" s="7">
        <f>IFERROR(__xludf.DUMMYFUNCTION("""COMPUTED_VALUE"""),4.0)</f>
        <v>4</v>
      </c>
      <c r="U5" s="7">
        <f>IFERROR(__xludf.DUMMYFUNCTION("""COMPUTED_VALUE"""),2.0)</f>
        <v>2</v>
      </c>
      <c r="V5" s="7">
        <f>IFERROR(__xludf.DUMMYFUNCTION("""COMPUTED_VALUE"""),15.0)</f>
        <v>15</v>
      </c>
    </row>
    <row r="6">
      <c r="B6" s="7">
        <v>4.0</v>
      </c>
      <c r="C6" s="7" t="str">
        <f>IFERROR(__xludf.DUMMYFUNCTION("""COMPUTED_VALUE"""),"Mahnoor")</f>
        <v>Mahnoor</v>
      </c>
      <c r="D6" s="7"/>
      <c r="E6" s="7"/>
      <c r="F6" s="7"/>
      <c r="G6" s="7"/>
      <c r="H6" s="7"/>
      <c r="I6" s="7" t="str">
        <f>IFERROR(__xludf.DUMMYFUNCTION("""COMPUTED_VALUE"""),"DJ")</f>
        <v>DJ</v>
      </c>
      <c r="J6" s="7"/>
      <c r="K6" s="7"/>
      <c r="L6" s="7"/>
      <c r="M6" s="7"/>
      <c r="N6" s="7"/>
      <c r="O6" s="7"/>
      <c r="P6" s="7"/>
      <c r="Q6" s="56">
        <f>IFERROR(__xludf.DUMMYFUNCTION("""COMPUTED_VALUE"""),45415.0)</f>
        <v>45415</v>
      </c>
      <c r="R6" s="7" t="str">
        <f>IFERROR(__xludf.DUMMYFUNCTION("""COMPUTED_VALUE"""),"Liberation Squares Press Night")</f>
        <v>Liberation Squares Press Night</v>
      </c>
      <c r="S6" s="7">
        <f>IFERROR(__xludf.DUMMYFUNCTION("""COMPUTED_VALUE"""),1.0)</f>
        <v>1</v>
      </c>
      <c r="T6" s="7">
        <f>IFERROR(__xludf.DUMMYFUNCTION("""COMPUTED_VALUE"""),3.0)</f>
        <v>3</v>
      </c>
      <c r="U6" s="7">
        <f>IFERROR(__xludf.DUMMYFUNCTION("""COMPUTED_VALUE"""),2.0)</f>
        <v>2</v>
      </c>
      <c r="V6" s="7">
        <f>IFERROR(__xludf.DUMMYFUNCTION("""COMPUTED_VALUE"""),13.0)</f>
        <v>13</v>
      </c>
    </row>
    <row r="7">
      <c r="B7" s="7">
        <v>5.0</v>
      </c>
      <c r="C7" s="7" t="str">
        <f>IFERROR(__xludf.DUMMYFUNCTION("""COMPUTED_VALUE"""),"amad.png")</f>
        <v>amad.png</v>
      </c>
      <c r="D7" s="7" t="str">
        <f>IFERROR(__xludf.DUMMYFUNCTION("""COMPUTED_VALUE"""),"amad ilyas")</f>
        <v>amad ilyas</v>
      </c>
      <c r="E7" s="7"/>
      <c r="F7" s="7"/>
      <c r="G7" s="7"/>
      <c r="H7" s="7"/>
      <c r="I7" s="7" t="str">
        <f>IFERROR(__xludf.DUMMYFUNCTION("""COMPUTED_VALUE"""),"DJ")</f>
        <v>DJ</v>
      </c>
      <c r="J7" s="7"/>
      <c r="K7" s="7"/>
      <c r="L7" s="7"/>
      <c r="M7" s="7"/>
      <c r="N7" s="7"/>
      <c r="O7" s="7"/>
      <c r="P7" s="7"/>
      <c r="Q7" s="56">
        <f>IFERROR(__xludf.DUMMYFUNCTION("""COMPUTED_VALUE"""),44806.0)</f>
        <v>44806</v>
      </c>
      <c r="R7" s="7" t="str">
        <f>IFERROR(__xludf.DUMMYFUNCTION("""COMPUTED_VALUE"""),"Field Maneuvers 2022")</f>
        <v>Field Maneuvers 2022</v>
      </c>
      <c r="S7" s="7">
        <f>IFERROR(__xludf.DUMMYFUNCTION("""COMPUTED_VALUE"""),3.0)</f>
        <v>3</v>
      </c>
      <c r="T7" s="7">
        <f>IFERROR(__xludf.DUMMYFUNCTION("""COMPUTED_VALUE"""),3.0)</f>
        <v>3</v>
      </c>
      <c r="U7" s="7">
        <f>IFERROR(__xludf.DUMMYFUNCTION("""COMPUTED_VALUE"""),1.0)</f>
        <v>1</v>
      </c>
      <c r="V7" s="7">
        <f>IFERROR(__xludf.DUMMYFUNCTION("""COMPUTED_VALUE"""),12.0)</f>
        <v>12</v>
      </c>
    </row>
    <row r="8">
      <c r="B8" s="7">
        <v>6.0</v>
      </c>
      <c r="C8" s="7" t="str">
        <f>IFERROR(__xludf.DUMMYFUNCTION("""COMPUTED_VALUE"""),"Riva")</f>
        <v>Riva</v>
      </c>
      <c r="D8" s="7"/>
      <c r="E8" s="7"/>
      <c r="F8" s="7"/>
      <c r="G8" s="7"/>
      <c r="H8" s="7"/>
      <c r="I8" s="7" t="str">
        <f>IFERROR(__xludf.DUMMYFUNCTION("""COMPUTED_VALUE"""),"DJ")</f>
        <v>DJ</v>
      </c>
      <c r="J8" s="7"/>
      <c r="K8" s="7"/>
      <c r="L8" s="7"/>
      <c r="M8" s="7"/>
      <c r="N8" s="7"/>
      <c r="O8" s="7"/>
      <c r="P8" s="7"/>
      <c r="Q8" s="56">
        <f>IFERROR(__xludf.DUMMYFUNCTION("""COMPUTED_VALUE"""),44806.0)</f>
        <v>44806</v>
      </c>
      <c r="R8" s="7" t="str">
        <f>IFERROR(__xludf.DUMMYFUNCTION("""COMPUTED_VALUE"""),"Field Maneuvers 2022")</f>
        <v>Field Maneuvers 2022</v>
      </c>
      <c r="S8" s="7">
        <f>IFERROR(__xludf.DUMMYFUNCTION("""COMPUTED_VALUE"""),0.0)</f>
        <v>0</v>
      </c>
      <c r="T8" s="7">
        <f>IFERROR(__xludf.DUMMYFUNCTION("""COMPUTED_VALUE"""),4.0)</f>
        <v>4</v>
      </c>
      <c r="U8" s="7">
        <f>IFERROR(__xludf.DUMMYFUNCTION("""COMPUTED_VALUE"""),1.0)</f>
        <v>1</v>
      </c>
      <c r="V8" s="7">
        <f>IFERROR(__xludf.DUMMYFUNCTION("""COMPUTED_VALUE"""),11.0)</f>
        <v>11</v>
      </c>
    </row>
    <row r="9">
      <c r="B9" s="7">
        <v>6.0</v>
      </c>
      <c r="C9" s="7" t="str">
        <f>IFERROR(__xludf.DUMMYFUNCTION("""COMPUTED_VALUE"""),"Vindya")</f>
        <v>Vindya</v>
      </c>
      <c r="D9" s="7"/>
      <c r="E9" s="7"/>
      <c r="F9" s="7"/>
      <c r="G9" s="7"/>
      <c r="H9" s="7"/>
      <c r="I9" s="7" t="str">
        <f>IFERROR(__xludf.DUMMYFUNCTION("""COMPUTED_VALUE"""),"DJ, Live Act")</f>
        <v>DJ, Live Act</v>
      </c>
      <c r="J9" s="7"/>
      <c r="K9" s="7"/>
      <c r="L9" s="7"/>
      <c r="M9" s="7"/>
      <c r="N9" s="7"/>
      <c r="O9" s="7"/>
      <c r="P9" s="7"/>
      <c r="Q9" s="56">
        <f>IFERROR(__xludf.DUMMYFUNCTION("""COMPUTED_VALUE"""),45106.0)</f>
        <v>45106</v>
      </c>
      <c r="R9" s="7" t="str">
        <f>IFERROR(__xludf.DUMMYFUNCTION("""COMPUTED_VALUE"""),"MIF")</f>
        <v>MIF</v>
      </c>
      <c r="S9" s="7">
        <f>IFERROR(__xludf.DUMMYFUNCTION("""COMPUTED_VALUE"""),0.0)</f>
        <v>0</v>
      </c>
      <c r="T9" s="7">
        <f>IFERROR(__xludf.DUMMYFUNCTION("""COMPUTED_VALUE"""),4.0)</f>
        <v>4</v>
      </c>
      <c r="U9" s="7">
        <f>IFERROR(__xludf.DUMMYFUNCTION("""COMPUTED_VALUE"""),1.0)</f>
        <v>1</v>
      </c>
      <c r="V9" s="7">
        <f>IFERROR(__xludf.DUMMYFUNCTION("""COMPUTED_VALUE"""),11.0)</f>
        <v>11</v>
      </c>
    </row>
    <row r="10">
      <c r="B10" s="7">
        <v>8.0</v>
      </c>
      <c r="C10" s="7" t="str">
        <f>IFERROR(__xludf.DUMMYFUNCTION("""COMPUTED_VALUE"""),"Anu")</f>
        <v>Anu</v>
      </c>
      <c r="D10" s="7" t="str">
        <f>IFERROR(__xludf.DUMMYFUNCTION("""COMPUTED_VALUE"""),"Anu")</f>
        <v>Anu</v>
      </c>
      <c r="E10" s="7"/>
      <c r="F10" s="7"/>
      <c r="G10" s="7"/>
      <c r="H10" s="7"/>
      <c r="I10" s="7" t="str">
        <f>IFERROR(__xludf.DUMMYFUNCTION("""COMPUTED_VALUE"""),"DJ")</f>
        <v>DJ</v>
      </c>
      <c r="J10" s="7"/>
      <c r="K10" s="7"/>
      <c r="L10" s="7"/>
      <c r="M10" s="7"/>
      <c r="N10" s="7"/>
      <c r="O10" s="7"/>
      <c r="P10" s="7"/>
      <c r="Q10" s="56">
        <f>IFERROR(__xludf.DUMMYFUNCTION("""COMPUTED_VALUE"""),44953.0)</f>
        <v>44953</v>
      </c>
      <c r="R10" s="7" t="str">
        <f>IFERROR(__xludf.DUMMYFUNCTION("""COMPUTED_VALUE"""),"Watch the Drop ")</f>
        <v>Watch the Drop </v>
      </c>
      <c r="S10" s="7">
        <f>IFERROR(__xludf.DUMMYFUNCTION("""COMPUTED_VALUE"""),1.0)</f>
        <v>1</v>
      </c>
      <c r="T10" s="7">
        <f>IFERROR(__xludf.DUMMYFUNCTION("""COMPUTED_VALUE"""),3.0)</f>
        <v>3</v>
      </c>
      <c r="U10" s="7">
        <f>IFERROR(__xludf.DUMMYFUNCTION("""COMPUTED_VALUE"""),1.0)</f>
        <v>1</v>
      </c>
      <c r="V10" s="7">
        <f>IFERROR(__xludf.DUMMYFUNCTION("""COMPUTED_VALUE"""),10.0)</f>
        <v>10</v>
      </c>
    </row>
    <row r="11">
      <c r="B11" s="7">
        <v>9.0</v>
      </c>
      <c r="C11" s="7" t="str">
        <f>IFERROR(__xludf.DUMMYFUNCTION("""COMPUTED_VALUE"""),"Raji Rags")</f>
        <v>Raji Rags</v>
      </c>
      <c r="D11" s="7"/>
      <c r="E11" s="7"/>
      <c r="F11" s="7"/>
      <c r="G11" s="7"/>
      <c r="H11" s="7"/>
      <c r="I11" s="7" t="str">
        <f>IFERROR(__xludf.DUMMYFUNCTION("""COMPUTED_VALUE"""),"DJ")</f>
        <v>DJ</v>
      </c>
      <c r="J11" s="7"/>
      <c r="K11" s="7"/>
      <c r="L11" s="7"/>
      <c r="M11" s="7"/>
      <c r="N11" s="7"/>
      <c r="O11" s="7"/>
      <c r="P11" s="7"/>
      <c r="Q11" s="56">
        <f>IFERROR(__xludf.DUMMYFUNCTION("""COMPUTED_VALUE"""),45044.0)</f>
        <v>45044</v>
      </c>
      <c r="R11" s="7" t="str">
        <f>IFERROR(__xludf.DUMMYFUNCTION("""COMPUTED_VALUE"""),"The Cause Free Party")</f>
        <v>The Cause Free Party</v>
      </c>
      <c r="S11" s="7">
        <f>IFERROR(__xludf.DUMMYFUNCTION("""COMPUTED_VALUE"""),0.0)</f>
        <v>0</v>
      </c>
      <c r="T11" s="7">
        <f>IFERROR(__xludf.DUMMYFUNCTION("""COMPUTED_VALUE"""),3.0)</f>
        <v>3</v>
      </c>
      <c r="U11" s="7">
        <f>IFERROR(__xludf.DUMMYFUNCTION("""COMPUTED_VALUE"""),1.0)</f>
        <v>1</v>
      </c>
      <c r="V11" s="7">
        <f>IFERROR(__xludf.DUMMYFUNCTION("""COMPUTED_VALUE"""),9.0)</f>
        <v>9</v>
      </c>
    </row>
    <row r="12">
      <c r="B12" s="7">
        <v>9.0</v>
      </c>
      <c r="C12" s="7" t="str">
        <f>IFERROR(__xludf.DUMMYFUNCTION("""COMPUTED_VALUE"""),"DJ Ritu")</f>
        <v>DJ Ritu</v>
      </c>
      <c r="D12" s="7"/>
      <c r="E12" s="7"/>
      <c r="F12" s="7"/>
      <c r="G12" s="7"/>
      <c r="H12" s="7"/>
      <c r="I12" s="7" t="str">
        <f>IFERROR(__xludf.DUMMYFUNCTION("""COMPUTED_VALUE"""),"DJ")</f>
        <v>DJ</v>
      </c>
      <c r="J12" s="7"/>
      <c r="K12" s="7"/>
      <c r="L12" s="7"/>
      <c r="M12" s="7"/>
      <c r="N12" s="7"/>
      <c r="O12" s="7"/>
      <c r="P12" s="7"/>
      <c r="Q12" s="56">
        <f>IFERROR(__xludf.DUMMYFUNCTION("""COMPUTED_VALUE"""),45122.0)</f>
        <v>45122</v>
      </c>
      <c r="R12" s="7" t="str">
        <f>IFERROR(__xludf.DUMMYFUNCTION("""COMPUTED_VALUE"""),"HKW Berlin 2023")</f>
        <v>HKW Berlin 2023</v>
      </c>
      <c r="S12" s="7">
        <f>IFERROR(__xludf.DUMMYFUNCTION("""COMPUTED_VALUE"""),0.0)</f>
        <v>0</v>
      </c>
      <c r="T12" s="7">
        <f>IFERROR(__xludf.DUMMYFUNCTION("""COMPUTED_VALUE"""),3.0)</f>
        <v>3</v>
      </c>
      <c r="U12" s="7">
        <f>IFERROR(__xludf.DUMMYFUNCTION("""COMPUTED_VALUE"""),1.0)</f>
        <v>1</v>
      </c>
      <c r="V12" s="7">
        <f>IFERROR(__xludf.DUMMYFUNCTION("""COMPUTED_VALUE"""),9.0)</f>
        <v>9</v>
      </c>
    </row>
    <row r="13">
      <c r="B13" s="7">
        <v>9.0</v>
      </c>
      <c r="C13" s="7" t="str">
        <f>IFERROR(__xludf.DUMMYFUNCTION("""COMPUTED_VALUE"""),"Yung Singh")</f>
        <v>Yung Singh</v>
      </c>
      <c r="D13" s="7"/>
      <c r="E13" s="7"/>
      <c r="F13" s="7"/>
      <c r="G13" s="7"/>
      <c r="H13" s="7"/>
      <c r="I13" s="7" t="str">
        <f>IFERROR(__xludf.DUMMYFUNCTION("""COMPUTED_VALUE"""),"DJ")</f>
        <v>DJ</v>
      </c>
      <c r="J13" s="7"/>
      <c r="K13" s="7"/>
      <c r="L13" s="7"/>
      <c r="M13" s="7"/>
      <c r="N13" s="7"/>
      <c r="O13" s="7"/>
      <c r="P13" s="7"/>
      <c r="Q13" s="56">
        <f>IFERROR(__xludf.DUMMYFUNCTION("""COMPUTED_VALUE"""),44528.0)</f>
        <v>44528</v>
      </c>
      <c r="R13" s="7" t="str">
        <f>IFERROR(__xludf.DUMMYFUNCTION("""COMPUTED_VALUE"""),"Jikoni: Samosa Sisterhood")</f>
        <v>Jikoni: Samosa Sisterhood</v>
      </c>
      <c r="S13" s="7">
        <f>IFERROR(__xludf.DUMMYFUNCTION("""COMPUTED_VALUE"""),0.0)</f>
        <v>0</v>
      </c>
      <c r="T13" s="7">
        <f>IFERROR(__xludf.DUMMYFUNCTION("""COMPUTED_VALUE"""),3.0)</f>
        <v>3</v>
      </c>
      <c r="U13" s="7">
        <f>IFERROR(__xludf.DUMMYFUNCTION("""COMPUTED_VALUE"""),1.0)</f>
        <v>1</v>
      </c>
      <c r="V13" s="7">
        <f>IFERROR(__xludf.DUMMYFUNCTION("""COMPUTED_VALUE"""),9.0)</f>
        <v>9</v>
      </c>
    </row>
    <row r="14">
      <c r="B14" s="7">
        <v>12.0</v>
      </c>
      <c r="C14" s="7" t="str">
        <f>IFERROR(__xludf.DUMMYFUNCTION("""COMPUTED_VALUE"""),"Arthi")</f>
        <v>Arthi</v>
      </c>
      <c r="D14" s="7" t="str">
        <f>IFERROR(__xludf.DUMMYFUNCTION("""COMPUTED_VALUE"""),"Arthi")</f>
        <v>Arthi</v>
      </c>
      <c r="E14" s="7"/>
      <c r="F14" s="7"/>
      <c r="G14" s="7"/>
      <c r="H14" s="7"/>
      <c r="I14" s="7" t="str">
        <f>IFERROR(__xludf.DUMMYFUNCTION("""COMPUTED_VALUE"""),"DJ, Live Act")</f>
        <v>DJ, Live Act</v>
      </c>
      <c r="J14" s="7"/>
      <c r="K14" s="7"/>
      <c r="L14" s="7"/>
      <c r="M14" s="7"/>
      <c r="N14" s="7"/>
      <c r="O14" s="7"/>
      <c r="P14" s="7"/>
      <c r="Q14" s="56">
        <f>IFERROR(__xludf.DUMMYFUNCTION("""COMPUTED_VALUE"""),45072.0)</f>
        <v>45072</v>
      </c>
      <c r="R14" s="7" t="str">
        <f>IFERROR(__xludf.DUMMYFUNCTION("""COMPUTED_VALUE"""),"Jazz Cafe ")</f>
        <v>Jazz Cafe </v>
      </c>
      <c r="S14" s="7">
        <f>IFERROR(__xludf.DUMMYFUNCTION("""COMPUTED_VALUE"""),0.0)</f>
        <v>0</v>
      </c>
      <c r="T14" s="7">
        <f>IFERROR(__xludf.DUMMYFUNCTION("""COMPUTED_VALUE"""),1.0)</f>
        <v>1</v>
      </c>
      <c r="U14" s="7">
        <f>IFERROR(__xludf.DUMMYFUNCTION("""COMPUTED_VALUE"""),2.0)</f>
        <v>2</v>
      </c>
      <c r="V14" s="7">
        <f>IFERROR(__xludf.DUMMYFUNCTION("""COMPUTED_VALUE"""),8.0)</f>
        <v>8</v>
      </c>
    </row>
    <row r="15">
      <c r="B15" s="7">
        <v>12.0</v>
      </c>
      <c r="C15" s="7" t="str">
        <f>IFERROR(__xludf.DUMMYFUNCTION("""COMPUTED_VALUE"""),"Jameela")</f>
        <v>Jameela</v>
      </c>
      <c r="D15" s="7"/>
      <c r="E15" s="7"/>
      <c r="F15" s="7"/>
      <c r="G15" s="7"/>
      <c r="H15" s="7"/>
      <c r="I15" s="7" t="str">
        <f>IFERROR(__xludf.DUMMYFUNCTION("""COMPUTED_VALUE"""),"DJ")</f>
        <v>DJ</v>
      </c>
      <c r="J15" s="7"/>
      <c r="K15" s="7"/>
      <c r="L15" s="7"/>
      <c r="M15" s="7"/>
      <c r="N15" s="7"/>
      <c r="O15" s="7"/>
      <c r="P15" s="7"/>
      <c r="Q15" s="56">
        <f>IFERROR(__xludf.DUMMYFUNCTION("""COMPUTED_VALUE"""),45248.0)</f>
        <v>45248</v>
      </c>
      <c r="R15" s="7" t="str">
        <f>IFERROR(__xludf.DUMMYFUNCTION("""COMPUTED_VALUE"""),"Warehouse Project 2023")</f>
        <v>Warehouse Project 2023</v>
      </c>
      <c r="S15" s="7">
        <f>IFERROR(__xludf.DUMMYFUNCTION("""COMPUTED_VALUE"""),0.0)</f>
        <v>0</v>
      </c>
      <c r="T15" s="7">
        <f>IFERROR(__xludf.DUMMYFUNCTION("""COMPUTED_VALUE"""),1.0)</f>
        <v>1</v>
      </c>
      <c r="U15" s="7">
        <f>IFERROR(__xludf.DUMMYFUNCTION("""COMPUTED_VALUE"""),2.0)</f>
        <v>2</v>
      </c>
      <c r="V15" s="7">
        <f>IFERROR(__xludf.DUMMYFUNCTION("""COMPUTED_VALUE"""),8.0)</f>
        <v>8</v>
      </c>
    </row>
    <row r="16">
      <c r="B16" s="7">
        <v>12.0</v>
      </c>
      <c r="C16" s="7" t="str">
        <f>IFERROR(__xludf.DUMMYFUNCTION("""COMPUTED_VALUE"""),"Khadura (fka Rizmi)")</f>
        <v>Khadura (fka Rizmi)</v>
      </c>
      <c r="D16" s="7" t="str">
        <f>IFERROR(__xludf.DUMMYFUNCTION("""COMPUTED_VALUE"""),"Zoya")</f>
        <v>Zoya</v>
      </c>
      <c r="E16" s="7"/>
      <c r="F16" s="7"/>
      <c r="G16" s="7" t="str">
        <f>IFERROR(__xludf.DUMMYFUNCTION("""COMPUTED_VALUE"""),"Birmingham")</f>
        <v>Birmingham</v>
      </c>
      <c r="H16" s="7"/>
      <c r="I16" s="7" t="str">
        <f>IFERROR(__xludf.DUMMYFUNCTION("""COMPUTED_VALUE"""),"DJ")</f>
        <v>DJ</v>
      </c>
      <c r="J16" s="7"/>
      <c r="K16" s="7" t="str">
        <f>IFERROR(__xludf.DUMMYFUNCTION("""COMPUTED_VALUE"""),"zoya.ahmed@live.co.uk")</f>
        <v>zoya.ahmed@live.co.uk</v>
      </c>
      <c r="L16" s="57" t="str">
        <f>IFERROR(__xludf.DUMMYFUNCTION("""COMPUTED_VALUE"""),"https://www.instagram.com/khadura.sound?igsh=NGtmYXowbWYwZHp3")</f>
        <v>https://www.instagram.com/khadura.sound?igsh=NGtmYXowbWYwZHp3</v>
      </c>
      <c r="M16" s="57" t="str">
        <f>IFERROR(__xludf.DUMMYFUNCTION("""COMPUTED_VALUE"""),"https://soundcloud.com/khadura?utm_source=mobi&amp;utm_campaign=social_sharing")</f>
        <v>https://soundcloud.com/khadura?utm_source=mobi&amp;utm_campaign=social_sharing</v>
      </c>
      <c r="N16" s="7"/>
      <c r="O16" s="7"/>
      <c r="P16" s="7"/>
      <c r="Q16" s="56">
        <f>IFERROR(__xludf.DUMMYFUNCTION("""COMPUTED_VALUE"""),46107.0)</f>
        <v>46107</v>
      </c>
      <c r="R16" s="7" t="str">
        <f>IFERROR(__xludf.DUMMYFUNCTION("""COMPUTED_VALUE"""),"BFI At Yours: Mogul Mowgli")</f>
        <v>BFI At Yours: Mogul Mowgli</v>
      </c>
      <c r="S16" s="7">
        <f>IFERROR(__xludf.DUMMYFUNCTION("""COMPUTED_VALUE"""),2.0)</f>
        <v>2</v>
      </c>
      <c r="T16" s="7">
        <f>IFERROR(__xludf.DUMMYFUNCTION("""COMPUTED_VALUE"""),0.0)</f>
        <v>0</v>
      </c>
      <c r="U16" s="7">
        <f>IFERROR(__xludf.DUMMYFUNCTION("""COMPUTED_VALUE"""),2.0)</f>
        <v>2</v>
      </c>
      <c r="V16" s="7">
        <f>IFERROR(__xludf.DUMMYFUNCTION("""COMPUTED_VALUE"""),8.0)</f>
        <v>8</v>
      </c>
    </row>
    <row r="17">
      <c r="B17" s="7">
        <v>12.0</v>
      </c>
      <c r="C17" s="7" t="str">
        <f>IFERROR(__xludf.DUMMYFUNCTION("""COMPUTED_VALUE"""),"Shivum Sharma")</f>
        <v>Shivum Sharma</v>
      </c>
      <c r="D17" s="7" t="str">
        <f>IFERROR(__xludf.DUMMYFUNCTION("""COMPUTED_VALUE"""),"Shivum Sharma")</f>
        <v>Shivum Sharma</v>
      </c>
      <c r="E17" s="7"/>
      <c r="F17" s="7"/>
      <c r="G17" s="7"/>
      <c r="H17" s="7"/>
      <c r="I17" s="7" t="str">
        <f>IFERROR(__xludf.DUMMYFUNCTION("""COMPUTED_VALUE"""),"DJ, Live Act")</f>
        <v>DJ, Live Act</v>
      </c>
      <c r="J17" s="7"/>
      <c r="K17" s="7"/>
      <c r="L17" s="7"/>
      <c r="M17" s="7"/>
      <c r="N17" s="7"/>
      <c r="O17" s="7"/>
      <c r="P17" s="7"/>
      <c r="Q17" s="56">
        <f>IFERROR(__xludf.DUMMYFUNCTION("""COMPUTED_VALUE"""),44806.0)</f>
        <v>44806</v>
      </c>
      <c r="R17" s="7" t="str">
        <f>IFERROR(__xludf.DUMMYFUNCTION("""COMPUTED_VALUE"""),"Field Maneuvers 2022")</f>
        <v>Field Maneuvers 2022</v>
      </c>
      <c r="S17" s="7">
        <f>IFERROR(__xludf.DUMMYFUNCTION("""COMPUTED_VALUE"""),0.0)</f>
        <v>0</v>
      </c>
      <c r="T17" s="7">
        <f>IFERROR(__xludf.DUMMYFUNCTION("""COMPUTED_VALUE"""),4.0)</f>
        <v>4</v>
      </c>
      <c r="U17" s="7">
        <f>IFERROR(__xludf.DUMMYFUNCTION("""COMPUTED_VALUE"""),0.0)</f>
        <v>0</v>
      </c>
      <c r="V17" s="7">
        <f>IFERROR(__xludf.DUMMYFUNCTION("""COMPUTED_VALUE"""),8.0)</f>
        <v>8</v>
      </c>
    </row>
    <row r="18">
      <c r="B18" s="7">
        <v>12.0</v>
      </c>
      <c r="C18" s="7" t="str">
        <f>IFERROR(__xludf.DUMMYFUNCTION("""COMPUTED_VALUE"""),"Thempress")</f>
        <v>Thempress</v>
      </c>
      <c r="D18" s="7"/>
      <c r="E18" s="7"/>
      <c r="F18" s="7"/>
      <c r="G18" s="7" t="str">
        <f>IFERROR(__xludf.DUMMYFUNCTION("""COMPUTED_VALUE"""),"London")</f>
        <v>London</v>
      </c>
      <c r="H18" s="7"/>
      <c r="I18" s="7" t="str">
        <f>IFERROR(__xludf.DUMMYFUNCTION("""COMPUTED_VALUE"""),"DJ")</f>
        <v>DJ</v>
      </c>
      <c r="J18" s="7"/>
      <c r="K18" s="7" t="str">
        <f>IFERROR(__xludf.DUMMYFUNCTION("""COMPUTED_VALUE"""),"N/A")</f>
        <v>N/A</v>
      </c>
      <c r="L18" s="7"/>
      <c r="M18" s="7"/>
      <c r="N18" s="7"/>
      <c r="O18" s="7"/>
      <c r="P18" s="7"/>
      <c r="Q18" s="56">
        <f>IFERROR(__xludf.DUMMYFUNCTION("""COMPUTED_VALUE"""),45120.0)</f>
        <v>45120</v>
      </c>
      <c r="R18" s="7" t="str">
        <f>IFERROR(__xludf.DUMMYFUNCTION("""COMPUTED_VALUE"""),"Dour Fest")</f>
        <v>Dour Fest</v>
      </c>
      <c r="S18" s="7">
        <f>IFERROR(__xludf.DUMMYFUNCTION("""COMPUTED_VALUE"""),0.0)</f>
        <v>0</v>
      </c>
      <c r="T18" s="7">
        <f>IFERROR(__xludf.DUMMYFUNCTION("""COMPUTED_VALUE"""),1.0)</f>
        <v>1</v>
      </c>
      <c r="U18" s="7">
        <f>IFERROR(__xludf.DUMMYFUNCTION("""COMPUTED_VALUE"""),2.0)</f>
        <v>2</v>
      </c>
      <c r="V18" s="7">
        <f>IFERROR(__xludf.DUMMYFUNCTION("""COMPUTED_VALUE"""),8.0)</f>
        <v>8</v>
      </c>
    </row>
    <row r="19">
      <c r="B19" s="7">
        <v>17.0</v>
      </c>
      <c r="C19" s="7" t="str">
        <f>IFERROR(__xludf.DUMMYFUNCTION("""COMPUTED_VALUE"""),"D-Lish")</f>
        <v>D-Lish</v>
      </c>
      <c r="D19" s="7" t="str">
        <f>IFERROR(__xludf.DUMMYFUNCTION("""COMPUTED_VALUE"""),"Alisha Shah")</f>
        <v>Alisha Shah</v>
      </c>
      <c r="E19" s="7"/>
      <c r="F19" s="7"/>
      <c r="G19" s="7"/>
      <c r="H19" s="7"/>
      <c r="I19" s="7" t="str">
        <f>IFERROR(__xludf.DUMMYFUNCTION("""COMPUTED_VALUE"""),"DJ")</f>
        <v>DJ</v>
      </c>
      <c r="J19" s="7"/>
      <c r="K19" s="7"/>
      <c r="L19" s="7"/>
      <c r="M19" s="7"/>
      <c r="N19" s="7"/>
      <c r="O19" s="7"/>
      <c r="P19" s="7"/>
      <c r="Q19" s="56">
        <f>IFERROR(__xludf.DUMMYFUNCTION("""COMPUTED_VALUE"""),45325.0)</f>
        <v>45325</v>
      </c>
      <c r="R19" s="7" t="str">
        <f>IFERROR(__xludf.DUMMYFUNCTION("""COMPUTED_VALUE"""),"DT X NDR Versus")</f>
        <v>DT X NDR Versus</v>
      </c>
      <c r="S19" s="7">
        <f>IFERROR(__xludf.DUMMYFUNCTION("""COMPUTED_VALUE"""),2.0)</f>
        <v>2</v>
      </c>
      <c r="T19" s="7">
        <f>IFERROR(__xludf.DUMMYFUNCTION("""COMPUTED_VALUE"""),1.0)</f>
        <v>1</v>
      </c>
      <c r="U19" s="7">
        <f>IFERROR(__xludf.DUMMYFUNCTION("""COMPUTED_VALUE"""),1.0)</f>
        <v>1</v>
      </c>
      <c r="V19" s="7">
        <f>IFERROR(__xludf.DUMMYFUNCTION("""COMPUTED_VALUE"""),7.0)</f>
        <v>7</v>
      </c>
    </row>
    <row r="20">
      <c r="B20" s="7">
        <v>17.0</v>
      </c>
      <c r="C20" s="7" t="str">
        <f>IFERROR(__xludf.DUMMYFUNCTION("""COMPUTED_VALUE"""),"Jhumka")</f>
        <v>Jhumka</v>
      </c>
      <c r="D20" s="7"/>
      <c r="E20" s="7"/>
      <c r="F20" s="7"/>
      <c r="G20" s="7"/>
      <c r="H20" s="7"/>
      <c r="I20" s="7" t="str">
        <f>IFERROR(__xludf.DUMMYFUNCTION("""COMPUTED_VALUE"""),"DJ")</f>
        <v>DJ</v>
      </c>
      <c r="J20" s="7"/>
      <c r="K20" s="7"/>
      <c r="L20" s="7"/>
      <c r="M20" s="7"/>
      <c r="N20" s="7"/>
      <c r="O20" s="7"/>
      <c r="P20" s="7"/>
      <c r="Q20" s="56">
        <f>IFERROR(__xludf.DUMMYFUNCTION("""COMPUTED_VALUE"""),45164.0)</f>
        <v>45164</v>
      </c>
      <c r="R20" s="7" t="str">
        <f>IFERROR(__xludf.DUMMYFUNCTION("""COMPUTED_VALUE"""),"Lost Village Festival 2023")</f>
        <v>Lost Village Festival 2023</v>
      </c>
      <c r="S20" s="7">
        <f>IFERROR(__xludf.DUMMYFUNCTION("""COMPUTED_VALUE"""),0.0)</f>
        <v>0</v>
      </c>
      <c r="T20" s="7">
        <f>IFERROR(__xludf.DUMMYFUNCTION("""COMPUTED_VALUE"""),2.0)</f>
        <v>2</v>
      </c>
      <c r="U20" s="7">
        <f>IFERROR(__xludf.DUMMYFUNCTION("""COMPUTED_VALUE"""),1.0)</f>
        <v>1</v>
      </c>
      <c r="V20" s="7">
        <f>IFERROR(__xludf.DUMMYFUNCTION("""COMPUTED_VALUE"""),7.0)</f>
        <v>7</v>
      </c>
    </row>
    <row r="21">
      <c r="B21" s="7">
        <v>17.0</v>
      </c>
      <c r="C21" s="7" t="str">
        <f>IFERROR(__xludf.DUMMYFUNCTION("""COMPUTED_VALUE"""),"Aisha Mirza")</f>
        <v>Aisha Mirza</v>
      </c>
      <c r="D21" s="7"/>
      <c r="E21" s="7"/>
      <c r="F21" s="7"/>
      <c r="G21" s="7"/>
      <c r="H21" s="7"/>
      <c r="I21" s="7" t="str">
        <f>IFERROR(__xludf.DUMMYFUNCTION("""COMPUTED_VALUE"""),"DJ")</f>
        <v>DJ</v>
      </c>
      <c r="J21" s="7"/>
      <c r="K21" s="7"/>
      <c r="L21" s="7"/>
      <c r="M21" s="7"/>
      <c r="N21" s="7"/>
      <c r="O21" s="7"/>
      <c r="P21" s="7"/>
      <c r="Q21" s="56">
        <f>IFERROR(__xludf.DUMMYFUNCTION("""COMPUTED_VALUE"""),44972.0)</f>
        <v>44972</v>
      </c>
      <c r="R21" s="7" t="str">
        <f>IFERROR(__xludf.DUMMYFUNCTION("""COMPUTED_VALUE"""),"HOR")</f>
        <v>HOR</v>
      </c>
      <c r="S21" s="7">
        <f>IFERROR(__xludf.DUMMYFUNCTION("""COMPUTED_VALUE"""),1.0)</f>
        <v>1</v>
      </c>
      <c r="T21" s="7">
        <f>IFERROR(__xludf.DUMMYFUNCTION("""COMPUTED_VALUE"""),0.0)</f>
        <v>0</v>
      </c>
      <c r="U21" s="7">
        <f>IFERROR(__xludf.DUMMYFUNCTION("""COMPUTED_VALUE"""),2.0)</f>
        <v>2</v>
      </c>
      <c r="V21" s="7">
        <f>IFERROR(__xludf.DUMMYFUNCTION("""COMPUTED_VALUE"""),7.0)</f>
        <v>7</v>
      </c>
    </row>
    <row r="22">
      <c r="B22" s="7">
        <v>20.0</v>
      </c>
      <c r="C22" s="7" t="str">
        <f>IFERROR(__xludf.DUMMYFUNCTION("""COMPUTED_VALUE"""),"Suchi")</f>
        <v>Suchi</v>
      </c>
      <c r="D22" s="7"/>
      <c r="E22" s="7"/>
      <c r="F22" s="7"/>
      <c r="G22" s="7"/>
      <c r="H22" s="7"/>
      <c r="I22" s="7" t="str">
        <f>IFERROR(__xludf.DUMMYFUNCTION("""COMPUTED_VALUE"""),"DJ")</f>
        <v>DJ</v>
      </c>
      <c r="J22" s="7"/>
      <c r="K22" s="7"/>
      <c r="L22" s="7"/>
      <c r="M22" s="7"/>
      <c r="N22" s="7"/>
      <c r="O22" s="7"/>
      <c r="P22" s="7"/>
      <c r="Q22" s="56">
        <f>IFERROR(__xludf.DUMMYFUNCTION("""COMPUTED_VALUE"""),45098.0)</f>
        <v>45098</v>
      </c>
      <c r="R22" s="7" t="str">
        <f>IFERROR(__xludf.DUMMYFUNCTION("""COMPUTED_VALUE"""),"Glasto 2023")</f>
        <v>Glasto 2023</v>
      </c>
      <c r="S22" s="7">
        <f>IFERROR(__xludf.DUMMYFUNCTION("""COMPUTED_VALUE"""),0.0)</f>
        <v>0</v>
      </c>
      <c r="T22" s="7">
        <f>IFERROR(__xludf.DUMMYFUNCTION("""COMPUTED_VALUE"""),0.0)</f>
        <v>0</v>
      </c>
      <c r="U22" s="7">
        <f>IFERROR(__xludf.DUMMYFUNCTION("""COMPUTED_VALUE"""),2.0)</f>
        <v>2</v>
      </c>
      <c r="V22" s="7">
        <f>IFERROR(__xludf.DUMMYFUNCTION("""COMPUTED_VALUE"""),6.0)</f>
        <v>6</v>
      </c>
    </row>
    <row r="23">
      <c r="B23" s="7">
        <v>20.0</v>
      </c>
      <c r="C23" s="7" t="str">
        <f>IFERROR(__xludf.DUMMYFUNCTION("""COMPUTED_VALUE"""),"Manara")</f>
        <v>Manara</v>
      </c>
      <c r="D23" s="7"/>
      <c r="E23" s="7"/>
      <c r="F23" s="7"/>
      <c r="G23" s="7"/>
      <c r="H23" s="7"/>
      <c r="I23" s="7" t="str">
        <f>IFERROR(__xludf.DUMMYFUNCTION("""COMPUTED_VALUE"""),"DJ")</f>
        <v>DJ</v>
      </c>
      <c r="J23" s="7"/>
      <c r="K23" s="7"/>
      <c r="L23" s="7"/>
      <c r="M23" s="7"/>
      <c r="N23" s="7"/>
      <c r="O23" s="7"/>
      <c r="P23" s="7"/>
      <c r="Q23" s="56">
        <f>IFERROR(__xludf.DUMMYFUNCTION("""COMPUTED_VALUE"""),44744.0)</f>
        <v>44744</v>
      </c>
      <c r="R23" s="7" t="str">
        <f>IFERROR(__xludf.DUMMYFUNCTION("""COMPUTED_VALUE"""),"Daytimers x Middle Of Nowhere")</f>
        <v>Daytimers x Middle Of Nowhere</v>
      </c>
      <c r="S23" s="7">
        <f>IFERROR(__xludf.DUMMYFUNCTION("""COMPUTED_VALUE"""),0.0)</f>
        <v>0</v>
      </c>
      <c r="T23" s="7">
        <f>IFERROR(__xludf.DUMMYFUNCTION("""COMPUTED_VALUE"""),0.0)</f>
        <v>0</v>
      </c>
      <c r="U23" s="7">
        <f>IFERROR(__xludf.DUMMYFUNCTION("""COMPUTED_VALUE"""),2.0)</f>
        <v>2</v>
      </c>
      <c r="V23" s="7">
        <f>IFERROR(__xludf.DUMMYFUNCTION("""COMPUTED_VALUE"""),6.0)</f>
        <v>6</v>
      </c>
    </row>
    <row r="24">
      <c r="B24" s="7">
        <v>20.0</v>
      </c>
      <c r="C24" s="7" t="str">
        <f>IFERROR(__xludf.DUMMYFUNCTION("""COMPUTED_VALUE"""),"DJ Rani")</f>
        <v>DJ Rani</v>
      </c>
      <c r="D24" s="7"/>
      <c r="E24" s="7"/>
      <c r="F24" s="7"/>
      <c r="G24" s="7"/>
      <c r="H24" s="7"/>
      <c r="I24" s="7" t="str">
        <f>IFERROR(__xludf.DUMMYFUNCTION("""COMPUTED_VALUE"""),"DJ")</f>
        <v>DJ</v>
      </c>
      <c r="J24" s="7"/>
      <c r="K24" s="7"/>
      <c r="L24" s="7"/>
      <c r="M24" s="7"/>
      <c r="N24" s="7"/>
      <c r="O24" s="7"/>
      <c r="P24" s="7"/>
      <c r="Q24" s="56">
        <f>IFERROR(__xludf.DUMMYFUNCTION("""COMPUTED_VALUE"""),44786.0)</f>
        <v>44786</v>
      </c>
      <c r="R24" s="7" t="str">
        <f>IFERROR(__xludf.DUMMYFUNCTION("""COMPUTED_VALUE"""),"Boomtown: Street Stage Takeover")</f>
        <v>Boomtown: Street Stage Takeover</v>
      </c>
      <c r="S24" s="7">
        <f>IFERROR(__xludf.DUMMYFUNCTION("""COMPUTED_VALUE"""),0.0)</f>
        <v>0</v>
      </c>
      <c r="T24" s="7">
        <f>IFERROR(__xludf.DUMMYFUNCTION("""COMPUTED_VALUE"""),0.0)</f>
        <v>0</v>
      </c>
      <c r="U24" s="7">
        <f>IFERROR(__xludf.DUMMYFUNCTION("""COMPUTED_VALUE"""),2.0)</f>
        <v>2</v>
      </c>
      <c r="V24" s="7">
        <f>IFERROR(__xludf.DUMMYFUNCTION("""COMPUTED_VALUE"""),6.0)</f>
        <v>6</v>
      </c>
    </row>
    <row r="25">
      <c r="B25" s="7">
        <v>20.0</v>
      </c>
      <c r="C25" s="57" t="str">
        <f>IFERROR(__xludf.DUMMYFUNCTION("""COMPUTED_VALUE"""),"SHIR.IN")</f>
        <v>SHIR.IN</v>
      </c>
      <c r="D25" s="7"/>
      <c r="E25" s="7"/>
      <c r="F25" s="7"/>
      <c r="G25" s="7"/>
      <c r="H25" s="7"/>
      <c r="I25" s="7" t="str">
        <f>IFERROR(__xludf.DUMMYFUNCTION("""COMPUTED_VALUE"""),"DJ")</f>
        <v>DJ</v>
      </c>
      <c r="J25" s="7"/>
      <c r="K25" s="7"/>
      <c r="L25" s="7"/>
      <c r="M25" s="7"/>
      <c r="N25" s="7"/>
      <c r="O25" s="7"/>
      <c r="P25" s="7"/>
      <c r="Q25" s="56">
        <f>IFERROR(__xludf.DUMMYFUNCTION("""COMPUTED_VALUE"""),45395.0)</f>
        <v>45395</v>
      </c>
      <c r="R25" s="7" t="str">
        <f>IFERROR(__xludf.DUMMYFUNCTION("""COMPUTED_VALUE"""),"DAYTIMERS BERLIN")</f>
        <v>DAYTIMERS BERLIN</v>
      </c>
      <c r="S25" s="7">
        <f>IFERROR(__xludf.DUMMYFUNCTION("""COMPUTED_VALUE"""),1.0)</f>
        <v>1</v>
      </c>
      <c r="T25" s="7">
        <f>IFERROR(__xludf.DUMMYFUNCTION("""COMPUTED_VALUE"""),1.0)</f>
        <v>1</v>
      </c>
      <c r="U25" s="7">
        <f>IFERROR(__xludf.DUMMYFUNCTION("""COMPUTED_VALUE"""),1.0)</f>
        <v>1</v>
      </c>
      <c r="V25" s="7">
        <f>IFERROR(__xludf.DUMMYFUNCTION("""COMPUTED_VALUE"""),6.0)</f>
        <v>6</v>
      </c>
    </row>
    <row r="26">
      <c r="B26" s="7">
        <v>20.0</v>
      </c>
      <c r="C26" s="7" t="str">
        <f>IFERROR(__xludf.DUMMYFUNCTION("""COMPUTED_VALUE"""),"Surusinghe")</f>
        <v>Surusinghe</v>
      </c>
      <c r="D26" s="7"/>
      <c r="E26" s="7"/>
      <c r="F26" s="7"/>
      <c r="G26" s="7"/>
      <c r="H26" s="7"/>
      <c r="I26" s="7" t="str">
        <f>IFERROR(__xludf.DUMMYFUNCTION("""COMPUTED_VALUE"""),"DJ")</f>
        <v>DJ</v>
      </c>
      <c r="J26" s="7"/>
      <c r="K26" s="7"/>
      <c r="L26" s="7"/>
      <c r="M26" s="7"/>
      <c r="N26" s="7"/>
      <c r="O26" s="7"/>
      <c r="P26" s="7"/>
      <c r="Q26" s="56">
        <f>IFERROR(__xludf.DUMMYFUNCTION("""COMPUTED_VALUE"""),45098.0)</f>
        <v>45098</v>
      </c>
      <c r="R26" s="7" t="str">
        <f>IFERROR(__xludf.DUMMYFUNCTION("""COMPUTED_VALUE"""),"Glasto 2023")</f>
        <v>Glasto 2023</v>
      </c>
      <c r="S26" s="7">
        <f>IFERROR(__xludf.DUMMYFUNCTION("""COMPUTED_VALUE"""),0.0)</f>
        <v>0</v>
      </c>
      <c r="T26" s="7">
        <f>IFERROR(__xludf.DUMMYFUNCTION("""COMPUTED_VALUE"""),0.0)</f>
        <v>0</v>
      </c>
      <c r="U26" s="7">
        <f>IFERROR(__xludf.DUMMYFUNCTION("""COMPUTED_VALUE"""),2.0)</f>
        <v>2</v>
      </c>
      <c r="V26" s="7">
        <f>IFERROR(__xludf.DUMMYFUNCTION("""COMPUTED_VALUE"""),6.0)</f>
        <v>6</v>
      </c>
    </row>
    <row r="27">
      <c r="B27" s="7">
        <v>20.0</v>
      </c>
      <c r="C27" s="7" t="str">
        <f>IFERROR(__xludf.DUMMYFUNCTION("""COMPUTED_VALUE"""),"Zaleel")</f>
        <v>Zaleel</v>
      </c>
      <c r="D27" s="7"/>
      <c r="E27" s="7"/>
      <c r="F27" s="7"/>
      <c r="G27" s="7"/>
      <c r="H27" s="7"/>
      <c r="I27" s="7" t="str">
        <f>IFERROR(__xludf.DUMMYFUNCTION("""COMPUTED_VALUE"""),"DJ")</f>
        <v>DJ</v>
      </c>
      <c r="J27" s="7"/>
      <c r="K27" s="7"/>
      <c r="L27" s="7"/>
      <c r="M27" s="7"/>
      <c r="N27" s="7"/>
      <c r="O27" s="7"/>
      <c r="P27" s="7"/>
      <c r="Q27" s="56">
        <f>IFERROR(__xludf.DUMMYFUNCTION("""COMPUTED_VALUE"""),45262.0)</f>
        <v>45262</v>
      </c>
      <c r="R27" s="7" t="str">
        <f>IFERROR(__xludf.DUMMYFUNCTION("""COMPUTED_VALUE"""),"Earth Hackney Dec 2023")</f>
        <v>Earth Hackney Dec 2023</v>
      </c>
      <c r="S27" s="7">
        <f>IFERROR(__xludf.DUMMYFUNCTION("""COMPUTED_VALUE"""),0.0)</f>
        <v>0</v>
      </c>
      <c r="T27" s="7">
        <f>IFERROR(__xludf.DUMMYFUNCTION("""COMPUTED_VALUE"""),3.0)</f>
        <v>3</v>
      </c>
      <c r="U27" s="7">
        <f>IFERROR(__xludf.DUMMYFUNCTION("""COMPUTED_VALUE"""),0.0)</f>
        <v>0</v>
      </c>
      <c r="V27" s="7">
        <f>IFERROR(__xludf.DUMMYFUNCTION("""COMPUTED_VALUE"""),6.0)</f>
        <v>6</v>
      </c>
    </row>
    <row r="30">
      <c r="A30" s="47" t="s">
        <v>100</v>
      </c>
      <c r="B30" s="48" t="s">
        <v>80</v>
      </c>
      <c r="C30" s="48">
        <v>25.0</v>
      </c>
    </row>
    <row r="31">
      <c r="B31" s="49" t="s">
        <v>81</v>
      </c>
      <c r="C31" s="50" t="s">
        <v>2</v>
      </c>
      <c r="D31" s="51" t="s">
        <v>4</v>
      </c>
      <c r="E31" s="52" t="s">
        <v>5</v>
      </c>
      <c r="F31" s="52" t="s">
        <v>6</v>
      </c>
      <c r="G31" s="52" t="s">
        <v>7</v>
      </c>
      <c r="H31" s="52" t="s">
        <v>8</v>
      </c>
      <c r="I31" s="52" t="s">
        <v>9</v>
      </c>
      <c r="J31" s="52" t="s">
        <v>10</v>
      </c>
      <c r="K31" s="52" t="s">
        <v>12</v>
      </c>
      <c r="L31" s="52" t="s">
        <v>13</v>
      </c>
      <c r="M31" s="53" t="s">
        <v>15</v>
      </c>
      <c r="N31" s="53" t="s">
        <v>16</v>
      </c>
      <c r="O31" s="53" t="s">
        <v>17</v>
      </c>
      <c r="P31" s="53" t="s">
        <v>18</v>
      </c>
      <c r="Q31" s="54" t="s">
        <v>19</v>
      </c>
      <c r="R31" s="53" t="s">
        <v>22</v>
      </c>
      <c r="S31" s="53" t="s">
        <v>23</v>
      </c>
      <c r="T31" s="53" t="s">
        <v>24</v>
      </c>
      <c r="U31" s="53" t="s">
        <v>25</v>
      </c>
      <c r="V31" s="55" t="s">
        <v>26</v>
      </c>
    </row>
    <row r="32">
      <c r="B32" s="7">
        <f t="array" ref="B32:B56">iferror(rank(V32:V56, V32:V56, False), "")</f>
        <v>3</v>
      </c>
      <c r="C32" s="7" t="str">
        <f>IFERROR(__xludf.DUMMYFUNCTION("SORTN('Roster Info'!B44:U1000, C30, false, 'Roster Info'!P44:P1000, false)"),"Khadura (fka Rizmi)")</f>
        <v>Khadura (fka Rizmi)</v>
      </c>
      <c r="D32" s="7" t="str">
        <f>IFERROR(__xludf.DUMMYFUNCTION("""COMPUTED_VALUE"""),"Zoya")</f>
        <v>Zoya</v>
      </c>
      <c r="E32" s="7"/>
      <c r="F32" s="7"/>
      <c r="G32" s="7" t="str">
        <f>IFERROR(__xludf.DUMMYFUNCTION("""COMPUTED_VALUE"""),"Birmingham")</f>
        <v>Birmingham</v>
      </c>
      <c r="H32" s="7"/>
      <c r="I32" s="7" t="str">
        <f>IFERROR(__xludf.DUMMYFUNCTION("""COMPUTED_VALUE"""),"DJ")</f>
        <v>DJ</v>
      </c>
      <c r="J32" s="7"/>
      <c r="K32" s="7" t="str">
        <f>IFERROR(__xludf.DUMMYFUNCTION("""COMPUTED_VALUE"""),"zoya.ahmed@live.co.uk")</f>
        <v>zoya.ahmed@live.co.uk</v>
      </c>
      <c r="L32" s="57" t="str">
        <f>IFERROR(__xludf.DUMMYFUNCTION("""COMPUTED_VALUE"""),"https://www.instagram.com/khadura.sound?igsh=NGtmYXowbWYwZHp3")</f>
        <v>https://www.instagram.com/khadura.sound?igsh=NGtmYXowbWYwZHp3</v>
      </c>
      <c r="M32" s="57" t="str">
        <f>IFERROR(__xludf.DUMMYFUNCTION("""COMPUTED_VALUE"""),"https://soundcloud.com/khadura?utm_source=mobi&amp;utm_campaign=social_sharing")</f>
        <v>https://soundcloud.com/khadura?utm_source=mobi&amp;utm_campaign=social_sharing</v>
      </c>
      <c r="N32" s="7"/>
      <c r="O32" s="7"/>
      <c r="P32" s="7"/>
      <c r="Q32" s="56">
        <f>IFERROR(__xludf.DUMMYFUNCTION("""COMPUTED_VALUE"""),46107.0)</f>
        <v>46107</v>
      </c>
      <c r="R32" s="7" t="str">
        <f>IFERROR(__xludf.DUMMYFUNCTION("""COMPUTED_VALUE"""),"BFI At Yours: Mogul Mowgli")</f>
        <v>BFI At Yours: Mogul Mowgli</v>
      </c>
      <c r="S32" s="7">
        <f>IFERROR(__xludf.DUMMYFUNCTION("""COMPUTED_VALUE"""),2.0)</f>
        <v>2</v>
      </c>
      <c r="T32" s="7">
        <f>IFERROR(__xludf.DUMMYFUNCTION("""COMPUTED_VALUE"""),0.0)</f>
        <v>0</v>
      </c>
      <c r="U32" s="7">
        <f>IFERROR(__xludf.DUMMYFUNCTION("""COMPUTED_VALUE"""),2.0)</f>
        <v>2</v>
      </c>
      <c r="V32" s="7">
        <f>IFERROR(__xludf.DUMMYFUNCTION("""COMPUTED_VALUE"""),8.0)</f>
        <v>8</v>
      </c>
    </row>
    <row r="33">
      <c r="B33" s="7">
        <v>7.0</v>
      </c>
      <c r="C33" s="7" t="str">
        <f>IFERROR(__xludf.DUMMYFUNCTION("""COMPUTED_VALUE"""),"Shifa Ligero")</f>
        <v>Shifa Ligero</v>
      </c>
      <c r="D33" s="7"/>
      <c r="E33" s="7"/>
      <c r="F33" s="7"/>
      <c r="G33" s="7" t="str">
        <f>IFERROR(__xludf.DUMMYFUNCTION("""COMPUTED_VALUE"""),"London")</f>
        <v>London</v>
      </c>
      <c r="H33" s="7"/>
      <c r="I33" s="7" t="str">
        <f>IFERROR(__xludf.DUMMYFUNCTION("""COMPUTED_VALUE"""),"DJ")</f>
        <v>DJ</v>
      </c>
      <c r="J33" s="7" t="str">
        <f>IFERROR(__xludf.DUMMYFUNCTION("""COMPUTED_VALUE"""),"Dance, Amapiano, Jersey Club, Balie Funk, Rap, Edits")</f>
        <v>Dance, Amapiano, Jersey Club, Balie Funk, Rap, Edits</v>
      </c>
      <c r="K33" s="7" t="str">
        <f>IFERROR(__xludf.DUMMYFUNCTION("""COMPUTED_VALUE"""),"shifaligero@gmail.com")</f>
        <v>shifaligero@gmail.com</v>
      </c>
      <c r="L33" s="57" t="str">
        <f>IFERROR(__xludf.DUMMYFUNCTION("""COMPUTED_VALUE"""),"https://www.instagram.com/shifaligero/")</f>
        <v>https://www.instagram.com/shifaligero/</v>
      </c>
      <c r="M33" s="57" t="str">
        <f>IFERROR(__xludf.DUMMYFUNCTION("""COMPUTED_VALUE"""),"https://soundcloud.com/shifaligero")</f>
        <v>https://soundcloud.com/shifaligero</v>
      </c>
      <c r="N33" s="57" t="str">
        <f>IFERROR(__xludf.DUMMYFUNCTION("""COMPUTED_VALUE"""),"https://www.tiktok.com/@shifaligero")</f>
        <v>https://www.tiktok.com/@shifaligero</v>
      </c>
      <c r="O33" s="7"/>
      <c r="P33" s="7"/>
      <c r="Q33" s="56">
        <f>IFERROR(__xludf.DUMMYFUNCTION("""COMPUTED_VALUE"""),45630.0)</f>
        <v>45630</v>
      </c>
      <c r="R33" s="7" t="str">
        <f>IFERROR(__xludf.DUMMYFUNCTION("""COMPUTED_VALUE"""),"Jazz Cafe ")</f>
        <v>Jazz Cafe </v>
      </c>
      <c r="S33" s="7">
        <f>IFERROR(__xludf.DUMMYFUNCTION("""COMPUTED_VALUE"""),0.0)</f>
        <v>0</v>
      </c>
      <c r="T33" s="7">
        <f>IFERROR(__xludf.DUMMYFUNCTION("""COMPUTED_VALUE"""),2.0)</f>
        <v>2</v>
      </c>
      <c r="U33" s="7">
        <f>IFERROR(__xludf.DUMMYFUNCTION("""COMPUTED_VALUE"""),0.0)</f>
        <v>0</v>
      </c>
      <c r="V33" s="7">
        <f>IFERROR(__xludf.DUMMYFUNCTION("""COMPUTED_VALUE"""),4.0)</f>
        <v>4</v>
      </c>
    </row>
    <row r="34">
      <c r="B34" s="7">
        <v>12.0</v>
      </c>
      <c r="C34" s="7" t="str">
        <f>IFERROR(__xludf.DUMMYFUNCTION("""COMPUTED_VALUE"""),"Adnan.Afghani")</f>
        <v>Adnan.Afghani</v>
      </c>
      <c r="D34" s="7" t="str">
        <f>IFERROR(__xludf.DUMMYFUNCTION("""COMPUTED_VALUE"""),"Adnan")</f>
        <v>Adnan</v>
      </c>
      <c r="E34" s="7"/>
      <c r="F34" s="7"/>
      <c r="G34" s="7" t="str">
        <f>IFERROR(__xludf.DUMMYFUNCTION("""COMPUTED_VALUE"""),"London")</f>
        <v>London</v>
      </c>
      <c r="H34" s="7"/>
      <c r="I34" s="7" t="str">
        <f>IFERROR(__xludf.DUMMYFUNCTION("""COMPUTED_VALUE"""),"DJ")</f>
        <v>DJ</v>
      </c>
      <c r="J34" s="7" t="str">
        <f>IFERROR(__xludf.DUMMYFUNCTION("""COMPUTED_VALUE"""),"""140/160 (techno/breaks/idm/dubstep) +experimental""")</f>
        <v>"140/160 (techno/breaks/idm/dubstep) +experimental"</v>
      </c>
      <c r="K34" s="7" t="str">
        <f>IFERROR(__xludf.DUMMYFUNCTION("""COMPUTED_VALUE"""),"-")</f>
        <v>-</v>
      </c>
      <c r="L34" s="7"/>
      <c r="M34" s="57" t="str">
        <f>IFERROR(__xludf.DUMMYFUNCTION("""COMPUTED_VALUE"""),"https://soundcloud.com/daytimers_uk/adnan-afghani-disoriented-rhythms")</f>
        <v>https://soundcloud.com/daytimers_uk/adnan-afghani-disoriented-rhythms</v>
      </c>
      <c r="N34" s="7"/>
      <c r="O34" s="7"/>
      <c r="P34" s="57" t="str">
        <f>IFERROR(__xludf.DUMMYFUNCTION("""COMPUTED_VALUE"""),"https://linktr.ee/adnan1198?fbclid=IwAR1RFFnK-rK7SohrsOqfXMyTqflU4LM_MhHgXmHq3o3qZ4QmW9sHmiT9kKk")</f>
        <v>https://linktr.ee/adnan1198?fbclid=IwAR1RFFnK-rK7SohrsOqfXMyTqflU4LM_MhHgXmHq3o3qZ4QmW9sHmiT9kKk</v>
      </c>
      <c r="Q34" s="56">
        <f>IFERROR(__xludf.DUMMYFUNCTION("""COMPUTED_VALUE"""),45458.0)</f>
        <v>45458</v>
      </c>
      <c r="R34" s="7" t="str">
        <f>IFERROR(__xludf.DUMMYFUNCTION("""COMPUTED_VALUE"""),"DAYTIMERS Festival")</f>
        <v>DAYTIMERS Festival</v>
      </c>
      <c r="S34" s="7">
        <f>IFERROR(__xludf.DUMMYFUNCTION("""COMPUTED_VALUE"""),1.0)</f>
        <v>1</v>
      </c>
      <c r="T34" s="7">
        <f>IFERROR(__xludf.DUMMYFUNCTION("""COMPUTED_VALUE"""),1.0)</f>
        <v>1</v>
      </c>
      <c r="U34" s="7">
        <f>IFERROR(__xludf.DUMMYFUNCTION("""COMPUTED_VALUE"""),0.0)</f>
        <v>0</v>
      </c>
      <c r="V34" s="7">
        <f>IFERROR(__xludf.DUMMYFUNCTION("""COMPUTED_VALUE"""),3.0)</f>
        <v>3</v>
      </c>
    </row>
    <row r="35">
      <c r="B35" s="7">
        <v>14.0</v>
      </c>
      <c r="C35" s="7" t="str">
        <f>IFERROR(__xludf.DUMMYFUNCTION("""COMPUTED_VALUE"""),"Jawari")</f>
        <v>Jawari</v>
      </c>
      <c r="D35" s="7" t="str">
        <f>IFERROR(__xludf.DUMMYFUNCTION("""COMPUTED_VALUE"""),"Jawari")</f>
        <v>Jawari</v>
      </c>
      <c r="E35" s="7" t="str">
        <f>IFERROR(__xludf.DUMMYFUNCTION("""COMPUTED_VALUE"""),"they/them")</f>
        <v>they/them</v>
      </c>
      <c r="F35" s="7" t="str">
        <f>IFERROR(__xludf.DUMMYFUNCTION("""COMPUTED_VALUE"""),"mixed")</f>
        <v>mixed</v>
      </c>
      <c r="G35" s="7" t="str">
        <f>IFERROR(__xludf.DUMMYFUNCTION("""COMPUTED_VALUE"""),"London")</f>
        <v>London</v>
      </c>
      <c r="H35" s="7"/>
      <c r="I35" s="7" t="str">
        <f>IFERROR(__xludf.DUMMYFUNCTION("""COMPUTED_VALUE"""),"Live Act")</f>
        <v>Live Act</v>
      </c>
      <c r="J35" s="7" t="str">
        <f>IFERROR(__xludf.DUMMYFUNCTION("""COMPUTED_VALUE"""),"Indo-Jazz")</f>
        <v>Indo-Jazz</v>
      </c>
      <c r="K35" s="7" t="str">
        <f>IFERROR(__xludf.DUMMYFUNCTION("""COMPUTED_VALUE"""),"jawariband@gmail.com")</f>
        <v>jawariband@gmail.com</v>
      </c>
      <c r="L35" s="57" t="str">
        <f>IFERROR(__xludf.DUMMYFUNCTION("""COMPUTED_VALUE"""),"https://www.instagram.com/jawariband/")</f>
        <v>https://www.instagram.com/jawariband/</v>
      </c>
      <c r="M35" s="7"/>
      <c r="N35" s="7"/>
      <c r="O35" s="7"/>
      <c r="P35" s="57" t="str">
        <f>IFERROR(__xludf.DUMMYFUNCTION("""COMPUTED_VALUE"""),"https://open.spotify.com/artist/4dMY9QGjc6JqLcLvnzNWKH")</f>
        <v>https://open.spotify.com/artist/4dMY9QGjc6JqLcLvnzNWKH</v>
      </c>
      <c r="Q35" s="56">
        <f>IFERROR(__xludf.DUMMYFUNCTION("""COMPUTED_VALUE"""),45458.0)</f>
        <v>45458</v>
      </c>
      <c r="R35" s="7" t="str">
        <f>IFERROR(__xludf.DUMMYFUNCTION("""COMPUTED_VALUE"""),"DAYTIMERS Festival")</f>
        <v>DAYTIMERS Festival</v>
      </c>
      <c r="S35" s="7">
        <f>IFERROR(__xludf.DUMMYFUNCTION("""COMPUTED_VALUE"""),0.0)</f>
        <v>0</v>
      </c>
      <c r="T35" s="7">
        <f>IFERROR(__xludf.DUMMYFUNCTION("""COMPUTED_VALUE"""),1.0)</f>
        <v>1</v>
      </c>
      <c r="U35" s="7">
        <f>IFERROR(__xludf.DUMMYFUNCTION("""COMPUTED_VALUE"""),0.0)</f>
        <v>0</v>
      </c>
      <c r="V35" s="7">
        <f>IFERROR(__xludf.DUMMYFUNCTION("""COMPUTED_VALUE"""),2.0)</f>
        <v>2</v>
      </c>
    </row>
    <row r="36">
      <c r="B36" s="7">
        <v>7.0</v>
      </c>
      <c r="C36" s="7" t="str">
        <f>IFERROR(__xludf.DUMMYFUNCTION("""COMPUTED_VALUE"""),"Sarith")</f>
        <v>Sarith</v>
      </c>
      <c r="D36" s="7"/>
      <c r="E36" s="7"/>
      <c r="F36" s="7"/>
      <c r="G36" s="7" t="str">
        <f>IFERROR(__xludf.DUMMYFUNCTION("""COMPUTED_VALUE"""),"London")</f>
        <v>London</v>
      </c>
      <c r="H36" s="7"/>
      <c r="I36" s="7" t="str">
        <f>IFERROR(__xludf.DUMMYFUNCTION("""COMPUTED_VALUE"""),"DJ")</f>
        <v>DJ</v>
      </c>
      <c r="J36" s="7"/>
      <c r="K36" s="7"/>
      <c r="L36" s="7"/>
      <c r="M36" s="7"/>
      <c r="N36" s="7"/>
      <c r="O36" s="7"/>
      <c r="P36" s="7"/>
      <c r="Q36" s="56">
        <f>IFERROR(__xludf.DUMMYFUNCTION("""COMPUTED_VALUE"""),45457.0)</f>
        <v>45457</v>
      </c>
      <c r="R36" s="7" t="str">
        <f>IFERROR(__xludf.DUMMYFUNCTION("""COMPUTED_VALUE"""),"This Is Fine' by Poorna Bell")</f>
        <v>This Is Fine' by Poorna Bell</v>
      </c>
      <c r="S36" s="7">
        <f>IFERROR(__xludf.DUMMYFUNCTION("""COMPUTED_VALUE"""),2.0)</f>
        <v>2</v>
      </c>
      <c r="T36" s="7">
        <f>IFERROR(__xludf.DUMMYFUNCTION("""COMPUTED_VALUE"""),1.0)</f>
        <v>1</v>
      </c>
      <c r="U36" s="7">
        <f>IFERROR(__xludf.DUMMYFUNCTION("""COMPUTED_VALUE"""),0.0)</f>
        <v>0</v>
      </c>
      <c r="V36" s="7">
        <f>IFERROR(__xludf.DUMMYFUNCTION("""COMPUTED_VALUE"""),4.0)</f>
        <v>4</v>
      </c>
    </row>
    <row r="37">
      <c r="B37" s="7">
        <v>2.0</v>
      </c>
      <c r="C37" s="7" t="str">
        <f>IFERROR(__xludf.DUMMYFUNCTION("""COMPUTED_VALUE"""),"Mahnoor")</f>
        <v>Mahnoor</v>
      </c>
      <c r="D37" s="7"/>
      <c r="E37" s="7"/>
      <c r="F37" s="7"/>
      <c r="G37" s="7"/>
      <c r="H37" s="7"/>
      <c r="I37" s="7" t="str">
        <f>IFERROR(__xludf.DUMMYFUNCTION("""COMPUTED_VALUE"""),"DJ")</f>
        <v>DJ</v>
      </c>
      <c r="J37" s="7"/>
      <c r="K37" s="7"/>
      <c r="L37" s="7"/>
      <c r="M37" s="7"/>
      <c r="N37" s="7"/>
      <c r="O37" s="7"/>
      <c r="P37" s="7"/>
      <c r="Q37" s="56">
        <f>IFERROR(__xludf.DUMMYFUNCTION("""COMPUTED_VALUE"""),45415.0)</f>
        <v>45415</v>
      </c>
      <c r="R37" s="7" t="str">
        <f>IFERROR(__xludf.DUMMYFUNCTION("""COMPUTED_VALUE"""),"Liberation Squares Press Night")</f>
        <v>Liberation Squares Press Night</v>
      </c>
      <c r="S37" s="7">
        <f>IFERROR(__xludf.DUMMYFUNCTION("""COMPUTED_VALUE"""),1.0)</f>
        <v>1</v>
      </c>
      <c r="T37" s="7">
        <f>IFERROR(__xludf.DUMMYFUNCTION("""COMPUTED_VALUE"""),3.0)</f>
        <v>3</v>
      </c>
      <c r="U37" s="7">
        <f>IFERROR(__xludf.DUMMYFUNCTION("""COMPUTED_VALUE"""),2.0)</f>
        <v>2</v>
      </c>
      <c r="V37" s="7">
        <f>IFERROR(__xludf.DUMMYFUNCTION("""COMPUTED_VALUE"""),13.0)</f>
        <v>13</v>
      </c>
    </row>
    <row r="38">
      <c r="B38" s="7">
        <v>7.0</v>
      </c>
      <c r="C38" s="7" t="str">
        <f>IFERROR(__xludf.DUMMYFUNCTION("""COMPUTED_VALUE"""),"Kirat")</f>
        <v>Kirat</v>
      </c>
      <c r="D38" s="7"/>
      <c r="E38" s="7"/>
      <c r="F38" s="7"/>
      <c r="G38" s="7" t="str">
        <f>IFERROR(__xludf.DUMMYFUNCTION("""COMPUTED_VALUE"""),"London")</f>
        <v>London</v>
      </c>
      <c r="H38" s="7"/>
      <c r="I38" s="7" t="str">
        <f>IFERROR(__xludf.DUMMYFUNCTION("""COMPUTED_VALUE"""),"DJ")</f>
        <v>DJ</v>
      </c>
      <c r="J38" s="7"/>
      <c r="K38" s="7" t="str">
        <f>IFERROR(__xludf.DUMMYFUNCTION("""COMPUTED_VALUE"""),"N/A")</f>
        <v>N/A</v>
      </c>
      <c r="L38" s="7"/>
      <c r="M38" s="7"/>
      <c r="N38" s="7"/>
      <c r="O38" s="7"/>
      <c r="P38" s="7"/>
      <c r="Q38" s="56">
        <f>IFERROR(__xludf.DUMMYFUNCTION("""COMPUTED_VALUE"""),45401.0)</f>
        <v>45401</v>
      </c>
      <c r="R38" s="7" t="str">
        <f>IFERROR(__xludf.DUMMYFUNCTION("""COMPUTED_VALUE"""),"Jazz Cafe")</f>
        <v>Jazz Cafe</v>
      </c>
      <c r="S38" s="7">
        <f>IFERROR(__xludf.DUMMYFUNCTION("""COMPUTED_VALUE"""),0.0)</f>
        <v>0</v>
      </c>
      <c r="T38" s="7">
        <f>IFERROR(__xludf.DUMMYFUNCTION("""COMPUTED_VALUE"""),2.0)</f>
        <v>2</v>
      </c>
      <c r="U38" s="7">
        <f>IFERROR(__xludf.DUMMYFUNCTION("""COMPUTED_VALUE"""),0.0)</f>
        <v>0</v>
      </c>
      <c r="V38" s="7">
        <f>IFERROR(__xludf.DUMMYFUNCTION("""COMPUTED_VALUE"""),4.0)</f>
        <v>4</v>
      </c>
    </row>
    <row r="39">
      <c r="B39" s="7">
        <v>12.0</v>
      </c>
      <c r="C39" s="7" t="str">
        <f>IFERROR(__xludf.DUMMYFUNCTION("""COMPUTED_VALUE"""),"Panjabi Hit Squad")</f>
        <v>Panjabi Hit Squad</v>
      </c>
      <c r="D39" s="7"/>
      <c r="E39" s="7"/>
      <c r="F39" s="7"/>
      <c r="G39" s="7" t="str">
        <f>IFERROR(__xludf.DUMMYFUNCTION("""COMPUTED_VALUE"""),"London")</f>
        <v>London</v>
      </c>
      <c r="H39" s="7"/>
      <c r="I39" s="7" t="str">
        <f>IFERROR(__xludf.DUMMYFUNCTION("""COMPUTED_VALUE"""),"DJ")</f>
        <v>DJ</v>
      </c>
      <c r="J39" s="7" t="str">
        <f>IFERROR(__xludf.DUMMYFUNCTION("""COMPUTED_VALUE"""),"Garage")</f>
        <v>Garage</v>
      </c>
      <c r="K39" s="7"/>
      <c r="L39" s="7"/>
      <c r="M39" s="7"/>
      <c r="N39" s="7"/>
      <c r="O39" s="7"/>
      <c r="P39" s="7"/>
      <c r="Q39" s="56">
        <f>IFERROR(__xludf.DUMMYFUNCTION("""COMPUTED_VALUE"""),45401.0)</f>
        <v>45401</v>
      </c>
      <c r="R39" s="7" t="str">
        <f>IFERROR(__xludf.DUMMYFUNCTION("""COMPUTED_VALUE"""),"Jazz Cafe")</f>
        <v>Jazz Cafe</v>
      </c>
      <c r="S39" s="7">
        <f>IFERROR(__xludf.DUMMYFUNCTION("""COMPUTED_VALUE"""),1.0)</f>
        <v>1</v>
      </c>
      <c r="T39" s="7">
        <f>IFERROR(__xludf.DUMMYFUNCTION("""COMPUTED_VALUE"""),1.0)</f>
        <v>1</v>
      </c>
      <c r="U39" s="7">
        <f>IFERROR(__xludf.DUMMYFUNCTION("""COMPUTED_VALUE"""),0.0)</f>
        <v>0</v>
      </c>
      <c r="V39" s="7">
        <f>IFERROR(__xludf.DUMMYFUNCTION("""COMPUTED_VALUE"""),3.0)</f>
        <v>3</v>
      </c>
    </row>
    <row r="40">
      <c r="B40" s="7">
        <v>7.0</v>
      </c>
      <c r="C40" s="7" t="str">
        <f>IFERROR(__xludf.DUMMYFUNCTION("""COMPUTED_VALUE"""),"Arnav")</f>
        <v>Arnav</v>
      </c>
      <c r="D40" s="7" t="str">
        <f>IFERROR(__xludf.DUMMYFUNCTION("""COMPUTED_VALUE"""),"Arnav")</f>
        <v>Arnav</v>
      </c>
      <c r="E40" s="7"/>
      <c r="F40" s="7"/>
      <c r="G40" s="7"/>
      <c r="H40" s="7"/>
      <c r="I40" s="7" t="str">
        <f>IFERROR(__xludf.DUMMYFUNCTION("""COMPUTED_VALUE"""),"DJ")</f>
        <v>DJ</v>
      </c>
      <c r="J40" s="7"/>
      <c r="K40" s="7"/>
      <c r="L40" s="7"/>
      <c r="M40" s="7"/>
      <c r="N40" s="7"/>
      <c r="O40" s="7"/>
      <c r="P40" s="7"/>
      <c r="Q40" s="56">
        <f>IFERROR(__xludf.DUMMYFUNCTION("""COMPUTED_VALUE"""),45395.0)</f>
        <v>45395</v>
      </c>
      <c r="R40" s="7" t="str">
        <f>IFERROR(__xludf.DUMMYFUNCTION("""COMPUTED_VALUE"""),"DAYTIMERS BERLIN")</f>
        <v>DAYTIMERS BERLIN</v>
      </c>
      <c r="S40" s="7">
        <f>IFERROR(__xludf.DUMMYFUNCTION("""COMPUTED_VALUE"""),0.0)</f>
        <v>0</v>
      </c>
      <c r="T40" s="7">
        <f>IFERROR(__xludf.DUMMYFUNCTION("""COMPUTED_VALUE"""),2.0)</f>
        <v>2</v>
      </c>
      <c r="U40" s="7">
        <f>IFERROR(__xludf.DUMMYFUNCTION("""COMPUTED_VALUE"""),0.0)</f>
        <v>0</v>
      </c>
      <c r="V40" s="7">
        <f>IFERROR(__xludf.DUMMYFUNCTION("""COMPUTED_VALUE"""),4.0)</f>
        <v>4</v>
      </c>
    </row>
    <row r="41">
      <c r="B41" s="7">
        <v>5.0</v>
      </c>
      <c r="C41" s="57" t="str">
        <f>IFERROR(__xludf.DUMMYFUNCTION("""COMPUTED_VALUE"""),"SHIR.IN")</f>
        <v>SHIR.IN</v>
      </c>
      <c r="D41" s="7"/>
      <c r="E41" s="7"/>
      <c r="F41" s="7"/>
      <c r="G41" s="7"/>
      <c r="H41" s="7"/>
      <c r="I41" s="7" t="str">
        <f>IFERROR(__xludf.DUMMYFUNCTION("""COMPUTED_VALUE"""),"DJ")</f>
        <v>DJ</v>
      </c>
      <c r="J41" s="7"/>
      <c r="K41" s="7"/>
      <c r="L41" s="7"/>
      <c r="M41" s="7"/>
      <c r="N41" s="7"/>
      <c r="O41" s="7"/>
      <c r="P41" s="7"/>
      <c r="Q41" s="56">
        <f>IFERROR(__xludf.DUMMYFUNCTION("""COMPUTED_VALUE"""),45395.0)</f>
        <v>45395</v>
      </c>
      <c r="R41" s="7" t="str">
        <f>IFERROR(__xludf.DUMMYFUNCTION("""COMPUTED_VALUE"""),"DAYTIMERS BERLIN")</f>
        <v>DAYTIMERS BERLIN</v>
      </c>
      <c r="S41" s="7">
        <f>IFERROR(__xludf.DUMMYFUNCTION("""COMPUTED_VALUE"""),1.0)</f>
        <v>1</v>
      </c>
      <c r="T41" s="7">
        <f>IFERROR(__xludf.DUMMYFUNCTION("""COMPUTED_VALUE"""),1.0)</f>
        <v>1</v>
      </c>
      <c r="U41" s="7">
        <f>IFERROR(__xludf.DUMMYFUNCTION("""COMPUTED_VALUE"""),1.0)</f>
        <v>1</v>
      </c>
      <c r="V41" s="7">
        <f>IFERROR(__xludf.DUMMYFUNCTION("""COMPUTED_VALUE"""),6.0)</f>
        <v>6</v>
      </c>
    </row>
    <row r="42">
      <c r="B42" s="7">
        <v>14.0</v>
      </c>
      <c r="C42" s="7" t="str">
        <f>IFERROR(__xludf.DUMMYFUNCTION("""COMPUTED_VALUE"""),"Imad")</f>
        <v>Imad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56">
        <f>IFERROR(__xludf.DUMMYFUNCTION("""COMPUTED_VALUE"""),45395.0)</f>
        <v>45395</v>
      </c>
      <c r="R42" s="7" t="str">
        <f>IFERROR(__xludf.DUMMYFUNCTION("""COMPUTED_VALUE"""),"DAYTIMERS BERLIN")</f>
        <v>DAYTIMERS BERLIN</v>
      </c>
      <c r="S42" s="7">
        <f>IFERROR(__xludf.DUMMYFUNCTION("""COMPUTED_VALUE"""),0.0)</f>
        <v>0</v>
      </c>
      <c r="T42" s="7">
        <f>IFERROR(__xludf.DUMMYFUNCTION("""COMPUTED_VALUE"""),1.0)</f>
        <v>1</v>
      </c>
      <c r="U42" s="7">
        <f>IFERROR(__xludf.DUMMYFUNCTION("""COMPUTED_VALUE"""),0.0)</f>
        <v>0</v>
      </c>
      <c r="V42" s="7">
        <f>IFERROR(__xludf.DUMMYFUNCTION("""COMPUTED_VALUE"""),2.0)</f>
        <v>2</v>
      </c>
    </row>
    <row r="43">
      <c r="B43" s="7">
        <v>14.0</v>
      </c>
      <c r="C43" s="7" t="str">
        <f>IFERROR(__xludf.DUMMYFUNCTION("""COMPUTED_VALUE"""),"Abibi")</f>
        <v>Abibi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56">
        <f>IFERROR(__xludf.DUMMYFUNCTION("""COMPUTED_VALUE"""),45395.0)</f>
        <v>45395</v>
      </c>
      <c r="R43" s="7" t="str">
        <f>IFERROR(__xludf.DUMMYFUNCTION("""COMPUTED_VALUE"""),"DAYTIMERS BERLIN")</f>
        <v>DAYTIMERS BERLIN</v>
      </c>
      <c r="S43" s="7">
        <f>IFERROR(__xludf.DUMMYFUNCTION("""COMPUTED_VALUE"""),0.0)</f>
        <v>0</v>
      </c>
      <c r="T43" s="7">
        <f>IFERROR(__xludf.DUMMYFUNCTION("""COMPUTED_VALUE"""),1.0)</f>
        <v>1</v>
      </c>
      <c r="U43" s="7">
        <f>IFERROR(__xludf.DUMMYFUNCTION("""COMPUTED_VALUE"""),0.0)</f>
        <v>0</v>
      </c>
      <c r="V43" s="7">
        <f>IFERROR(__xludf.DUMMYFUNCTION("""COMPUTED_VALUE"""),2.0)</f>
        <v>2</v>
      </c>
    </row>
    <row r="44">
      <c r="B44" s="7">
        <v>14.0</v>
      </c>
      <c r="C44" s="7" t="str">
        <f>IFERROR(__xludf.DUMMYFUNCTION("""COMPUTED_VALUE"""),"Yung Fya")</f>
        <v>Yung Fya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56">
        <f>IFERROR(__xludf.DUMMYFUNCTION("""COMPUTED_VALUE"""),45395.0)</f>
        <v>45395</v>
      </c>
      <c r="R44" s="7" t="str">
        <f>IFERROR(__xludf.DUMMYFUNCTION("""COMPUTED_VALUE"""),"DAYTIMERS BERLIN")</f>
        <v>DAYTIMERS BERLIN</v>
      </c>
      <c r="S44" s="7">
        <f>IFERROR(__xludf.DUMMYFUNCTION("""COMPUTED_VALUE"""),0.0)</f>
        <v>0</v>
      </c>
      <c r="T44" s="7">
        <f>IFERROR(__xludf.DUMMYFUNCTION("""COMPUTED_VALUE"""),1.0)</f>
        <v>1</v>
      </c>
      <c r="U44" s="7">
        <f>IFERROR(__xludf.DUMMYFUNCTION("""COMPUTED_VALUE"""),0.0)</f>
        <v>0</v>
      </c>
      <c r="V44" s="7">
        <f>IFERROR(__xludf.DUMMYFUNCTION("""COMPUTED_VALUE"""),2.0)</f>
        <v>2</v>
      </c>
    </row>
    <row r="45">
      <c r="B45" s="7">
        <v>1.0</v>
      </c>
      <c r="C45" s="7" t="str">
        <f>IFERROR(__xludf.DUMMYFUNCTION("""COMPUTED_VALUE"""),"yourboykiran")</f>
        <v>yourboykiran</v>
      </c>
      <c r="D45" s="7" t="str">
        <f>IFERROR(__xludf.DUMMYFUNCTION("""COMPUTED_VALUE"""),"Kiran Kotecha")</f>
        <v>Kiran Kotecha</v>
      </c>
      <c r="E45" s="7"/>
      <c r="F45" s="7"/>
      <c r="G45" s="7" t="str">
        <f>IFERROR(__xludf.DUMMYFUNCTION("""COMPUTED_VALUE"""),"London")</f>
        <v>London</v>
      </c>
      <c r="H45" s="7"/>
      <c r="I45" s="7" t="str">
        <f>IFERROR(__xludf.DUMMYFUNCTION("""COMPUTED_VALUE"""),"DJ")</f>
        <v>DJ</v>
      </c>
      <c r="J45" s="7" t="str">
        <f>IFERROR(__xludf.DUMMYFUNCTION("""COMPUTED_VALUE"""),"Flips + Edits / Baile Funk / UK Funky / Breaks / UKG / 140 / Electro / 160 / Jungle")</f>
        <v>Flips + Edits / Baile Funk / UK Funky / Breaks / UKG / 140 / Electro / 160 / Jungle</v>
      </c>
      <c r="K45" s="7" t="str">
        <f>IFERROR(__xludf.DUMMYFUNCTION("""COMPUTED_VALUE"""),"yourboykiran@gmail.com")</f>
        <v>yourboykiran@gmail.com</v>
      </c>
      <c r="L45" s="57" t="str">
        <f>IFERROR(__xludf.DUMMYFUNCTION("""COMPUTED_VALUE"""),"https://www.instagram.com/yourboykiran/")</f>
        <v>https://www.instagram.com/yourboykiran/</v>
      </c>
      <c r="M45" s="57" t="str">
        <f>IFERROR(__xludf.DUMMYFUNCTION("""COMPUTED_VALUE"""),"https://soundcloud.com/yourboykiran")</f>
        <v>https://soundcloud.com/yourboykiran</v>
      </c>
      <c r="N45" s="7"/>
      <c r="O45" s="57" t="str">
        <f>IFERROR(__xludf.DUMMYFUNCTION("""COMPUTED_VALUE"""),"https://lnk.bio/yourboykiran")</f>
        <v>https://lnk.bio/yourboykiran</v>
      </c>
      <c r="P45" s="57" t="str">
        <f>IFERROR(__xludf.DUMMYFUNCTION("""COMPUTED_VALUE"""),"https://soundcloud.com/yourboykiran")</f>
        <v>https://soundcloud.com/yourboykiran</v>
      </c>
      <c r="Q45" s="56">
        <f>IFERROR(__xludf.DUMMYFUNCTION("""COMPUTED_VALUE"""),45325.0)</f>
        <v>45325</v>
      </c>
      <c r="R45" s="7" t="str">
        <f>IFERROR(__xludf.DUMMYFUNCTION("""COMPUTED_VALUE"""),"DT x NDR Versus")</f>
        <v>DT x NDR Versus</v>
      </c>
      <c r="S45" s="7">
        <f>IFERROR(__xludf.DUMMYFUNCTION("""COMPUTED_VALUE"""),1.0)</f>
        <v>1</v>
      </c>
      <c r="T45" s="7">
        <f>IFERROR(__xludf.DUMMYFUNCTION("""COMPUTED_VALUE"""),4.0)</f>
        <v>4</v>
      </c>
      <c r="U45" s="7">
        <f>IFERROR(__xludf.DUMMYFUNCTION("""COMPUTED_VALUE"""),2.0)</f>
        <v>2</v>
      </c>
      <c r="V45" s="7">
        <f>IFERROR(__xludf.DUMMYFUNCTION("""COMPUTED_VALUE"""),15.0)</f>
        <v>15</v>
      </c>
    </row>
    <row r="46">
      <c r="B46" s="7">
        <v>4.0</v>
      </c>
      <c r="C46" s="7" t="str">
        <f>IFERROR(__xludf.DUMMYFUNCTION("""COMPUTED_VALUE"""),"D-Lish")</f>
        <v>D-Lish</v>
      </c>
      <c r="D46" s="7" t="str">
        <f>IFERROR(__xludf.DUMMYFUNCTION("""COMPUTED_VALUE"""),"Alisha Shah")</f>
        <v>Alisha Shah</v>
      </c>
      <c r="E46" s="7"/>
      <c r="F46" s="7"/>
      <c r="G46" s="7"/>
      <c r="H46" s="7"/>
      <c r="I46" s="7" t="str">
        <f>IFERROR(__xludf.DUMMYFUNCTION("""COMPUTED_VALUE"""),"DJ")</f>
        <v>DJ</v>
      </c>
      <c r="J46" s="7"/>
      <c r="K46" s="7"/>
      <c r="L46" s="7"/>
      <c r="M46" s="7"/>
      <c r="N46" s="7"/>
      <c r="O46" s="7"/>
      <c r="P46" s="7"/>
      <c r="Q46" s="56">
        <f>IFERROR(__xludf.DUMMYFUNCTION("""COMPUTED_VALUE"""),45325.0)</f>
        <v>45325</v>
      </c>
      <c r="R46" s="7" t="str">
        <f>IFERROR(__xludf.DUMMYFUNCTION("""COMPUTED_VALUE"""),"DT X NDR Versus")</f>
        <v>DT X NDR Versus</v>
      </c>
      <c r="S46" s="7">
        <f>IFERROR(__xludf.DUMMYFUNCTION("""COMPUTED_VALUE"""),2.0)</f>
        <v>2</v>
      </c>
      <c r="T46" s="7">
        <f>IFERROR(__xludf.DUMMYFUNCTION("""COMPUTED_VALUE"""),1.0)</f>
        <v>1</v>
      </c>
      <c r="U46" s="7">
        <f>IFERROR(__xludf.DUMMYFUNCTION("""COMPUTED_VALUE"""),1.0)</f>
        <v>1</v>
      </c>
      <c r="V46" s="7">
        <f>IFERROR(__xludf.DUMMYFUNCTION("""COMPUTED_VALUE"""),7.0)</f>
        <v>7</v>
      </c>
    </row>
    <row r="47">
      <c r="B47" s="7">
        <v>14.0</v>
      </c>
      <c r="C47" s="7" t="str">
        <f>IFERROR(__xludf.DUMMYFUNCTION("""COMPUTED_VALUE"""),"JAE-X")</f>
        <v>JAE-X</v>
      </c>
      <c r="D47" s="7"/>
      <c r="E47" s="7"/>
      <c r="F47" s="7"/>
      <c r="G47" s="7" t="str">
        <f>IFERROR(__xludf.DUMMYFUNCTION("""COMPUTED_VALUE"""),"London")</f>
        <v>London</v>
      </c>
      <c r="H47" s="7"/>
      <c r="I47" s="7" t="str">
        <f>IFERROR(__xludf.DUMMYFUNCTION("""COMPUTED_VALUE"""),"DJ")</f>
        <v>DJ</v>
      </c>
      <c r="J47" s="7"/>
      <c r="K47" s="7" t="str">
        <f>IFERROR(__xludf.DUMMYFUNCTION("""COMPUTED_VALUE"""),"N/A")</f>
        <v>N/A</v>
      </c>
      <c r="L47" s="7"/>
      <c r="M47" s="7"/>
      <c r="N47" s="7"/>
      <c r="O47" s="7"/>
      <c r="P47" s="7"/>
      <c r="Q47" s="56">
        <f>IFERROR(__xludf.DUMMYFUNCTION("""COMPUTED_VALUE"""),45325.0)</f>
        <v>45325</v>
      </c>
      <c r="R47" s="7" t="str">
        <f>IFERROR(__xludf.DUMMYFUNCTION("""COMPUTED_VALUE"""),"DT x NDR Versus ")</f>
        <v>DT x NDR Versus </v>
      </c>
      <c r="S47" s="7">
        <f>IFERROR(__xludf.DUMMYFUNCTION("""COMPUTED_VALUE"""),2.0)</f>
        <v>2</v>
      </c>
      <c r="T47" s="7">
        <f>IFERROR(__xludf.DUMMYFUNCTION("""COMPUTED_VALUE"""),0.0)</f>
        <v>0</v>
      </c>
      <c r="U47" s="7">
        <f>IFERROR(__xludf.DUMMYFUNCTION("""COMPUTED_VALUE"""),0.0)</f>
        <v>0</v>
      </c>
      <c r="V47" s="7">
        <f>IFERROR(__xludf.DUMMYFUNCTION("""COMPUTED_VALUE"""),2.0)</f>
        <v>2</v>
      </c>
    </row>
    <row r="48">
      <c r="B48" s="7">
        <v>24.0</v>
      </c>
      <c r="C48" s="7" t="str">
        <f>IFERROR(__xludf.DUMMYFUNCTION("""COMPUTED_VALUE"""),"Rouhangeze")</f>
        <v>Rouhangeze</v>
      </c>
      <c r="D48" s="7"/>
      <c r="E48" s="7"/>
      <c r="F48" s="7"/>
      <c r="G48" s="7" t="str">
        <f>IFERROR(__xludf.DUMMYFUNCTION("""COMPUTED_VALUE"""),"London")</f>
        <v>London</v>
      </c>
      <c r="H48" s="7"/>
      <c r="I48" s="7" t="str">
        <f>IFERROR(__xludf.DUMMYFUNCTION("""COMPUTED_VALUE"""),"DJ")</f>
        <v>DJ</v>
      </c>
      <c r="J48" s="7" t="str">
        <f>IFERROR(__xludf.DUMMYFUNCTION("""COMPUTED_VALUE"""),"Jazz and soulful")</f>
        <v>Jazz and soulful</v>
      </c>
      <c r="K48" s="7"/>
      <c r="L48" s="7"/>
      <c r="M48" s="7"/>
      <c r="N48" s="7"/>
      <c r="O48" s="7"/>
      <c r="P48" s="7"/>
      <c r="Q48" s="56">
        <f>IFERROR(__xludf.DUMMYFUNCTION("""COMPUTED_VALUE"""),45273.0)</f>
        <v>45273</v>
      </c>
      <c r="R48" s="7" t="str">
        <f>IFERROR(__xludf.DUMMYFUNCTION("""COMPUTED_VALUE"""),"Skate Lates Somerset House Dec 2023")</f>
        <v>Skate Lates Somerset House Dec 2023</v>
      </c>
      <c r="S48" s="7">
        <f>IFERROR(__xludf.DUMMYFUNCTION("""COMPUTED_VALUE"""),1.0)</f>
        <v>1</v>
      </c>
      <c r="T48" s="7">
        <f>IFERROR(__xludf.DUMMYFUNCTION("""COMPUTED_VALUE"""),0.0)</f>
        <v>0</v>
      </c>
      <c r="U48" s="7">
        <f>IFERROR(__xludf.DUMMYFUNCTION("""COMPUTED_VALUE"""),0.0)</f>
        <v>0</v>
      </c>
      <c r="V48" s="7">
        <f>IFERROR(__xludf.DUMMYFUNCTION("""COMPUTED_VALUE"""),1.0)</f>
        <v>1</v>
      </c>
    </row>
    <row r="49">
      <c r="B49" s="7">
        <v>24.0</v>
      </c>
      <c r="C49" s="7" t="str">
        <f>IFERROR(__xludf.DUMMYFUNCTION("""COMPUTED_VALUE"""),"JJamz")</f>
        <v>JJamz</v>
      </c>
      <c r="D49" s="7"/>
      <c r="E49" s="7"/>
      <c r="F49" s="7"/>
      <c r="G49" s="7" t="str">
        <f>IFERROR(__xludf.DUMMYFUNCTION("""COMPUTED_VALUE"""),"London / Manchester")</f>
        <v>London / Manchester</v>
      </c>
      <c r="H49" s="7"/>
      <c r="I49" s="7" t="str">
        <f>IFERROR(__xludf.DUMMYFUNCTION("""COMPUTED_VALUE"""),"DJ")</f>
        <v>DJ</v>
      </c>
      <c r="J49" s="7" t="str">
        <f>IFERROR(__xludf.DUMMYFUNCTION("""COMPUTED_VALUE"""),"House and bits")</f>
        <v>House and bits</v>
      </c>
      <c r="K49" s="7"/>
      <c r="L49" s="7"/>
      <c r="M49" s="7"/>
      <c r="N49" s="7"/>
      <c r="O49" s="7"/>
      <c r="P49" s="7"/>
      <c r="Q49" s="56">
        <f>IFERROR(__xludf.DUMMYFUNCTION("""COMPUTED_VALUE"""),45273.0)</f>
        <v>45273</v>
      </c>
      <c r="R49" s="7" t="str">
        <f>IFERROR(__xludf.DUMMYFUNCTION("""COMPUTED_VALUE"""),"Skate Lates Somerset House Dec 2023")</f>
        <v>Skate Lates Somerset House Dec 2023</v>
      </c>
      <c r="S49" s="7">
        <f>IFERROR(__xludf.DUMMYFUNCTION("""COMPUTED_VALUE"""),1.0)</f>
        <v>1</v>
      </c>
      <c r="T49" s="7">
        <f>IFERROR(__xludf.DUMMYFUNCTION("""COMPUTED_VALUE"""),0.0)</f>
        <v>0</v>
      </c>
      <c r="U49" s="7">
        <f>IFERROR(__xludf.DUMMYFUNCTION("""COMPUTED_VALUE"""),0.0)</f>
        <v>0</v>
      </c>
      <c r="V49" s="7">
        <f>IFERROR(__xludf.DUMMYFUNCTION("""COMPUTED_VALUE"""),1.0)</f>
        <v>1</v>
      </c>
    </row>
    <row r="50">
      <c r="B50" s="7">
        <v>5.0</v>
      </c>
      <c r="C50" s="7" t="str">
        <f>IFERROR(__xludf.DUMMYFUNCTION("""COMPUTED_VALUE"""),"Zaleel")</f>
        <v>Zaleel</v>
      </c>
      <c r="D50" s="7"/>
      <c r="E50" s="7"/>
      <c r="F50" s="7"/>
      <c r="G50" s="7"/>
      <c r="H50" s="7"/>
      <c r="I50" s="7" t="str">
        <f>IFERROR(__xludf.DUMMYFUNCTION("""COMPUTED_VALUE"""),"DJ")</f>
        <v>DJ</v>
      </c>
      <c r="J50" s="7"/>
      <c r="K50" s="7"/>
      <c r="L50" s="7"/>
      <c r="M50" s="7"/>
      <c r="N50" s="7"/>
      <c r="O50" s="7"/>
      <c r="P50" s="7"/>
      <c r="Q50" s="56">
        <f>IFERROR(__xludf.DUMMYFUNCTION("""COMPUTED_VALUE"""),45262.0)</f>
        <v>45262</v>
      </c>
      <c r="R50" s="7" t="str">
        <f>IFERROR(__xludf.DUMMYFUNCTION("""COMPUTED_VALUE"""),"Earth Hackney Dec 2023")</f>
        <v>Earth Hackney Dec 2023</v>
      </c>
      <c r="S50" s="7">
        <f>IFERROR(__xludf.DUMMYFUNCTION("""COMPUTED_VALUE"""),0.0)</f>
        <v>0</v>
      </c>
      <c r="T50" s="7">
        <f>IFERROR(__xludf.DUMMYFUNCTION("""COMPUTED_VALUE"""),3.0)</f>
        <v>3</v>
      </c>
      <c r="U50" s="7">
        <f>IFERROR(__xludf.DUMMYFUNCTION("""COMPUTED_VALUE"""),0.0)</f>
        <v>0</v>
      </c>
      <c r="V50" s="7">
        <f>IFERROR(__xludf.DUMMYFUNCTION("""COMPUTED_VALUE"""),6.0)</f>
        <v>6</v>
      </c>
    </row>
    <row r="51">
      <c r="B51" s="7">
        <v>7.0</v>
      </c>
      <c r="C51" s="7" t="str">
        <f>IFERROR(__xludf.DUMMYFUNCTION("""COMPUTED_VALUE"""),"NAINA")</f>
        <v>NAINA</v>
      </c>
      <c r="D51" s="7"/>
      <c r="E51" s="7"/>
      <c r="F51" s="7"/>
      <c r="G51" s="7" t="str">
        <f>IFERROR(__xludf.DUMMYFUNCTION("""COMPUTED_VALUE"""),"London")</f>
        <v>London</v>
      </c>
      <c r="H51" s="7"/>
      <c r="I51" s="7" t="str">
        <f>IFERROR(__xludf.DUMMYFUNCTION("""COMPUTED_VALUE"""),"DJ")</f>
        <v>DJ</v>
      </c>
      <c r="J51" s="7"/>
      <c r="K51" s="7"/>
      <c r="L51" s="7"/>
      <c r="M51" s="7"/>
      <c r="N51" s="7"/>
      <c r="O51" s="7"/>
      <c r="P51" s="7"/>
      <c r="Q51" s="56">
        <f>IFERROR(__xludf.DUMMYFUNCTION("""COMPUTED_VALUE"""),45262.0)</f>
        <v>45262</v>
      </c>
      <c r="R51" s="7" t="str">
        <f>IFERROR(__xludf.DUMMYFUNCTION("""COMPUTED_VALUE"""),"Earth Hackney Dec 2023")</f>
        <v>Earth Hackney Dec 2023</v>
      </c>
      <c r="S51" s="7">
        <f>IFERROR(__xludf.DUMMYFUNCTION("""COMPUTED_VALUE"""),0.0)</f>
        <v>0</v>
      </c>
      <c r="T51" s="7">
        <f>IFERROR(__xludf.DUMMYFUNCTION("""COMPUTED_VALUE"""),2.0)</f>
        <v>2</v>
      </c>
      <c r="U51" s="7">
        <f>IFERROR(__xludf.DUMMYFUNCTION("""COMPUTED_VALUE"""),0.0)</f>
        <v>0</v>
      </c>
      <c r="V51" s="7">
        <f>IFERROR(__xludf.DUMMYFUNCTION("""COMPUTED_VALUE"""),4.0)</f>
        <v>4</v>
      </c>
    </row>
    <row r="52">
      <c r="B52" s="7">
        <v>14.0</v>
      </c>
      <c r="C52" s="7" t="str">
        <f>IFERROR(__xludf.DUMMYFUNCTION("""COMPUTED_VALUE"""),"Zee Muffin")</f>
        <v>Zee Muffin</v>
      </c>
      <c r="D52" s="7"/>
      <c r="E52" s="7"/>
      <c r="F52" s="7"/>
      <c r="G52" s="7" t="str">
        <f>IFERROR(__xludf.DUMMYFUNCTION("""COMPUTED_VALUE"""),"NYC USA")</f>
        <v>NYC USA</v>
      </c>
      <c r="H52" s="7"/>
      <c r="I52" s="7" t="str">
        <f>IFERROR(__xludf.DUMMYFUNCTION("""COMPUTED_VALUE"""),"DJ")</f>
        <v>DJ</v>
      </c>
      <c r="J52" s="7"/>
      <c r="K52" s="7"/>
      <c r="L52" s="7"/>
      <c r="M52" s="7"/>
      <c r="N52" s="7"/>
      <c r="O52" s="7"/>
      <c r="P52" s="7"/>
      <c r="Q52" s="56">
        <f>IFERROR(__xludf.DUMMYFUNCTION("""COMPUTED_VALUE"""),45262.0)</f>
        <v>45262</v>
      </c>
      <c r="R52" s="7" t="str">
        <f>IFERROR(__xludf.DUMMYFUNCTION("""COMPUTED_VALUE"""),"Earth Hackney Dec 2023")</f>
        <v>Earth Hackney Dec 2023</v>
      </c>
      <c r="S52" s="7">
        <f>IFERROR(__xludf.DUMMYFUNCTION("""COMPUTED_VALUE"""),0.0)</f>
        <v>0</v>
      </c>
      <c r="T52" s="7">
        <f>IFERROR(__xludf.DUMMYFUNCTION("""COMPUTED_VALUE"""),1.0)</f>
        <v>1</v>
      </c>
      <c r="U52" s="7">
        <f>IFERROR(__xludf.DUMMYFUNCTION("""COMPUTED_VALUE"""),0.0)</f>
        <v>0</v>
      </c>
      <c r="V52" s="7">
        <f>IFERROR(__xludf.DUMMYFUNCTION("""COMPUTED_VALUE"""),2.0)</f>
        <v>2</v>
      </c>
    </row>
    <row r="53">
      <c r="B53" s="7">
        <v>14.0</v>
      </c>
      <c r="C53" s="7" t="str">
        <f>IFERROR(__xludf.DUMMYFUNCTION("""COMPUTED_VALUE"""),"Mya Mehmi")</f>
        <v>Mya Mehmi</v>
      </c>
      <c r="D53" s="7"/>
      <c r="E53" s="7"/>
      <c r="F53" s="7"/>
      <c r="G53" s="7" t="str">
        <f>IFERROR(__xludf.DUMMYFUNCTION("""COMPUTED_VALUE"""),"London")</f>
        <v>London</v>
      </c>
      <c r="H53" s="7"/>
      <c r="I53" s="7" t="str">
        <f>IFERROR(__xludf.DUMMYFUNCTION("""COMPUTED_VALUE"""),"DJ / LIVE Act")</f>
        <v>DJ / LIVE Act</v>
      </c>
      <c r="J53" s="7"/>
      <c r="K53" s="7"/>
      <c r="L53" s="7"/>
      <c r="M53" s="7"/>
      <c r="N53" s="7"/>
      <c r="O53" s="7"/>
      <c r="P53" s="7"/>
      <c r="Q53" s="56">
        <f>IFERROR(__xludf.DUMMYFUNCTION("""COMPUTED_VALUE"""),45262.0)</f>
        <v>45262</v>
      </c>
      <c r="R53" s="7" t="str">
        <f>IFERROR(__xludf.DUMMYFUNCTION("""COMPUTED_VALUE"""),"Earth Hackney Dec 2023")</f>
        <v>Earth Hackney Dec 2023</v>
      </c>
      <c r="S53" s="7">
        <f>IFERROR(__xludf.DUMMYFUNCTION("""COMPUTED_VALUE"""),0.0)</f>
        <v>0</v>
      </c>
      <c r="T53" s="7">
        <f>IFERROR(__xludf.DUMMYFUNCTION("""COMPUTED_VALUE"""),1.0)</f>
        <v>1</v>
      </c>
      <c r="U53" s="7">
        <f>IFERROR(__xludf.DUMMYFUNCTION("""COMPUTED_VALUE"""),0.0)</f>
        <v>0</v>
      </c>
      <c r="V53" s="7">
        <f>IFERROR(__xludf.DUMMYFUNCTION("""COMPUTED_VALUE"""),2.0)</f>
        <v>2</v>
      </c>
    </row>
    <row r="54">
      <c r="B54" s="7">
        <v>14.0</v>
      </c>
      <c r="C54" s="7" t="str">
        <f>IFERROR(__xludf.DUMMYFUNCTION("""COMPUTED_VALUE"""),"Nadine Noor")</f>
        <v>Nadine Noor</v>
      </c>
      <c r="D54" s="7"/>
      <c r="E54" s="7"/>
      <c r="F54" s="7"/>
      <c r="G54" s="7" t="str">
        <f>IFERROR(__xludf.DUMMYFUNCTION("""COMPUTED_VALUE"""),"London")</f>
        <v>London</v>
      </c>
      <c r="H54" s="7"/>
      <c r="I54" s="7" t="str">
        <f>IFERROR(__xludf.DUMMYFUNCTION("""COMPUTED_VALUE"""),"DJ")</f>
        <v>DJ</v>
      </c>
      <c r="J54" s="7"/>
      <c r="K54" s="7"/>
      <c r="L54" s="7"/>
      <c r="M54" s="7"/>
      <c r="N54" s="7"/>
      <c r="O54" s="7"/>
      <c r="P54" s="7"/>
      <c r="Q54" s="56">
        <f>IFERROR(__xludf.DUMMYFUNCTION("""COMPUTED_VALUE"""),45262.0)</f>
        <v>45262</v>
      </c>
      <c r="R54" s="7" t="str">
        <f>IFERROR(__xludf.DUMMYFUNCTION("""COMPUTED_VALUE"""),"Earth Hackney December 2023")</f>
        <v>Earth Hackney December 2023</v>
      </c>
      <c r="S54" s="7">
        <f>IFERROR(__xludf.DUMMYFUNCTION("""COMPUTED_VALUE"""),0.0)</f>
        <v>0</v>
      </c>
      <c r="T54" s="7">
        <f>IFERROR(__xludf.DUMMYFUNCTION("""COMPUTED_VALUE"""),1.0)</f>
        <v>1</v>
      </c>
      <c r="U54" s="7">
        <f>IFERROR(__xludf.DUMMYFUNCTION("""COMPUTED_VALUE"""),0.0)</f>
        <v>0</v>
      </c>
      <c r="V54" s="7">
        <f>IFERROR(__xludf.DUMMYFUNCTION("""COMPUTED_VALUE"""),2.0)</f>
        <v>2</v>
      </c>
    </row>
    <row r="55">
      <c r="B55" s="7">
        <v>14.0</v>
      </c>
      <c r="C55" s="7" t="str">
        <f>IFERROR(__xludf.DUMMYFUNCTION("""COMPUTED_VALUE"""),"A.G.")</f>
        <v>A.G.</v>
      </c>
      <c r="D55" s="7"/>
      <c r="E55" s="7"/>
      <c r="F55" s="7"/>
      <c r="G55" s="7" t="str">
        <f>IFERROR(__xludf.DUMMYFUNCTION("""COMPUTED_VALUE"""),"London")</f>
        <v>London</v>
      </c>
      <c r="H55" s="7"/>
      <c r="I55" s="7" t="str">
        <f>IFERROR(__xludf.DUMMYFUNCTION("""COMPUTED_VALUE"""),"DJ")</f>
        <v>DJ</v>
      </c>
      <c r="J55" s="7"/>
      <c r="K55" s="7"/>
      <c r="L55" s="7"/>
      <c r="M55" s="7"/>
      <c r="N55" s="7"/>
      <c r="O55" s="7"/>
      <c r="P55" s="7"/>
      <c r="Q55" s="56">
        <f>IFERROR(__xludf.DUMMYFUNCTION("""COMPUTED_VALUE"""),45262.0)</f>
        <v>45262</v>
      </c>
      <c r="R55" s="7" t="str">
        <f>IFERROR(__xludf.DUMMYFUNCTION("""COMPUTED_VALUE"""),"Earth Hackney Dec 2023")</f>
        <v>Earth Hackney Dec 2023</v>
      </c>
      <c r="S55" s="7">
        <f>IFERROR(__xludf.DUMMYFUNCTION("""COMPUTED_VALUE"""),0.0)</f>
        <v>0</v>
      </c>
      <c r="T55" s="7">
        <f>IFERROR(__xludf.DUMMYFUNCTION("""COMPUTED_VALUE"""),1.0)</f>
        <v>1</v>
      </c>
      <c r="U55" s="7">
        <f>IFERROR(__xludf.DUMMYFUNCTION("""COMPUTED_VALUE"""),0.0)</f>
        <v>0</v>
      </c>
      <c r="V55" s="7">
        <f>IFERROR(__xludf.DUMMYFUNCTION("""COMPUTED_VALUE"""),2.0)</f>
        <v>2</v>
      </c>
    </row>
    <row r="56">
      <c r="B56" s="7">
        <v>14.0</v>
      </c>
      <c r="C56" s="7" t="str">
        <f>IFERROR(__xludf.DUMMYFUNCTION("""COMPUTED_VALUE"""),"Basmati")</f>
        <v>Basmati</v>
      </c>
      <c r="D56" s="7"/>
      <c r="E56" s="7"/>
      <c r="F56" s="7"/>
      <c r="G56" s="7" t="str">
        <f>IFERROR(__xludf.DUMMYFUNCTION("""COMPUTED_VALUE"""),"London")</f>
        <v>London</v>
      </c>
      <c r="H56" s="7"/>
      <c r="I56" s="7" t="str">
        <f>IFERROR(__xludf.DUMMYFUNCTION("""COMPUTED_VALUE"""),"DJ")</f>
        <v>DJ</v>
      </c>
      <c r="J56" s="7"/>
      <c r="K56" s="7"/>
      <c r="L56" s="7"/>
      <c r="M56" s="7"/>
      <c r="N56" s="7"/>
      <c r="O56" s="7"/>
      <c r="P56" s="7"/>
      <c r="Q56" s="56">
        <f>IFERROR(__xludf.DUMMYFUNCTION("""COMPUTED_VALUE"""),45262.0)</f>
        <v>45262</v>
      </c>
      <c r="R56" s="7" t="str">
        <f>IFERROR(__xludf.DUMMYFUNCTION("""COMPUTED_VALUE"""),"Earth Hackney Dec 2023")</f>
        <v>Earth Hackney Dec 2023</v>
      </c>
      <c r="S56" s="7">
        <f>IFERROR(__xludf.DUMMYFUNCTION("""COMPUTED_VALUE"""),0.0)</f>
        <v>0</v>
      </c>
      <c r="T56" s="7">
        <f>IFERROR(__xludf.DUMMYFUNCTION("""COMPUTED_VALUE"""),1.0)</f>
        <v>1</v>
      </c>
      <c r="U56" s="7">
        <f>IFERROR(__xludf.DUMMYFUNCTION("""COMPUTED_VALUE"""),0.0)</f>
        <v>0</v>
      </c>
      <c r="V56" s="7">
        <f>IFERROR(__xludf.DUMMYFUNCTION("""COMPUTED_VALUE"""),2.0)</f>
        <v>2</v>
      </c>
    </row>
    <row r="58">
      <c r="Q58" s="60"/>
    </row>
    <row r="59">
      <c r="A59" s="47" t="s">
        <v>118</v>
      </c>
      <c r="B59" s="48" t="s">
        <v>80</v>
      </c>
      <c r="C59" s="48">
        <v>25.0</v>
      </c>
      <c r="Q59" s="48" t="s">
        <v>119</v>
      </c>
      <c r="R59" s="4">
        <v>12.0</v>
      </c>
    </row>
    <row r="60">
      <c r="B60" s="49" t="s">
        <v>81</v>
      </c>
      <c r="C60" s="50" t="s">
        <v>2</v>
      </c>
      <c r="D60" s="51" t="s">
        <v>4</v>
      </c>
      <c r="E60" s="52" t="s">
        <v>5</v>
      </c>
      <c r="F60" s="52" t="s">
        <v>6</v>
      </c>
      <c r="G60" s="52" t="s">
        <v>7</v>
      </c>
      <c r="H60" s="52" t="s">
        <v>8</v>
      </c>
      <c r="I60" s="52" t="s">
        <v>9</v>
      </c>
      <c r="J60" s="52" t="s">
        <v>10</v>
      </c>
      <c r="K60" s="52" t="s">
        <v>12</v>
      </c>
      <c r="L60" s="52" t="s">
        <v>13</v>
      </c>
      <c r="M60" s="53" t="s">
        <v>15</v>
      </c>
      <c r="N60" s="53" t="s">
        <v>16</v>
      </c>
      <c r="O60" s="53" t="s">
        <v>17</v>
      </c>
      <c r="P60" s="53" t="s">
        <v>18</v>
      </c>
      <c r="Q60" s="54" t="s">
        <v>19</v>
      </c>
      <c r="R60" s="53" t="s">
        <v>22</v>
      </c>
      <c r="S60" s="53" t="s">
        <v>23</v>
      </c>
      <c r="T60" s="53" t="s">
        <v>24</v>
      </c>
      <c r="U60" s="53" t="s">
        <v>25</v>
      </c>
      <c r="V60" s="55" t="s">
        <v>26</v>
      </c>
    </row>
    <row r="61">
      <c r="B61" s="7">
        <f t="array" ref="B61:B85">iferror(rank(V61:V85, V61:V85, False), "")</f>
        <v>1</v>
      </c>
      <c r="C61" s="7" t="str">
        <f>IFERROR(__xludf.DUMMYFUNCTION("SORTN(RI_TF!B2:U1000, C59, false, RI_TF!U2:U1000, false)"),"Khadura (fka Rizmi)")</f>
        <v>Khadura (fka Rizmi)</v>
      </c>
      <c r="D61" s="7" t="str">
        <f>IFERROR(__xludf.DUMMYFUNCTION("""COMPUTED_VALUE"""),"Zoya")</f>
        <v>Zoya</v>
      </c>
      <c r="E61" s="7"/>
      <c r="F61" s="7"/>
      <c r="G61" s="7" t="str">
        <f>IFERROR(__xludf.DUMMYFUNCTION("""COMPUTED_VALUE"""),"Birmingham")</f>
        <v>Birmingham</v>
      </c>
      <c r="H61" s="7"/>
      <c r="I61" s="7" t="str">
        <f>IFERROR(__xludf.DUMMYFUNCTION("""COMPUTED_VALUE"""),"DJ")</f>
        <v>DJ</v>
      </c>
      <c r="J61" s="7"/>
      <c r="K61" s="7" t="str">
        <f>IFERROR(__xludf.DUMMYFUNCTION("""COMPUTED_VALUE"""),"zoya.ahmed@live.co.uk")</f>
        <v>zoya.ahmed@live.co.uk</v>
      </c>
      <c r="L61" s="57" t="str">
        <f>IFERROR(__xludf.DUMMYFUNCTION("""COMPUTED_VALUE"""),"https://www.instagram.com/khadura.sound?igsh=NGtmYXowbWYwZHp3")</f>
        <v>https://www.instagram.com/khadura.sound?igsh=NGtmYXowbWYwZHp3</v>
      </c>
      <c r="M61" s="57" t="str">
        <f>IFERROR(__xludf.DUMMYFUNCTION("""COMPUTED_VALUE"""),"https://soundcloud.com/khadura?utm_source=mobi&amp;utm_campaign=social_sharing")</f>
        <v>https://soundcloud.com/khadura?utm_source=mobi&amp;utm_campaign=social_sharing</v>
      </c>
      <c r="N61" s="7"/>
      <c r="O61" s="7"/>
      <c r="P61" s="7"/>
      <c r="Q61" s="56">
        <f>IFERROR(__xludf.DUMMYFUNCTION("""COMPUTED_VALUE"""),46107.0)</f>
        <v>46107</v>
      </c>
      <c r="R61" s="7" t="str">
        <f>IFERROR(__xludf.DUMMYFUNCTION("""COMPUTED_VALUE"""),"BFI At Yours: Mogul Mowgli")</f>
        <v>BFI At Yours: Mogul Mowgli</v>
      </c>
      <c r="S61" s="7">
        <f>IFERROR(__xludf.DUMMYFUNCTION("""COMPUTED_VALUE"""),1.0)</f>
        <v>1</v>
      </c>
      <c r="T61" s="7">
        <f>IFERROR(__xludf.DUMMYFUNCTION("""COMPUTED_VALUE"""),0.0)</f>
        <v>0</v>
      </c>
      <c r="U61" s="7">
        <f>IFERROR(__xludf.DUMMYFUNCTION("""COMPUTED_VALUE"""),0.0)</f>
        <v>0</v>
      </c>
      <c r="V61" s="7">
        <f>IFERROR(__xludf.DUMMYFUNCTION("""COMPUTED_VALUE"""),1.0)</f>
        <v>1</v>
      </c>
    </row>
    <row r="62">
      <c r="B62" s="7">
        <v>2.0</v>
      </c>
      <c r="C62" s="7" t="str">
        <f>IFERROR(__xludf.DUMMYFUNCTION("""COMPUTED_VALUE"""),"Zar")</f>
        <v>Zar</v>
      </c>
      <c r="D62" s="7" t="str">
        <f>IFERROR(__xludf.DUMMYFUNCTION("""COMPUTED_VALUE"""),"Arun Dhanjal")</f>
        <v>Arun Dhanjal</v>
      </c>
      <c r="E62" s="7" t="str">
        <f>IFERROR(__xludf.DUMMYFUNCTION("""COMPUTED_VALUE"""),"he/him")</f>
        <v>he/him</v>
      </c>
      <c r="F62" s="7"/>
      <c r="G62" s="7" t="str">
        <f>IFERROR(__xludf.DUMMYFUNCTION("""COMPUTED_VALUE"""),"London")</f>
        <v>London</v>
      </c>
      <c r="H62" s="7"/>
      <c r="I62" s="7" t="str">
        <f>IFERROR(__xludf.DUMMYFUNCTION("""COMPUTED_VALUE"""),"DJ, Live Act")</f>
        <v>DJ, Live Act</v>
      </c>
      <c r="J62" s="7" t="str">
        <f>IFERROR(__xludf.DUMMYFUNCTION("""COMPUTED_VALUE"""),"Multi genre")</f>
        <v>Multi genre</v>
      </c>
      <c r="K62" s="7" t="str">
        <f>IFERROR(__xludf.DUMMYFUNCTION("""COMPUTED_VALUE"""),"adjzar@gmail.com")</f>
        <v>adjzar@gmail.com</v>
      </c>
      <c r="L62" s="57" t="str">
        <f>IFERROR(__xludf.DUMMYFUNCTION("""COMPUTED_VALUE"""),"https://linktr.ee/ajdzar")</f>
        <v>https://linktr.ee/ajdzar</v>
      </c>
      <c r="M62" s="7"/>
      <c r="N62" s="7"/>
      <c r="O62" s="7"/>
      <c r="P62" s="57" t="str">
        <f>IFERROR(__xludf.DUMMYFUNCTION("""COMPUTED_VALUE"""),"https://www.mixcloud.com/NoBoundariesLDN_/zar-no-boundaries-guest-mix-001/")</f>
        <v>https://www.mixcloud.com/NoBoundariesLDN_/zar-no-boundaries-guest-mix-001/</v>
      </c>
      <c r="Q62" s="56">
        <f>IFERROR(__xludf.DUMMYFUNCTION("""COMPUTED_VALUE"""),0.0)</f>
        <v>0</v>
      </c>
      <c r="R62" s="7" t="str">
        <f>IFERROR(__xludf.DUMMYFUNCTION("""COMPUTED_VALUE"""),"#N/A")</f>
        <v>#N/A</v>
      </c>
      <c r="S62" s="7">
        <f>IFERROR(__xludf.DUMMYFUNCTION("""COMPUTED_VALUE"""),0.0)</f>
        <v>0</v>
      </c>
      <c r="T62" s="7">
        <f>IFERROR(__xludf.DUMMYFUNCTION("""COMPUTED_VALUE"""),0.0)</f>
        <v>0</v>
      </c>
      <c r="U62" s="7">
        <f>IFERROR(__xludf.DUMMYFUNCTION("""COMPUTED_VALUE"""),0.0)</f>
        <v>0</v>
      </c>
      <c r="V62" s="7">
        <f>IFERROR(__xludf.DUMMYFUNCTION("""COMPUTED_VALUE"""),0.0)</f>
        <v>0</v>
      </c>
    </row>
    <row r="63">
      <c r="B63" s="7">
        <v>2.0</v>
      </c>
      <c r="C63" s="7" t="str">
        <f>IFERROR(__xludf.DUMMYFUNCTION("""COMPUTED_VALUE"""),"Saadaan")</f>
        <v>Saadaan</v>
      </c>
      <c r="D63" s="7" t="str">
        <f>IFERROR(__xludf.DUMMYFUNCTION("""COMPUTED_VALUE"""),"Saadaan Afghan")</f>
        <v>Saadaan Afghan</v>
      </c>
      <c r="E63" s="7" t="str">
        <f>IFERROR(__xludf.DUMMYFUNCTION("""COMPUTED_VALUE"""),"He/Him")</f>
        <v>He/Him</v>
      </c>
      <c r="F63" s="7"/>
      <c r="G63" s="7" t="str">
        <f>IFERROR(__xludf.DUMMYFUNCTION("""COMPUTED_VALUE"""),"London, Coventry")</f>
        <v>London, Coventry</v>
      </c>
      <c r="H63" s="7"/>
      <c r="I63" s="7" t="str">
        <f>IFERROR(__xludf.DUMMYFUNCTION("""COMPUTED_VALUE"""),"DJ")</f>
        <v>DJ</v>
      </c>
      <c r="J63" s="7" t="str">
        <f>IFERROR(__xludf.DUMMYFUNCTION("""COMPUTED_VALUE"""),"140, Dubstep, Left Field Bass, 2-step/ukg, Hip Hop, Techno, Electro (sometimes House)")</f>
        <v>140, Dubstep, Left Field Bass, 2-step/ukg, Hip Hop, Techno, Electro (sometimes House)</v>
      </c>
      <c r="K63" s="7" t="str">
        <f>IFERROR(__xludf.DUMMYFUNCTION("""COMPUTED_VALUE"""),"saadko@outlook.com")</f>
        <v>saadko@outlook.com</v>
      </c>
      <c r="L63" s="57" t="str">
        <f>IFERROR(__xludf.DUMMYFUNCTION("""COMPUTED_VALUE"""),"https://www.instagram.com/saadaan__________/")</f>
        <v>https://www.instagram.com/saadaan__________/</v>
      </c>
      <c r="M63" s="7"/>
      <c r="N63" s="7"/>
      <c r="O63" s="7"/>
      <c r="P63" s="7" t="str">
        <f>IFERROR(__xludf.DUMMYFUNCTION("""COMPUTED_VALUE"""),"""saadaan.bandcamp.com 
waveplate.systems""")</f>
        <v>"saadaan.bandcamp.com 
waveplate.systems"</v>
      </c>
      <c r="Q63" s="56">
        <f>IFERROR(__xludf.DUMMYFUNCTION("""COMPUTED_VALUE"""),0.0)</f>
        <v>0</v>
      </c>
      <c r="R63" s="7" t="str">
        <f>IFERROR(__xludf.DUMMYFUNCTION("""COMPUTED_VALUE"""),"#N/A")</f>
        <v>#N/A</v>
      </c>
      <c r="S63" s="7">
        <f>IFERROR(__xludf.DUMMYFUNCTION("""COMPUTED_VALUE"""),0.0)</f>
        <v>0</v>
      </c>
      <c r="T63" s="7">
        <f>IFERROR(__xludf.DUMMYFUNCTION("""COMPUTED_VALUE"""),0.0)</f>
        <v>0</v>
      </c>
      <c r="U63" s="7">
        <f>IFERROR(__xludf.DUMMYFUNCTION("""COMPUTED_VALUE"""),0.0)</f>
        <v>0</v>
      </c>
      <c r="V63" s="7">
        <f>IFERROR(__xludf.DUMMYFUNCTION("""COMPUTED_VALUE"""),0.0)</f>
        <v>0</v>
      </c>
    </row>
    <row r="64">
      <c r="B64" s="7">
        <v>2.0</v>
      </c>
      <c r="C64" s="7" t="str">
        <f>IFERROR(__xludf.DUMMYFUNCTION("""COMPUTED_VALUE"""),"Michael Diamond")</f>
        <v>Michael Diamond</v>
      </c>
      <c r="D64" s="7" t="str">
        <f>IFERROR(__xludf.DUMMYFUNCTION("""COMPUTED_VALUE"""),"Michael Diamond")</f>
        <v>Michael Diamond</v>
      </c>
      <c r="E64" s="7"/>
      <c r="F64" s="7"/>
      <c r="G64" s="7" t="str">
        <f>IFERROR(__xludf.DUMMYFUNCTION("""COMPUTED_VALUE"""),"London, Oxford")</f>
        <v>London, Oxford</v>
      </c>
      <c r="H64" s="7"/>
      <c r="I64" s="7" t="str">
        <f>IFERROR(__xludf.DUMMYFUNCTION("""COMPUTED_VALUE"""),"DJ, Live Act")</f>
        <v>DJ, Live Act</v>
      </c>
      <c r="J64" s="7" t="str">
        <f>IFERROR(__xludf.DUMMYFUNCTION("""COMPUTED_VALUE"""),"Electronic, Jazz")</f>
        <v>Electronic, Jazz</v>
      </c>
      <c r="K64" s="7" t="str">
        <f>IFERROR(__xludf.DUMMYFUNCTION("""COMPUTED_VALUE"""),"diamond.sounduk@gmail.com")</f>
        <v>diamond.sounduk@gmail.com</v>
      </c>
      <c r="L64" s="57" t="str">
        <f>IFERROR(__xludf.DUMMYFUNCTION("""COMPUTED_VALUE"""),"https://www.instagram.com/diamond.sound/")</f>
        <v>https://www.instagram.com/diamond.sound/</v>
      </c>
      <c r="M64" s="57" t="str">
        <f>IFERROR(__xludf.DUMMYFUNCTION("""COMPUTED_VALUE"""),"https://soundcloud.com/michaeldiamonduk")</f>
        <v>https://soundcloud.com/michaeldiamonduk</v>
      </c>
      <c r="N64" s="7"/>
      <c r="O64" s="7"/>
      <c r="P64" s="57" t="str">
        <f>IFERROR(__xludf.DUMMYFUNCTION("""COMPUTED_VALUE"""),"https://linktr.ee/diamond.sound")</f>
        <v>https://linktr.ee/diamond.sound</v>
      </c>
      <c r="Q64" s="56">
        <f>IFERROR(__xludf.DUMMYFUNCTION("""COMPUTED_VALUE"""),0.0)</f>
        <v>0</v>
      </c>
      <c r="R64" s="7" t="str">
        <f>IFERROR(__xludf.DUMMYFUNCTION("""COMPUTED_VALUE"""),"#N/A")</f>
        <v>#N/A</v>
      </c>
      <c r="S64" s="7">
        <f>IFERROR(__xludf.DUMMYFUNCTION("""COMPUTED_VALUE"""),0.0)</f>
        <v>0</v>
      </c>
      <c r="T64" s="7">
        <f>IFERROR(__xludf.DUMMYFUNCTION("""COMPUTED_VALUE"""),0.0)</f>
        <v>0</v>
      </c>
      <c r="U64" s="7">
        <f>IFERROR(__xludf.DUMMYFUNCTION("""COMPUTED_VALUE"""),0.0)</f>
        <v>0</v>
      </c>
      <c r="V64" s="7">
        <f>IFERROR(__xludf.DUMMYFUNCTION("""COMPUTED_VALUE"""),0.0)</f>
        <v>0</v>
      </c>
    </row>
    <row r="65">
      <c r="B65" s="7">
        <v>2.0</v>
      </c>
      <c r="C65" s="7" t="str">
        <f>IFERROR(__xludf.DUMMYFUNCTION("""COMPUTED_VALUE"""),"Sita Shah")</f>
        <v>Sita Shah</v>
      </c>
      <c r="D65" s="7" t="str">
        <f>IFERROR(__xludf.DUMMYFUNCTION("""COMPUTED_VALUE"""),"Sita Shah")</f>
        <v>Sita Shah</v>
      </c>
      <c r="E65" s="7"/>
      <c r="F65" s="7"/>
      <c r="G65" s="7" t="str">
        <f>IFERROR(__xludf.DUMMYFUNCTION("""COMPUTED_VALUE"""),"London")</f>
        <v>London</v>
      </c>
      <c r="H65" s="7"/>
      <c r="I65" s="7" t="str">
        <f>IFERROR(__xludf.DUMMYFUNCTION("""COMPUTED_VALUE"""),"DJ")</f>
        <v>DJ</v>
      </c>
      <c r="J65" s="7" t="str">
        <f>IFERROR(__xludf.DUMMYFUNCTION("""COMPUTED_VALUE"""),"Techno, Hardcore, Breaks, Desi, Bootlegs")</f>
        <v>Techno, Hardcore, Breaks, Desi, Bootlegs</v>
      </c>
      <c r="K65" s="7" t="str">
        <f>IFERROR(__xludf.DUMMYFUNCTION("""COMPUTED_VALUE"""),"sitashahsworld@gmail.com")</f>
        <v>sitashahsworld@gmail.com</v>
      </c>
      <c r="L65" s="57" t="str">
        <f>IFERROR(__xludf.DUMMYFUNCTION("""COMPUTED_VALUE"""),"https://www.instagram.com/shahmbles/")</f>
        <v>https://www.instagram.com/shahmbles/</v>
      </c>
      <c r="M65" s="57" t="str">
        <f>IFERROR(__xludf.DUMMYFUNCTION("""COMPUTED_VALUE"""),"soundcloud.com/sitashahdj")</f>
        <v>soundcloud.com/sitashahdj</v>
      </c>
      <c r="N65" s="7"/>
      <c r="O65" s="7"/>
      <c r="P65" s="57" t="str">
        <f>IFERROR(__xludf.DUMMYFUNCTION("""COMPUTED_VALUE"""),"https://linktr.ee/Sitashah")</f>
        <v>https://linktr.ee/Sitashah</v>
      </c>
      <c r="Q65" s="56">
        <f>IFERROR(__xludf.DUMMYFUNCTION("""COMPUTED_VALUE"""),0.0)</f>
        <v>0</v>
      </c>
      <c r="R65" s="7" t="str">
        <f>IFERROR(__xludf.DUMMYFUNCTION("""COMPUTED_VALUE"""),"#N/A")</f>
        <v>#N/A</v>
      </c>
      <c r="S65" s="7">
        <f>IFERROR(__xludf.DUMMYFUNCTION("""COMPUTED_VALUE"""),0.0)</f>
        <v>0</v>
      </c>
      <c r="T65" s="7">
        <f>IFERROR(__xludf.DUMMYFUNCTION("""COMPUTED_VALUE"""),0.0)</f>
        <v>0</v>
      </c>
      <c r="U65" s="7">
        <f>IFERROR(__xludf.DUMMYFUNCTION("""COMPUTED_VALUE"""),0.0)</f>
        <v>0</v>
      </c>
      <c r="V65" s="7">
        <f>IFERROR(__xludf.DUMMYFUNCTION("""COMPUTED_VALUE"""),0.0)</f>
        <v>0</v>
      </c>
    </row>
    <row r="66">
      <c r="B66" s="7">
        <v>2.0</v>
      </c>
      <c r="C66" s="7" t="str">
        <f>IFERROR(__xludf.DUMMYFUNCTION("""COMPUTED_VALUE"""),"Rainmann")</f>
        <v>Rainmann</v>
      </c>
      <c r="D66" s="7" t="str">
        <f>IFERROR(__xludf.DUMMYFUNCTION("""COMPUTED_VALUE"""),"Ral Daryanani")</f>
        <v>Ral Daryanani</v>
      </c>
      <c r="E66" s="7"/>
      <c r="F66" s="7"/>
      <c r="G66" s="7" t="str">
        <f>IFERROR(__xludf.DUMMYFUNCTION("""COMPUTED_VALUE"""),"London")</f>
        <v>London</v>
      </c>
      <c r="H66" s="7"/>
      <c r="I66" s="7" t="str">
        <f>IFERROR(__xludf.DUMMYFUNCTION("""COMPUTED_VALUE"""),"DJ, Live Act")</f>
        <v>DJ, Live Act</v>
      </c>
      <c r="J66" s="7" t="str">
        <f>IFERROR(__xludf.DUMMYFUNCTION("""COMPUTED_VALUE"""),"Tech House, Rap, Hip Hop, Deep House, House")</f>
        <v>Tech House, Rap, Hip Hop, Deep House, House</v>
      </c>
      <c r="K66" s="7" t="str">
        <f>IFERROR(__xludf.DUMMYFUNCTION("""COMPUTED_VALUE"""),"rainmann@tuta.io")</f>
        <v>rainmann@tuta.io</v>
      </c>
      <c r="L66" s="7"/>
      <c r="M66" s="57" t="str">
        <f>IFERROR(__xludf.DUMMYFUNCTION("""COMPUTED_VALUE"""),"https://soundcloud.com/rainm4nn")</f>
        <v>https://soundcloud.com/rainm4nn</v>
      </c>
      <c r="N66" s="7"/>
      <c r="O66" s="7"/>
      <c r="P66" s="57" t="str">
        <f>IFERROR(__xludf.DUMMYFUNCTION("""COMPUTED_VALUE"""),"https://linktr.ee/rainmann")</f>
        <v>https://linktr.ee/rainmann</v>
      </c>
      <c r="Q66" s="56">
        <f>IFERROR(__xludf.DUMMYFUNCTION("""COMPUTED_VALUE"""),0.0)</f>
        <v>0</v>
      </c>
      <c r="R66" s="7" t="str">
        <f>IFERROR(__xludf.DUMMYFUNCTION("""COMPUTED_VALUE"""),"#N/A")</f>
        <v>#N/A</v>
      </c>
      <c r="S66" s="7">
        <f>IFERROR(__xludf.DUMMYFUNCTION("""COMPUTED_VALUE"""),0.0)</f>
        <v>0</v>
      </c>
      <c r="T66" s="7">
        <f>IFERROR(__xludf.DUMMYFUNCTION("""COMPUTED_VALUE"""),0.0)</f>
        <v>0</v>
      </c>
      <c r="U66" s="7">
        <f>IFERROR(__xludf.DUMMYFUNCTION("""COMPUTED_VALUE"""),0.0)</f>
        <v>0</v>
      </c>
      <c r="V66" s="7">
        <f>IFERROR(__xludf.DUMMYFUNCTION("""COMPUTED_VALUE"""),0.0)</f>
        <v>0</v>
      </c>
    </row>
    <row r="67">
      <c r="B67" s="7">
        <v>2.0</v>
      </c>
      <c r="C67" s="7" t="str">
        <f>IFERROR(__xludf.DUMMYFUNCTION("""COMPUTED_VALUE"""),"Somatic")</f>
        <v>Somatic</v>
      </c>
      <c r="D67" s="7" t="str">
        <f>IFERROR(__xludf.DUMMYFUNCTION("""COMPUTED_VALUE"""),"Somin Griffin-Dave")</f>
        <v>Somin Griffin-Dave</v>
      </c>
      <c r="E67" s="7"/>
      <c r="F67" s="7"/>
      <c r="G67" s="7" t="str">
        <f>IFERROR(__xludf.DUMMYFUNCTION("""COMPUTED_VALUE"""),"Bristol")</f>
        <v>Bristol</v>
      </c>
      <c r="H67" s="7"/>
      <c r="I67" s="7" t="str">
        <f>IFERROR(__xludf.DUMMYFUNCTION("""COMPUTED_VALUE"""),"DJ")</f>
        <v>DJ</v>
      </c>
      <c r="J67" s="7" t="str">
        <f>IFERROR(__xludf.DUMMYFUNCTION("""COMPUTED_VALUE"""),"DnB, Jungle, Breakbeat, Garage, IDM, Experimental, Various other 4x4 genres, (Classic) Afrobeat, a touch of bossa and various other things")</f>
        <v>DnB, Jungle, Breakbeat, Garage, IDM, Experimental, Various other 4x4 genres, (Classic) Afrobeat, a touch of bossa and various other things</v>
      </c>
      <c r="K67" s="7" t="str">
        <f>IFERROR(__xludf.DUMMYFUNCTION("""COMPUTED_VALUE"""),"somin.somatic@gmail.com")</f>
        <v>somin.somatic@gmail.com</v>
      </c>
      <c r="L67" s="57" t="str">
        <f>IFERROR(__xludf.DUMMYFUNCTION("""COMPUTED_VALUE"""),"https://www.instagram.com/somin.somatic/")</f>
        <v>https://www.instagram.com/somin.somatic/</v>
      </c>
      <c r="M67" s="57" t="str">
        <f>IFERROR(__xludf.DUMMYFUNCTION("""COMPUTED_VALUE"""),"https://soundcloud.com/somingriffin-dave")</f>
        <v>https://soundcloud.com/somingriffin-dave</v>
      </c>
      <c r="N67" s="7"/>
      <c r="O67" s="7"/>
      <c r="P67" s="57" t="str">
        <f>IFERROR(__xludf.DUMMYFUNCTION("""COMPUTED_VALUE"""),"https://linktr.ee/somin_somatic")</f>
        <v>https://linktr.ee/somin_somatic</v>
      </c>
      <c r="Q67" s="56">
        <f>IFERROR(__xludf.DUMMYFUNCTION("""COMPUTED_VALUE"""),0.0)</f>
        <v>0</v>
      </c>
      <c r="R67" s="7" t="str">
        <f>IFERROR(__xludf.DUMMYFUNCTION("""COMPUTED_VALUE"""),"#N/A")</f>
        <v>#N/A</v>
      </c>
      <c r="S67" s="7">
        <f>IFERROR(__xludf.DUMMYFUNCTION("""COMPUTED_VALUE"""),0.0)</f>
        <v>0</v>
      </c>
      <c r="T67" s="7">
        <f>IFERROR(__xludf.DUMMYFUNCTION("""COMPUTED_VALUE"""),0.0)</f>
        <v>0</v>
      </c>
      <c r="U67" s="7">
        <f>IFERROR(__xludf.DUMMYFUNCTION("""COMPUTED_VALUE"""),0.0)</f>
        <v>0</v>
      </c>
      <c r="V67" s="7">
        <f>IFERROR(__xludf.DUMMYFUNCTION("""COMPUTED_VALUE"""),0.0)</f>
        <v>0</v>
      </c>
    </row>
    <row r="68">
      <c r="B68" s="7">
        <v>2.0</v>
      </c>
      <c r="C68" s="7" t="str">
        <f>IFERROR(__xludf.DUMMYFUNCTION("""COMPUTED_VALUE"""),"Freshta")</f>
        <v>Freshta</v>
      </c>
      <c r="D68" s="7" t="str">
        <f>IFERROR(__xludf.DUMMYFUNCTION("""COMPUTED_VALUE"""),"Freshta Ebrahim")</f>
        <v>Freshta Ebrahim</v>
      </c>
      <c r="E68" s="7"/>
      <c r="F68" s="7"/>
      <c r="G68" s="7" t="str">
        <f>IFERROR(__xludf.DUMMYFUNCTION("""COMPUTED_VALUE"""),"London")</f>
        <v>London</v>
      </c>
      <c r="H68" s="7"/>
      <c r="I68" s="7" t="str">
        <f>IFERROR(__xludf.DUMMYFUNCTION("""COMPUTED_VALUE"""),"DJ")</f>
        <v>DJ</v>
      </c>
      <c r="J68" s="7" t="str">
        <f>IFERROR(__xludf.DUMMYFUNCTION("""COMPUTED_VALUE"""),"Grime, Dubstep, Leftfield Bass, Breaks, Hard Drum")</f>
        <v>Grime, Dubstep, Leftfield Bass, Breaks, Hard Drum</v>
      </c>
      <c r="K68" s="7" t="str">
        <f>IFERROR(__xludf.DUMMYFUNCTION("""COMPUTED_VALUE"""),"freshtainfo@gmail.com")</f>
        <v>freshtainfo@gmail.com</v>
      </c>
      <c r="L68" s="57" t="str">
        <f>IFERROR(__xludf.DUMMYFUNCTION("""COMPUTED_VALUE"""),"https://www.instagram.com/_freshta/")</f>
        <v>https://www.instagram.com/_freshta/</v>
      </c>
      <c r="M68" s="57" t="str">
        <f>IFERROR(__xludf.DUMMYFUNCTION("""COMPUTED_VALUE"""),"https://soundcloud.com/freshtadj")</f>
        <v>https://soundcloud.com/freshtadj</v>
      </c>
      <c r="N68" s="7"/>
      <c r="O68" s="7"/>
      <c r="P68" s="57" t="str">
        <f>IFERROR(__xludf.DUMMYFUNCTION("""COMPUTED_VALUE"""),"http://linktr.ee/_freshta")</f>
        <v>http://linktr.ee/_freshta</v>
      </c>
      <c r="Q68" s="56">
        <f>IFERROR(__xludf.DUMMYFUNCTION("""COMPUTED_VALUE"""),0.0)</f>
        <v>0</v>
      </c>
      <c r="R68" s="7" t="str">
        <f>IFERROR(__xludf.DUMMYFUNCTION("""COMPUTED_VALUE"""),"#N/A")</f>
        <v>#N/A</v>
      </c>
      <c r="S68" s="7">
        <f>IFERROR(__xludf.DUMMYFUNCTION("""COMPUTED_VALUE"""),0.0)</f>
        <v>0</v>
      </c>
      <c r="T68" s="7">
        <f>IFERROR(__xludf.DUMMYFUNCTION("""COMPUTED_VALUE"""),0.0)</f>
        <v>0</v>
      </c>
      <c r="U68" s="7">
        <f>IFERROR(__xludf.DUMMYFUNCTION("""COMPUTED_VALUE"""),0.0)</f>
        <v>0</v>
      </c>
      <c r="V68" s="7">
        <f>IFERROR(__xludf.DUMMYFUNCTION("""COMPUTED_VALUE"""),0.0)</f>
        <v>0</v>
      </c>
    </row>
    <row r="69">
      <c r="B69" s="7">
        <v>2.0</v>
      </c>
      <c r="C69" s="7" t="str">
        <f>IFERROR(__xludf.DUMMYFUNCTION("""COMPUTED_VALUE"""),"GoldTooth")</f>
        <v>GoldTooth</v>
      </c>
      <c r="D69" s="7" t="str">
        <f>IFERROR(__xludf.DUMMYFUNCTION("""COMPUTED_VALUE"""),"Jaedan Gowthaman")</f>
        <v>Jaedan Gowthaman</v>
      </c>
      <c r="E69" s="7"/>
      <c r="F69" s="7"/>
      <c r="G69" s="7" t="str">
        <f>IFERROR(__xludf.DUMMYFUNCTION("""COMPUTED_VALUE"""),"London")</f>
        <v>London</v>
      </c>
      <c r="H69" s="7"/>
      <c r="I69" s="7" t="str">
        <f>IFERROR(__xludf.DUMMYFUNCTION("""COMPUTED_VALUE"""),"DJ")</f>
        <v>DJ</v>
      </c>
      <c r="J69" s="7" t="str">
        <f>IFERROR(__xludf.DUMMYFUNCTION("""COMPUTED_VALUE"""),"""Grime, Dubstep, UK Funky, Garage, Drill, SA House, afrohouse, kuduro. Also specialise in vinyl sets.")</f>
        <v>"Grime, Dubstep, UK Funky, Garage, Drill, SA House, afrohouse, kuduro. Also specialise in vinyl sets.</v>
      </c>
      <c r="K69" s="7" t="str">
        <f>IFERROR(__xludf.DUMMYFUNCTION("""COMPUTED_VALUE"""),"dj@goldtooth.uk")</f>
        <v>dj@goldtooth.uk</v>
      </c>
      <c r="L69" s="57" t="str">
        <f>IFERROR(__xludf.DUMMYFUNCTION("""COMPUTED_VALUE"""),"https://www.instagram.com/_goldtooth_/")</f>
        <v>https://www.instagram.com/_goldtooth_/</v>
      </c>
      <c r="M69" s="57" t="str">
        <f>IFERROR(__xludf.DUMMYFUNCTION("""COMPUTED_VALUE"""),"http://soundcloud.com/goldtooth_dj")</f>
        <v>http://soundcloud.com/goldtooth_dj</v>
      </c>
      <c r="N69" s="7"/>
      <c r="O69" s="7"/>
      <c r="P69" s="57" t="str">
        <f>IFERROR(__xludf.DUMMYFUNCTION("""COMPUTED_VALUE"""),"https://linktr.ee/DJGoldTooth")</f>
        <v>https://linktr.ee/DJGoldTooth</v>
      </c>
      <c r="Q69" s="56">
        <f>IFERROR(__xludf.DUMMYFUNCTION("""COMPUTED_VALUE"""),0.0)</f>
        <v>0</v>
      </c>
      <c r="R69" s="7" t="str">
        <f>IFERROR(__xludf.DUMMYFUNCTION("""COMPUTED_VALUE"""),"#N/A")</f>
        <v>#N/A</v>
      </c>
      <c r="S69" s="7">
        <f>IFERROR(__xludf.DUMMYFUNCTION("""COMPUTED_VALUE"""),0.0)</f>
        <v>0</v>
      </c>
      <c r="T69" s="7">
        <f>IFERROR(__xludf.DUMMYFUNCTION("""COMPUTED_VALUE"""),0.0)</f>
        <v>0</v>
      </c>
      <c r="U69" s="7">
        <f>IFERROR(__xludf.DUMMYFUNCTION("""COMPUTED_VALUE"""),0.0)</f>
        <v>0</v>
      </c>
      <c r="V69" s="7">
        <f>IFERROR(__xludf.DUMMYFUNCTION("""COMPUTED_VALUE"""),0.0)</f>
        <v>0</v>
      </c>
    </row>
    <row r="70">
      <c r="B70" s="7">
        <v>2.0</v>
      </c>
      <c r="C70" s="7" t="str">
        <f>IFERROR(__xludf.DUMMYFUNCTION("""COMPUTED_VALUE"""),"Temujin")</f>
        <v>Temujin</v>
      </c>
      <c r="D70" s="7" t="str">
        <f>IFERROR(__xludf.DUMMYFUNCTION("""COMPUTED_VALUE"""),"Roop")</f>
        <v>Roop</v>
      </c>
      <c r="E70" s="7"/>
      <c r="F70" s="7"/>
      <c r="G70" s="7" t="str">
        <f>IFERROR(__xludf.DUMMYFUNCTION("""COMPUTED_VALUE"""),"London")</f>
        <v>London</v>
      </c>
      <c r="H70" s="7"/>
      <c r="I70" s="7" t="str">
        <f>IFERROR(__xludf.DUMMYFUNCTION("""COMPUTED_VALUE"""),"DJ")</f>
        <v>DJ</v>
      </c>
      <c r="J70" s="7" t="str">
        <f>IFERROR(__xludf.DUMMYFUNCTION("""COMPUTED_VALUE"""),"UK underground dance - Bass, Techno, Breaks, Garage, Jungle, Dubstep, Grime (heavy on the percs and dub)")</f>
        <v>UK underground dance - Bass, Techno, Breaks, Garage, Jungle, Dubstep, Grime (heavy on the percs and dub)</v>
      </c>
      <c r="K70" s="7" t="str">
        <f>IFERROR(__xludf.DUMMYFUNCTION("""COMPUTED_VALUE"""),"temujin.ldn@gmail.com ")</f>
        <v>temujin.ldn@gmail.com </v>
      </c>
      <c r="L70" s="57" t="str">
        <f>IFERROR(__xludf.DUMMYFUNCTION("""COMPUTED_VALUE"""),"https://www.instagram.com/temujin_ldn/")</f>
        <v>https://www.instagram.com/temujin_ldn/</v>
      </c>
      <c r="M70" s="57" t="str">
        <f>IFERROR(__xludf.DUMMYFUNCTION("""COMPUTED_VALUE"""),"http://soundcloud.com/temujin-ldn")</f>
        <v>http://soundcloud.com/temujin-ldn</v>
      </c>
      <c r="N70" s="7"/>
      <c r="O70" s="7"/>
      <c r="P70" s="57" t="str">
        <f>IFERROR(__xludf.DUMMYFUNCTION("""COMPUTED_VALUE"""),"https://www.flowcode.com/page/temujin.ldn")</f>
        <v>https://www.flowcode.com/page/temujin.ldn</v>
      </c>
      <c r="Q70" s="56">
        <f>IFERROR(__xludf.DUMMYFUNCTION("""COMPUTED_VALUE"""),0.0)</f>
        <v>0</v>
      </c>
      <c r="R70" s="7" t="str">
        <f>IFERROR(__xludf.DUMMYFUNCTION("""COMPUTED_VALUE"""),"#N/A")</f>
        <v>#N/A</v>
      </c>
      <c r="S70" s="7">
        <f>IFERROR(__xludf.DUMMYFUNCTION("""COMPUTED_VALUE"""),0.0)</f>
        <v>0</v>
      </c>
      <c r="T70" s="7">
        <f>IFERROR(__xludf.DUMMYFUNCTION("""COMPUTED_VALUE"""),0.0)</f>
        <v>0</v>
      </c>
      <c r="U70" s="7">
        <f>IFERROR(__xludf.DUMMYFUNCTION("""COMPUTED_VALUE"""),0.0)</f>
        <v>0</v>
      </c>
      <c r="V70" s="7">
        <f>IFERROR(__xludf.DUMMYFUNCTION("""COMPUTED_VALUE"""),0.0)</f>
        <v>0</v>
      </c>
    </row>
    <row r="71">
      <c r="B71" s="7">
        <v>2.0</v>
      </c>
      <c r="C71" s="7" t="str">
        <f>IFERROR(__xludf.DUMMYFUNCTION("""COMPUTED_VALUE"""),"Saachi")</f>
        <v>Saachi</v>
      </c>
      <c r="D71" s="7" t="str">
        <f>IFERROR(__xludf.DUMMYFUNCTION("""COMPUTED_VALUE"""),"Saachi")</f>
        <v>Saachi</v>
      </c>
      <c r="E71" s="7"/>
      <c r="F71" s="7"/>
      <c r="G71" s="7" t="str">
        <f>IFERROR(__xludf.DUMMYFUNCTION("""COMPUTED_VALUE"""),"London")</f>
        <v>London</v>
      </c>
      <c r="H71" s="7"/>
      <c r="I71" s="7" t="str">
        <f>IFERROR(__xludf.DUMMYFUNCTION("""COMPUTED_VALUE"""),"DJ")</f>
        <v>DJ</v>
      </c>
      <c r="J71" s="7" t="str">
        <f>IFERROR(__xludf.DUMMYFUNCTION("""COMPUTED_VALUE"""),"House (sometimes electro &amp; Ghettotech)")</f>
        <v>House (sometimes electro &amp; Ghettotech)</v>
      </c>
      <c r="K71" s="7" t="str">
        <f>IFERROR(__xludf.DUMMYFUNCTION("""COMPUTED_VALUE"""),"djsaachi@hotmail.com")</f>
        <v>djsaachi@hotmail.com</v>
      </c>
      <c r="L71" s="57" t="str">
        <f>IFERROR(__xludf.DUMMYFUNCTION("""COMPUTED_VALUE"""),"https://www.instagram.com/saachi_versaachi/")</f>
        <v>https://www.instagram.com/saachi_versaachi/</v>
      </c>
      <c r="M71" s="57" t="str">
        <f>IFERROR(__xludf.DUMMYFUNCTION("""COMPUTED_VALUE"""),"https://soundcloud.com/saachi-bains")</f>
        <v>https://soundcloud.com/saachi-bains</v>
      </c>
      <c r="N71" s="7"/>
      <c r="O71" s="7"/>
      <c r="P71" s="57" t="str">
        <f>IFERROR(__xludf.DUMMYFUNCTION("""COMPUTED_VALUE"""),"https://lnk.bio/Saachi")</f>
        <v>https://lnk.bio/Saachi</v>
      </c>
      <c r="Q71" s="56">
        <f>IFERROR(__xludf.DUMMYFUNCTION("""COMPUTED_VALUE"""),0.0)</f>
        <v>0</v>
      </c>
      <c r="R71" s="7" t="str">
        <f>IFERROR(__xludf.DUMMYFUNCTION("""COMPUTED_VALUE"""),"#N/A")</f>
        <v>#N/A</v>
      </c>
      <c r="S71" s="7">
        <f>IFERROR(__xludf.DUMMYFUNCTION("""COMPUTED_VALUE"""),0.0)</f>
        <v>0</v>
      </c>
      <c r="T71" s="7">
        <f>IFERROR(__xludf.DUMMYFUNCTION("""COMPUTED_VALUE"""),0.0)</f>
        <v>0</v>
      </c>
      <c r="U71" s="7">
        <f>IFERROR(__xludf.DUMMYFUNCTION("""COMPUTED_VALUE"""),0.0)</f>
        <v>0</v>
      </c>
      <c r="V71" s="7">
        <f>IFERROR(__xludf.DUMMYFUNCTION("""COMPUTED_VALUE"""),0.0)</f>
        <v>0</v>
      </c>
    </row>
    <row r="72">
      <c r="B72" s="7">
        <v>2.0</v>
      </c>
      <c r="C72" s="7" t="str">
        <f>IFERROR(__xludf.DUMMYFUNCTION("""COMPUTED_VALUE"""),"Kishan")</f>
        <v>Kishan</v>
      </c>
      <c r="D72" s="7" t="str">
        <f>IFERROR(__xludf.DUMMYFUNCTION("""COMPUTED_VALUE"""),"Kishan Thakrar")</f>
        <v>Kishan Thakrar</v>
      </c>
      <c r="E72" s="7"/>
      <c r="F72" s="7"/>
      <c r="G72" s="7" t="str">
        <f>IFERROR(__xludf.DUMMYFUNCTION("""COMPUTED_VALUE"""),"London")</f>
        <v>London</v>
      </c>
      <c r="H72" s="7"/>
      <c r="I72" s="7" t="str">
        <f>IFERROR(__xludf.DUMMYFUNCTION("""COMPUTED_VALUE"""),"DJ")</f>
        <v>DJ</v>
      </c>
      <c r="J72" s="7" t="str">
        <f>IFERROR(__xludf.DUMMYFUNCTION("""COMPUTED_VALUE"""),"UKG, House, Hip Hop/Afrobeat, 140, Jungle, DnB etc")</f>
        <v>UKG, House, Hip Hop/Afrobeat, 140, Jungle, DnB etc</v>
      </c>
      <c r="K72" s="7" t="str">
        <f>IFERROR(__xludf.DUMMYFUNCTION("""COMPUTED_VALUE"""),"music@kishan.co.uk")</f>
        <v>music@kishan.co.uk</v>
      </c>
      <c r="L72" s="57" t="str">
        <f>IFERROR(__xludf.DUMMYFUNCTION("""COMPUTED_VALUE"""),"https://www.instagram.com/kishanthakrar/")</f>
        <v>https://www.instagram.com/kishanthakrar/</v>
      </c>
      <c r="M72" s="57" t="str">
        <f>IFERROR(__xludf.DUMMYFUNCTION("""COMPUTED_VALUE"""),"https://soundcloud.com/kishanthakrar")</f>
        <v>https://soundcloud.com/kishanthakrar</v>
      </c>
      <c r="N72" s="7"/>
      <c r="O72" s="7"/>
      <c r="P72" s="57" t="str">
        <f>IFERROR(__xludf.DUMMYFUNCTION("""COMPUTED_VALUE"""),"https://www.liinks.co/kishan")</f>
        <v>https://www.liinks.co/kishan</v>
      </c>
      <c r="Q72" s="56">
        <f>IFERROR(__xludf.DUMMYFUNCTION("""COMPUTED_VALUE"""),0.0)</f>
        <v>0</v>
      </c>
      <c r="R72" s="7" t="str">
        <f>IFERROR(__xludf.DUMMYFUNCTION("""COMPUTED_VALUE"""),"#N/A")</f>
        <v>#N/A</v>
      </c>
      <c r="S72" s="7">
        <f>IFERROR(__xludf.DUMMYFUNCTION("""COMPUTED_VALUE"""),0.0)</f>
        <v>0</v>
      </c>
      <c r="T72" s="7">
        <f>IFERROR(__xludf.DUMMYFUNCTION("""COMPUTED_VALUE"""),0.0)</f>
        <v>0</v>
      </c>
      <c r="U72" s="7">
        <f>IFERROR(__xludf.DUMMYFUNCTION("""COMPUTED_VALUE"""),0.0)</f>
        <v>0</v>
      </c>
      <c r="V72" s="7">
        <f>IFERROR(__xludf.DUMMYFUNCTION("""COMPUTED_VALUE"""),0.0)</f>
        <v>0</v>
      </c>
    </row>
    <row r="73">
      <c r="B73" s="7">
        <v>2.0</v>
      </c>
      <c r="C73" s="7" t="str">
        <f>IFERROR(__xludf.DUMMYFUNCTION("""COMPUTED_VALUE"""),"DJ PRIYA")</f>
        <v>DJ PRIYA</v>
      </c>
      <c r="D73" s="7" t="str">
        <f>IFERROR(__xludf.DUMMYFUNCTION("""COMPUTED_VALUE"""),"Priya Majhail")</f>
        <v>Priya Majhail</v>
      </c>
      <c r="E73" s="7"/>
      <c r="F73" s="7"/>
      <c r="G73" s="7" t="str">
        <f>IFERROR(__xludf.DUMMYFUNCTION("""COMPUTED_VALUE"""),"London, Brighton")</f>
        <v>London, Brighton</v>
      </c>
      <c r="H73" s="7"/>
      <c r="I73" s="7" t="str">
        <f>IFERROR(__xludf.DUMMYFUNCTION("""COMPUTED_VALUE"""),"DJ")</f>
        <v>DJ</v>
      </c>
      <c r="J73" s="7" t="str">
        <f>IFERROR(__xludf.DUMMYFUNCTION("""COMPUTED_VALUE"""),"Reggaeton, Bashment, Dancehall, Funky")</f>
        <v>Reggaeton, Bashment, Dancehall, Funky</v>
      </c>
      <c r="K73" s="7" t="str">
        <f>IFERROR(__xludf.DUMMYFUNCTION("""COMPUTED_VALUE"""),"majpri95@gmail.com")</f>
        <v>majpri95@gmail.com</v>
      </c>
      <c r="L73" s="57" t="str">
        <f>IFERROR(__xludf.DUMMYFUNCTION("""COMPUTED_VALUE"""),"https://www.instagram.com/deejaypri/")</f>
        <v>https://www.instagram.com/deejaypri/</v>
      </c>
      <c r="M73" s="57" t="str">
        <f>IFERROR(__xludf.DUMMYFUNCTION("""COMPUTED_VALUE"""),"https://soundcloud.com/deejaypriya")</f>
        <v>https://soundcloud.com/deejaypriya</v>
      </c>
      <c r="N73" s="7"/>
      <c r="O73" s="7"/>
      <c r="P73" s="57" t="str">
        <f>IFERROR(__xludf.DUMMYFUNCTION("""COMPUTED_VALUE"""),"https://linktr.ee/Deejaypri")</f>
        <v>https://linktr.ee/Deejaypri</v>
      </c>
      <c r="Q73" s="56">
        <f>IFERROR(__xludf.DUMMYFUNCTION("""COMPUTED_VALUE"""),0.0)</f>
        <v>0</v>
      </c>
      <c r="R73" s="7" t="str">
        <f>IFERROR(__xludf.DUMMYFUNCTION("""COMPUTED_VALUE"""),"#N/A")</f>
        <v>#N/A</v>
      </c>
      <c r="S73" s="7">
        <f>IFERROR(__xludf.DUMMYFUNCTION("""COMPUTED_VALUE"""),0.0)</f>
        <v>0</v>
      </c>
      <c r="T73" s="7">
        <f>IFERROR(__xludf.DUMMYFUNCTION("""COMPUTED_VALUE"""),0.0)</f>
        <v>0</v>
      </c>
      <c r="U73" s="7">
        <f>IFERROR(__xludf.DUMMYFUNCTION("""COMPUTED_VALUE"""),0.0)</f>
        <v>0</v>
      </c>
      <c r="V73" s="7">
        <f>IFERROR(__xludf.DUMMYFUNCTION("""COMPUTED_VALUE"""),0.0)</f>
        <v>0</v>
      </c>
    </row>
    <row r="74">
      <c r="B74" s="7">
        <v>2.0</v>
      </c>
      <c r="C74" s="7" t="str">
        <f>IFERROR(__xludf.DUMMYFUNCTION("""COMPUTED_VALUE"""),"Qwirk")</f>
        <v>Qwirk</v>
      </c>
      <c r="D74" s="7" t="str">
        <f>IFERROR(__xludf.DUMMYFUNCTION("""COMPUTED_VALUE"""),"Simaran Patel")</f>
        <v>Simaran Patel</v>
      </c>
      <c r="E74" s="7"/>
      <c r="F74" s="7"/>
      <c r="G74" s="7" t="str">
        <f>IFERROR(__xludf.DUMMYFUNCTION("""COMPUTED_VALUE"""),"Manchester")</f>
        <v>Manchester</v>
      </c>
      <c r="H74" s="7"/>
      <c r="I74" s="7" t="str">
        <f>IFERROR(__xludf.DUMMYFUNCTION("""COMPUTED_VALUE"""),"DJ")</f>
        <v>DJ</v>
      </c>
      <c r="J74" s="7" t="str">
        <f>IFERROR(__xludf.DUMMYFUNCTION("""COMPUTED_VALUE"""),"Dubstep, Grime, Garage, Breakbeat, DnB, Footwork, Trap, Jungle")</f>
        <v>Dubstep, Grime, Garage, Breakbeat, DnB, Footwork, Trap, Jungle</v>
      </c>
      <c r="K74" s="7" t="str">
        <f>IFERROR(__xludf.DUMMYFUNCTION("""COMPUTED_VALUE"""),"qwirkdubstep@gmail.com")</f>
        <v>qwirkdubstep@gmail.com</v>
      </c>
      <c r="L74" s="57" t="str">
        <f>IFERROR(__xludf.DUMMYFUNCTION("""COMPUTED_VALUE"""),"https://www.instagram.com/qwirkbass/")</f>
        <v>https://www.instagram.com/qwirkbass/</v>
      </c>
      <c r="M74" s="57" t="str">
        <f>IFERROR(__xludf.DUMMYFUNCTION("""COMPUTED_VALUE"""),"https://soundcloud.com/qwirkk")</f>
        <v>https://soundcloud.com/qwirkk</v>
      </c>
      <c r="N74" s="57" t="str">
        <f>IFERROR(__xludf.DUMMYFUNCTION("""COMPUTED_VALUE"""),"https://www.tiktok.com/@qwirkbass")</f>
        <v>https://www.tiktok.com/@qwirkbass</v>
      </c>
      <c r="O74" s="7"/>
      <c r="P74" s="57" t="str">
        <f>IFERROR(__xludf.DUMMYFUNCTION("""COMPUTED_VALUE"""),"linktr.ee/qwirk")</f>
        <v>linktr.ee/qwirk</v>
      </c>
      <c r="Q74" s="56">
        <f>IFERROR(__xludf.DUMMYFUNCTION("""COMPUTED_VALUE"""),0.0)</f>
        <v>0</v>
      </c>
      <c r="R74" s="7" t="str">
        <f>IFERROR(__xludf.DUMMYFUNCTION("""COMPUTED_VALUE"""),"#N/A")</f>
        <v>#N/A</v>
      </c>
      <c r="S74" s="7">
        <f>IFERROR(__xludf.DUMMYFUNCTION("""COMPUTED_VALUE"""),0.0)</f>
        <v>0</v>
      </c>
      <c r="T74" s="7">
        <f>IFERROR(__xludf.DUMMYFUNCTION("""COMPUTED_VALUE"""),0.0)</f>
        <v>0</v>
      </c>
      <c r="U74" s="7">
        <f>IFERROR(__xludf.DUMMYFUNCTION("""COMPUTED_VALUE"""),0.0)</f>
        <v>0</v>
      </c>
      <c r="V74" s="7">
        <f>IFERROR(__xludf.DUMMYFUNCTION("""COMPUTED_VALUE"""),0.0)</f>
        <v>0</v>
      </c>
    </row>
    <row r="75">
      <c r="B75" s="7">
        <v>2.0</v>
      </c>
      <c r="C75" s="7" t="str">
        <f>IFERROR(__xludf.DUMMYFUNCTION("""COMPUTED_VALUE"""),"Rohan Rakhit")</f>
        <v>Rohan Rakhit</v>
      </c>
      <c r="D75" s="7" t="str">
        <f>IFERROR(__xludf.DUMMYFUNCTION("""COMPUTED_VALUE"""),"Rohan Rakhit")</f>
        <v>Rohan Rakhit</v>
      </c>
      <c r="E75" s="7"/>
      <c r="F75" s="7"/>
      <c r="G75" s="7" t="str">
        <f>IFERROR(__xludf.DUMMYFUNCTION("""COMPUTED_VALUE"""),"London")</f>
        <v>London</v>
      </c>
      <c r="H75" s="7"/>
      <c r="I75" s="7" t="str">
        <f>IFERROR(__xludf.DUMMYFUNCTION("""COMPUTED_VALUE"""),"DJ")</f>
        <v>DJ</v>
      </c>
      <c r="J75" s="7" t="str">
        <f>IFERROR(__xludf.DUMMYFUNCTION("""COMPUTED_VALUE"""),"Multi-genre")</f>
        <v>Multi-genre</v>
      </c>
      <c r="K75" s="7" t="str">
        <f>IFERROR(__xludf.DUMMYFUNCTION("""COMPUTED_VALUE"""),"rohan@daytimers.org")</f>
        <v>rohan@daytimers.org</v>
      </c>
      <c r="L75" s="57" t="str">
        <f>IFERROR(__xludf.DUMMYFUNCTION("""COMPUTED_VALUE"""),"https://www.instagram.com/rohan_rakhit/")</f>
        <v>https://www.instagram.com/rohan_rakhit/</v>
      </c>
      <c r="M75" s="57" t="str">
        <f>IFERROR(__xludf.DUMMYFUNCTION("""COMPUTED_VALUE"""),"https://soundcloud.com/rohan_rakhit")</f>
        <v>https://soundcloud.com/rohan_rakhit</v>
      </c>
      <c r="N75" s="7"/>
      <c r="O75" s="7"/>
      <c r="P75" s="57" t="str">
        <f>IFERROR(__xludf.DUMMYFUNCTION("""COMPUTED_VALUE"""),"https://linktr.ee/rohan.rakhit")</f>
        <v>https://linktr.ee/rohan.rakhit</v>
      </c>
      <c r="Q75" s="56">
        <f>IFERROR(__xludf.DUMMYFUNCTION("""COMPUTED_VALUE"""),0.0)</f>
        <v>0</v>
      </c>
      <c r="R75" s="7" t="str">
        <f>IFERROR(__xludf.DUMMYFUNCTION("""COMPUTED_VALUE"""),"#N/A")</f>
        <v>#N/A</v>
      </c>
      <c r="S75" s="7">
        <f>IFERROR(__xludf.DUMMYFUNCTION("""COMPUTED_VALUE"""),0.0)</f>
        <v>0</v>
      </c>
      <c r="T75" s="7">
        <f>IFERROR(__xludf.DUMMYFUNCTION("""COMPUTED_VALUE"""),0.0)</f>
        <v>0</v>
      </c>
      <c r="U75" s="7">
        <f>IFERROR(__xludf.DUMMYFUNCTION("""COMPUTED_VALUE"""),0.0)</f>
        <v>0</v>
      </c>
      <c r="V75" s="7">
        <f>IFERROR(__xludf.DUMMYFUNCTION("""COMPUTED_VALUE"""),0.0)</f>
        <v>0</v>
      </c>
    </row>
    <row r="76">
      <c r="B76" s="7">
        <v>2.0</v>
      </c>
      <c r="C76" s="7" t="str">
        <f>IFERROR(__xludf.DUMMYFUNCTION("""COMPUTED_VALUE"""),"Jaskkkkkkk")</f>
        <v>Jaskkkkkkk</v>
      </c>
      <c r="D76" s="7" t="str">
        <f>IFERROR(__xludf.DUMMYFUNCTION("""COMPUTED_VALUE"""),"Jaskaran Notta")</f>
        <v>Jaskaran Notta</v>
      </c>
      <c r="E76" s="7"/>
      <c r="F76" s="7"/>
      <c r="G76" s="7" t="str">
        <f>IFERROR(__xludf.DUMMYFUNCTION("""COMPUTED_VALUE"""),"Birmingham")</f>
        <v>Birmingham</v>
      </c>
      <c r="H76" s="7"/>
      <c r="I76" s="7" t="str">
        <f>IFERROR(__xludf.DUMMYFUNCTION("""COMPUTED_VALUE"""),"DJ")</f>
        <v>DJ</v>
      </c>
      <c r="J76" s="7" t="str">
        <f>IFERROR(__xludf.DUMMYFUNCTION("""COMPUTED_VALUE"""),"Electro, Ghetto, Italo, breakbeat, chugg (sometimes garage, disco)")</f>
        <v>Electro, Ghetto, Italo, breakbeat, chugg (sometimes garage, disco)</v>
      </c>
      <c r="K76" s="7" t="str">
        <f>IFERROR(__xludf.DUMMYFUNCTION("""COMPUTED_VALUE"""),"jaskaran.notta97@gmail.com")</f>
        <v>jaskaran.notta97@gmail.com</v>
      </c>
      <c r="L76" s="57" t="str">
        <f>IFERROR(__xludf.DUMMYFUNCTION("""COMPUTED_VALUE"""),"https://www.instagram.com/_jaskkkkkkk/")</f>
        <v>https://www.instagram.com/_jaskkkkkkk/</v>
      </c>
      <c r="M76" s="57" t="str">
        <f>IFERROR(__xludf.DUMMYFUNCTION("""COMPUTED_VALUE"""),"https://soundcloud.com/jaskkkkkkk?ref=clipboard&amp;p=i&amp;c=1&amp;utm_source=clipboard&amp;utm_medium=text&amp;utm_campaign=social_sharing")</f>
        <v>https://soundcloud.com/jaskkkkkkk?ref=clipboard&amp;p=i&amp;c=1&amp;utm_source=clipboard&amp;utm_medium=text&amp;utm_campaign=social_sharing</v>
      </c>
      <c r="N76" s="7"/>
      <c r="O76" s="7"/>
      <c r="P76" s="57" t="str">
        <f>IFERROR(__xludf.DUMMYFUNCTION("""COMPUTED_VALUE"""),"https://refugeworldwide.com/radio/daytimers-4th-feb-2022")</f>
        <v>https://refugeworldwide.com/radio/daytimers-4th-feb-2022</v>
      </c>
      <c r="Q76" s="56">
        <f>IFERROR(__xludf.DUMMYFUNCTION("""COMPUTED_VALUE"""),0.0)</f>
        <v>0</v>
      </c>
      <c r="R76" s="7" t="str">
        <f>IFERROR(__xludf.DUMMYFUNCTION("""COMPUTED_VALUE"""),"#N/A")</f>
        <v>#N/A</v>
      </c>
      <c r="S76" s="7">
        <f>IFERROR(__xludf.DUMMYFUNCTION("""COMPUTED_VALUE"""),0.0)</f>
        <v>0</v>
      </c>
      <c r="T76" s="7">
        <f>IFERROR(__xludf.DUMMYFUNCTION("""COMPUTED_VALUE"""),0.0)</f>
        <v>0</v>
      </c>
      <c r="U76" s="7">
        <f>IFERROR(__xludf.DUMMYFUNCTION("""COMPUTED_VALUE"""),0.0)</f>
        <v>0</v>
      </c>
      <c r="V76" s="7">
        <f>IFERROR(__xludf.DUMMYFUNCTION("""COMPUTED_VALUE"""),0.0)</f>
        <v>0</v>
      </c>
    </row>
    <row r="77">
      <c r="B77" s="7">
        <v>2.0</v>
      </c>
      <c r="C77" s="7" t="str">
        <f>IFERROR(__xludf.DUMMYFUNCTION("""COMPUTED_VALUE"""),"King Monday")</f>
        <v>King Monday</v>
      </c>
      <c r="D77" s="7" t="str">
        <f>IFERROR(__xludf.DUMMYFUNCTION("""COMPUTED_VALUE"""),"Sherwyn Appadu")</f>
        <v>Sherwyn Appadu</v>
      </c>
      <c r="E77" s="7"/>
      <c r="F77" s="7"/>
      <c r="G77" s="7" t="str">
        <f>IFERROR(__xludf.DUMMYFUNCTION("""COMPUTED_VALUE"""),"London")</f>
        <v>London</v>
      </c>
      <c r="H77" s="7"/>
      <c r="I77" s="7" t="str">
        <f>IFERROR(__xludf.DUMMYFUNCTION("""COMPUTED_VALUE"""),"DJ, Live Act")</f>
        <v>DJ, Live Act</v>
      </c>
      <c r="J77" s="7" t="str">
        <f>IFERROR(__xludf.DUMMYFUNCTION("""COMPUTED_VALUE"""),"Pop, Psychedelic, Sega, UK Dance, Experimental, Electronic")</f>
        <v>Pop, Psychedelic, Sega, UK Dance, Experimental, Electronic</v>
      </c>
      <c r="K77" s="7" t="str">
        <f>IFERROR(__xludf.DUMMYFUNCTION("""COMPUTED_VALUE"""),"kxmonday@hotmail.com")</f>
        <v>kxmonday@hotmail.com</v>
      </c>
      <c r="L77" s="57" t="str">
        <f>IFERROR(__xludf.DUMMYFUNCTION("""COMPUTED_VALUE"""),"https://soundcloud.com/kingxmonday")</f>
        <v>https://soundcloud.com/kingxmonday</v>
      </c>
      <c r="M77" s="57" t="str">
        <f>IFERROR(__xludf.DUMMYFUNCTION("""COMPUTED_VALUE"""),"https://soundcloud.com/kingxmonday")</f>
        <v>https://soundcloud.com/kingxmonday</v>
      </c>
      <c r="N77" s="7"/>
      <c r="O77" s="7"/>
      <c r="P77" s="57" t="str">
        <f>IFERROR(__xludf.DUMMYFUNCTION("""COMPUTED_VALUE"""),"https://ffm.to/kingmonday")</f>
        <v>https://ffm.to/kingmonday</v>
      </c>
      <c r="Q77" s="56">
        <f>IFERROR(__xludf.DUMMYFUNCTION("""COMPUTED_VALUE"""),0.0)</f>
        <v>0</v>
      </c>
      <c r="R77" s="7" t="str">
        <f>IFERROR(__xludf.DUMMYFUNCTION("""COMPUTED_VALUE"""),"#N/A")</f>
        <v>#N/A</v>
      </c>
      <c r="S77" s="7">
        <f>IFERROR(__xludf.DUMMYFUNCTION("""COMPUTED_VALUE"""),0.0)</f>
        <v>0</v>
      </c>
      <c r="T77" s="7">
        <f>IFERROR(__xludf.DUMMYFUNCTION("""COMPUTED_VALUE"""),0.0)</f>
        <v>0</v>
      </c>
      <c r="U77" s="7">
        <f>IFERROR(__xludf.DUMMYFUNCTION("""COMPUTED_VALUE"""),0.0)</f>
        <v>0</v>
      </c>
      <c r="V77" s="7">
        <f>IFERROR(__xludf.DUMMYFUNCTION("""COMPUTED_VALUE"""),0.0)</f>
        <v>0</v>
      </c>
    </row>
    <row r="78">
      <c r="B78" s="7">
        <v>2.0</v>
      </c>
      <c r="C78" s="7" t="str">
        <f>IFERROR(__xludf.DUMMYFUNCTION("""COMPUTED_VALUE"""),"Mandle")</f>
        <v>Mandle</v>
      </c>
      <c r="D78" s="7" t="str">
        <f>IFERROR(__xludf.DUMMYFUNCTION("""COMPUTED_VALUE"""),"Debesh Mandal")</f>
        <v>Debesh Mandal</v>
      </c>
      <c r="E78" s="7"/>
      <c r="F78" s="7"/>
      <c r="G78" s="7" t="str">
        <f>IFERROR(__xludf.DUMMYFUNCTION("""COMPUTED_VALUE"""),"London, Manchester")</f>
        <v>London, Manchester</v>
      </c>
      <c r="H78" s="7"/>
      <c r="I78" s="7" t="str">
        <f>IFERROR(__xludf.DUMMYFUNCTION("""COMPUTED_VALUE"""),"DJ")</f>
        <v>DJ</v>
      </c>
      <c r="J78" s="7" t="str">
        <f>IFERROR(__xludf.DUMMYFUNCTION("""COMPUTED_VALUE"""),"House, Techno, Breaks, Jungle, Disco")</f>
        <v>House, Techno, Breaks, Jungle, Disco</v>
      </c>
      <c r="K78" s="7" t="str">
        <f>IFERROR(__xludf.DUMMYFUNCTION("""COMPUTED_VALUE"""),"mandle.demain@gmail.com")</f>
        <v>mandle.demain@gmail.com</v>
      </c>
      <c r="L78" s="7"/>
      <c r="M78" s="57" t="str">
        <f>IFERROR(__xludf.DUMMYFUNCTION("""COMPUTED_VALUE"""),"https://soundcloud.com/djmandle")</f>
        <v>https://soundcloud.com/djmandle</v>
      </c>
      <c r="N78" s="7"/>
      <c r="O78" s="7"/>
      <c r="P78" s="57" t="str">
        <f>IFERROR(__xludf.DUMMYFUNCTION("""COMPUTED_VALUE"""),"https://soundcloud.com/djmandle")</f>
        <v>https://soundcloud.com/djmandle</v>
      </c>
      <c r="Q78" s="56">
        <f>IFERROR(__xludf.DUMMYFUNCTION("""COMPUTED_VALUE"""),0.0)</f>
        <v>0</v>
      </c>
      <c r="R78" s="7" t="str">
        <f>IFERROR(__xludf.DUMMYFUNCTION("""COMPUTED_VALUE"""),"#N/A")</f>
        <v>#N/A</v>
      </c>
      <c r="S78" s="7">
        <f>IFERROR(__xludf.DUMMYFUNCTION("""COMPUTED_VALUE"""),0.0)</f>
        <v>0</v>
      </c>
      <c r="T78" s="7">
        <f>IFERROR(__xludf.DUMMYFUNCTION("""COMPUTED_VALUE"""),0.0)</f>
        <v>0</v>
      </c>
      <c r="U78" s="7">
        <f>IFERROR(__xludf.DUMMYFUNCTION("""COMPUTED_VALUE"""),0.0)</f>
        <v>0</v>
      </c>
      <c r="V78" s="7">
        <f>IFERROR(__xludf.DUMMYFUNCTION("""COMPUTED_VALUE"""),0.0)</f>
        <v>0</v>
      </c>
    </row>
    <row r="79">
      <c r="B79" s="7">
        <v>2.0</v>
      </c>
      <c r="C79" s="7" t="str">
        <f>IFERROR(__xludf.DUMMYFUNCTION("""COMPUTED_VALUE"""),"manj")</f>
        <v>manj</v>
      </c>
      <c r="D79" s="7"/>
      <c r="E79" s="7"/>
      <c r="F79" s="7"/>
      <c r="G79" s="7"/>
      <c r="H79" s="7"/>
      <c r="I79" s="7" t="str">
        <f>IFERROR(__xludf.DUMMYFUNCTION("""COMPUTED_VALUE"""),"DJ")</f>
        <v>DJ</v>
      </c>
      <c r="J79" s="7"/>
      <c r="K79" s="7" t="str">
        <f>IFERROR(__xludf.DUMMYFUNCTION("""COMPUTED_VALUE"""),"info@manj.uk")</f>
        <v>info@manj.uk</v>
      </c>
      <c r="L79" s="7"/>
      <c r="M79" s="7"/>
      <c r="N79" s="7"/>
      <c r="O79" s="7"/>
      <c r="P79" s="7"/>
      <c r="Q79" s="56">
        <f>IFERROR(__xludf.DUMMYFUNCTION("""COMPUTED_VALUE"""),0.0)</f>
        <v>0</v>
      </c>
      <c r="R79" s="7" t="str">
        <f>IFERROR(__xludf.DUMMYFUNCTION("""COMPUTED_VALUE"""),"#N/A")</f>
        <v>#N/A</v>
      </c>
      <c r="S79" s="7">
        <f>IFERROR(__xludf.DUMMYFUNCTION("""COMPUTED_VALUE"""),0.0)</f>
        <v>0</v>
      </c>
      <c r="T79" s="7">
        <f>IFERROR(__xludf.DUMMYFUNCTION("""COMPUTED_VALUE"""),0.0)</f>
        <v>0</v>
      </c>
      <c r="U79" s="7">
        <f>IFERROR(__xludf.DUMMYFUNCTION("""COMPUTED_VALUE"""),0.0)</f>
        <v>0</v>
      </c>
      <c r="V79" s="7">
        <f>IFERROR(__xludf.DUMMYFUNCTION("""COMPUTED_VALUE"""),0.0)</f>
        <v>0</v>
      </c>
    </row>
    <row r="80">
      <c r="B80" s="7">
        <v>2.0</v>
      </c>
      <c r="C80" s="7" t="str">
        <f>IFERROR(__xludf.DUMMYFUNCTION("""COMPUTED_VALUE"""),"REA")</f>
        <v>REA</v>
      </c>
      <c r="D80" s="7" t="str">
        <f>IFERROR(__xludf.DUMMYFUNCTION("""COMPUTED_VALUE"""),"Rea Chawhan")</f>
        <v>Rea Chawhan</v>
      </c>
      <c r="E80" s="7"/>
      <c r="F80" s="7"/>
      <c r="G80" s="7" t="str">
        <f>IFERROR(__xludf.DUMMYFUNCTION("""COMPUTED_VALUE"""),"London, Bristol")</f>
        <v>London, Bristol</v>
      </c>
      <c r="H80" s="7" t="str">
        <f>IFERROR(__xludf.DUMMYFUNCTION("""COMPUTED_VALUE"""),"Madrid")</f>
        <v>Madrid</v>
      </c>
      <c r="I80" s="7" t="str">
        <f>IFERROR(__xludf.DUMMYFUNCTION("""COMPUTED_VALUE"""),"DJ")</f>
        <v>DJ</v>
      </c>
      <c r="J80" s="7" t="str">
        <f>IFERROR(__xludf.DUMMYFUNCTION("""COMPUTED_VALUE"""),"Dnb, Breaks/Footwork, UKG, UK Dubstep")</f>
        <v>Dnb, Breaks/Footwork, UKG, UK Dubstep</v>
      </c>
      <c r="K80" s="7" t="str">
        <f>IFERROR(__xludf.DUMMYFUNCTION("""COMPUTED_VALUE"""),"reamusicuk@gmail.com")</f>
        <v>reamusicuk@gmail.com</v>
      </c>
      <c r="L80" s="57" t="str">
        <f>IFERROR(__xludf.DUMMYFUNCTION("""COMPUTED_VALUE"""),"https://www.instagram.com/reamusicuk/")</f>
        <v>https://www.instagram.com/reamusicuk/</v>
      </c>
      <c r="M80" s="57" t="str">
        <f>IFERROR(__xludf.DUMMYFUNCTION("""COMPUTED_VALUE"""),"https://soundcloud.com/readnb")</f>
        <v>https://soundcloud.com/readnb</v>
      </c>
      <c r="N80" s="7"/>
      <c r="O80" s="7"/>
      <c r="P80" s="57" t="str">
        <f>IFERROR(__xludf.DUMMYFUNCTION("""COMPUTED_VALUE"""),"https://soundcloud.com/readnb")</f>
        <v>https://soundcloud.com/readnb</v>
      </c>
      <c r="Q80" s="56">
        <f>IFERROR(__xludf.DUMMYFUNCTION("""COMPUTED_VALUE"""),0.0)</f>
        <v>0</v>
      </c>
      <c r="R80" s="7" t="str">
        <f>IFERROR(__xludf.DUMMYFUNCTION("""COMPUTED_VALUE"""),"#N/A")</f>
        <v>#N/A</v>
      </c>
      <c r="S80" s="7">
        <f>IFERROR(__xludf.DUMMYFUNCTION("""COMPUTED_VALUE"""),0.0)</f>
        <v>0</v>
      </c>
      <c r="T80" s="7">
        <f>IFERROR(__xludf.DUMMYFUNCTION("""COMPUTED_VALUE"""),0.0)</f>
        <v>0</v>
      </c>
      <c r="U80" s="7">
        <f>IFERROR(__xludf.DUMMYFUNCTION("""COMPUTED_VALUE"""),0.0)</f>
        <v>0</v>
      </c>
      <c r="V80" s="7">
        <f>IFERROR(__xludf.DUMMYFUNCTION("""COMPUTED_VALUE"""),0.0)</f>
        <v>0</v>
      </c>
    </row>
    <row r="81">
      <c r="B81" s="7">
        <v>2.0</v>
      </c>
      <c r="C81" s="7" t="str">
        <f>IFERROR(__xludf.DUMMYFUNCTION("""COMPUTED_VALUE"""),"Sepoys")</f>
        <v>Sepoys</v>
      </c>
      <c r="D81" s="7" t="str">
        <f>IFERROR(__xludf.DUMMYFUNCTION("""COMPUTED_VALUE"""),"Rohit Tandon")</f>
        <v>Rohit Tandon</v>
      </c>
      <c r="E81" s="7"/>
      <c r="F81" s="7"/>
      <c r="G81" s="7"/>
      <c r="H81" s="7" t="str">
        <f>IFERROR(__xludf.DUMMYFUNCTION("""COMPUTED_VALUE"""),"Vancouver, Canada")</f>
        <v>Vancouver, Canada</v>
      </c>
      <c r="I81" s="7" t="str">
        <f>IFERROR(__xludf.DUMMYFUNCTION("""COMPUTED_VALUE"""),"DJ")</f>
        <v>DJ</v>
      </c>
      <c r="J81" s="7" t="str">
        <f>IFERROR(__xludf.DUMMYFUNCTION("""COMPUTED_VALUE"""),"Liquid DnB/ Jungle")</f>
        <v>Liquid DnB/ Jungle</v>
      </c>
      <c r="K81" s="7" t="str">
        <f>IFERROR(__xludf.DUMMYFUNCTION("""COMPUTED_VALUE"""),"basspradesh@gmail.com")</f>
        <v>basspradesh@gmail.com</v>
      </c>
      <c r="L81" s="7"/>
      <c r="M81" s="57" t="str">
        <f>IFERROR(__xludf.DUMMYFUNCTION("""COMPUTED_VALUE"""),"https://soundcloud.com/sepoys")</f>
        <v>https://soundcloud.com/sepoys</v>
      </c>
      <c r="N81" s="7"/>
      <c r="O81" s="7"/>
      <c r="P81" s="57" t="str">
        <f>IFERROR(__xludf.DUMMYFUNCTION("""COMPUTED_VALUE"""),"https://soundcloud.com/sepoys")</f>
        <v>https://soundcloud.com/sepoys</v>
      </c>
      <c r="Q81" s="56">
        <f>IFERROR(__xludf.DUMMYFUNCTION("""COMPUTED_VALUE"""),0.0)</f>
        <v>0</v>
      </c>
      <c r="R81" s="7" t="str">
        <f>IFERROR(__xludf.DUMMYFUNCTION("""COMPUTED_VALUE"""),"#N/A")</f>
        <v>#N/A</v>
      </c>
      <c r="S81" s="7">
        <f>IFERROR(__xludf.DUMMYFUNCTION("""COMPUTED_VALUE"""),0.0)</f>
        <v>0</v>
      </c>
      <c r="T81" s="7">
        <f>IFERROR(__xludf.DUMMYFUNCTION("""COMPUTED_VALUE"""),0.0)</f>
        <v>0</v>
      </c>
      <c r="U81" s="7">
        <f>IFERROR(__xludf.DUMMYFUNCTION("""COMPUTED_VALUE"""),0.0)</f>
        <v>0</v>
      </c>
      <c r="V81" s="7">
        <f>IFERROR(__xludf.DUMMYFUNCTION("""COMPUTED_VALUE"""),0.0)</f>
        <v>0</v>
      </c>
    </row>
    <row r="82">
      <c r="B82" s="7">
        <v>2.0</v>
      </c>
      <c r="C82" s="7" t="str">
        <f>IFERROR(__xludf.DUMMYFUNCTION("""COMPUTED_VALUE"""),"Provhat")</f>
        <v>Provhat</v>
      </c>
      <c r="D82" s="7" t="str">
        <f>IFERROR(__xludf.DUMMYFUNCTION("""COMPUTED_VALUE"""),"Provhat Rahman")</f>
        <v>Provhat Rahman</v>
      </c>
      <c r="E82" s="7"/>
      <c r="F82" s="7"/>
      <c r="G82" s="7" t="str">
        <f>IFERROR(__xludf.DUMMYFUNCTION("""COMPUTED_VALUE"""),"London")</f>
        <v>London</v>
      </c>
      <c r="H82" s="7"/>
      <c r="I82" s="7" t="str">
        <f>IFERROR(__xludf.DUMMYFUNCTION("""COMPUTED_VALUE"""),"DJ")</f>
        <v>DJ</v>
      </c>
      <c r="J82" s="7" t="str">
        <f>IFERROR(__xludf.DUMMYFUNCTION("""COMPUTED_VALUE"""),"UK Bass")</f>
        <v>UK Bass</v>
      </c>
      <c r="K82" s="7" t="str">
        <f>IFERROR(__xludf.DUMMYFUNCTION("""COMPUTED_VALUE"""),"provhat@daytimers.org")</f>
        <v>provhat@daytimers.org</v>
      </c>
      <c r="L82" s="7"/>
      <c r="M82" s="7"/>
      <c r="N82" s="7"/>
      <c r="O82" s="7"/>
      <c r="P82" s="7" t="str">
        <f>IFERROR(__xludf.DUMMYFUNCTION("""COMPUTED_VALUE"""),"-")</f>
        <v>-</v>
      </c>
      <c r="Q82" s="56">
        <f>IFERROR(__xludf.DUMMYFUNCTION("""COMPUTED_VALUE"""),0.0)</f>
        <v>0</v>
      </c>
      <c r="R82" s="7" t="str">
        <f>IFERROR(__xludf.DUMMYFUNCTION("""COMPUTED_VALUE"""),"#N/A")</f>
        <v>#N/A</v>
      </c>
      <c r="S82" s="7">
        <f>IFERROR(__xludf.DUMMYFUNCTION("""COMPUTED_VALUE"""),0.0)</f>
        <v>0</v>
      </c>
      <c r="T82" s="7">
        <f>IFERROR(__xludf.DUMMYFUNCTION("""COMPUTED_VALUE"""),0.0)</f>
        <v>0</v>
      </c>
      <c r="U82" s="7">
        <f>IFERROR(__xludf.DUMMYFUNCTION("""COMPUTED_VALUE"""),0.0)</f>
        <v>0</v>
      </c>
      <c r="V82" s="7">
        <f>IFERROR(__xludf.DUMMYFUNCTION("""COMPUTED_VALUE"""),0.0)</f>
        <v>0</v>
      </c>
    </row>
    <row r="83">
      <c r="B83" s="7">
        <v>2.0</v>
      </c>
      <c r="C83" s="7" t="str">
        <f>IFERROR(__xludf.DUMMYFUNCTION("""COMPUTED_VALUE"""),"Mera Bhai")</f>
        <v>Mera Bhai</v>
      </c>
      <c r="D83" s="7" t="str">
        <f>IFERROR(__xludf.DUMMYFUNCTION("""COMPUTED_VALUE"""),"Kavhan Karthik ")</f>
        <v>Kavhan Karthik </v>
      </c>
      <c r="E83" s="7"/>
      <c r="F83" s="7"/>
      <c r="G83" s="7" t="str">
        <f>IFERROR(__xludf.DUMMYFUNCTION("""COMPUTED_VALUE"""),"London")</f>
        <v>London</v>
      </c>
      <c r="H83" s="7"/>
      <c r="I83" s="7" t="str">
        <f>IFERROR(__xludf.DUMMYFUNCTION("""COMPUTED_VALUE"""),"DJ, Live Act")</f>
        <v>DJ, Live Act</v>
      </c>
      <c r="J83" s="7" t="str">
        <f>IFERROR(__xludf.DUMMYFUNCTION("""COMPUTED_VALUE"""),"Detroit + Italo House + Disco,  Acid House, Techno, Breaks, Funk, UKG, Global Riddims. Vinyl only sets include - strictly UKG, 70s-80s Bollywood disco, world/int'l psych/funk/disco")</f>
        <v>Detroit + Italo House + Disco,  Acid House, Techno, Breaks, Funk, UKG, Global Riddims. Vinyl only sets include - strictly UKG, 70s-80s Bollywood disco, world/int'l psych/funk/disco</v>
      </c>
      <c r="K83" s="7" t="str">
        <f>IFERROR(__xludf.DUMMYFUNCTION("""COMPUTED_VALUE"""),"merabhaiiimusic@gmail.com")</f>
        <v>merabhaiiimusic@gmail.com</v>
      </c>
      <c r="L83" s="7"/>
      <c r="M83" s="7"/>
      <c r="N83" s="7"/>
      <c r="O83" s="7"/>
      <c r="P83" s="57" t="str">
        <f>IFERROR(__xludf.DUMMYFUNCTION("""COMPUTED_VALUE"""),"https://linktr.ee/merabhaiii")</f>
        <v>https://linktr.ee/merabhaiii</v>
      </c>
      <c r="Q83" s="56">
        <f>IFERROR(__xludf.DUMMYFUNCTION("""COMPUTED_VALUE"""),0.0)</f>
        <v>0</v>
      </c>
      <c r="R83" s="7" t="str">
        <f>IFERROR(__xludf.DUMMYFUNCTION("""COMPUTED_VALUE"""),"#N/A")</f>
        <v>#N/A</v>
      </c>
      <c r="S83" s="7">
        <f>IFERROR(__xludf.DUMMYFUNCTION("""COMPUTED_VALUE"""),0.0)</f>
        <v>0</v>
      </c>
      <c r="T83" s="7">
        <f>IFERROR(__xludf.DUMMYFUNCTION("""COMPUTED_VALUE"""),0.0)</f>
        <v>0</v>
      </c>
      <c r="U83" s="7">
        <f>IFERROR(__xludf.DUMMYFUNCTION("""COMPUTED_VALUE"""),0.0)</f>
        <v>0</v>
      </c>
      <c r="V83" s="7">
        <f>IFERROR(__xludf.DUMMYFUNCTION("""COMPUTED_VALUE"""),0.0)</f>
        <v>0</v>
      </c>
    </row>
    <row r="84">
      <c r="B84" s="7">
        <v>2.0</v>
      </c>
      <c r="C84" s="7" t="str">
        <f>IFERROR(__xludf.DUMMYFUNCTION("""COMPUTED_VALUE"""),"Izzi")</f>
        <v>Izzi</v>
      </c>
      <c r="D84" s="7" t="str">
        <f>IFERROR(__xludf.DUMMYFUNCTION("""COMPUTED_VALUE"""),"Izzi Dickson")</f>
        <v>Izzi Dickson</v>
      </c>
      <c r="E84" s="7"/>
      <c r="F84" s="7"/>
      <c r="G84" s="7" t="str">
        <f>IFERROR(__xludf.DUMMYFUNCTION("""COMPUTED_VALUE"""),"London, Cambridge")</f>
        <v>London, Cambridge</v>
      </c>
      <c r="H84" s="7"/>
      <c r="I84" s="7" t="str">
        <f>IFERROR(__xludf.DUMMYFUNCTION("""COMPUTED_VALUE"""),"DJ")</f>
        <v>DJ</v>
      </c>
      <c r="J84" s="7" t="str">
        <f>IFERROR(__xludf.DUMMYFUNCTION("""COMPUTED_VALUE"""),"UK bass, breaks, leftfield techno, hard drum, electro, jungle, footwork")</f>
        <v>UK bass, breaks, leftfield techno, hard drum, electro, jungle, footwork</v>
      </c>
      <c r="K84" s="7" t="str">
        <f>IFERROR(__xludf.DUMMYFUNCTION("""COMPUTED_VALUE"""),"izzi.dickson@gmail.com")</f>
        <v>izzi.dickson@gmail.com</v>
      </c>
      <c r="L84" s="7"/>
      <c r="M84" s="7"/>
      <c r="N84" s="7"/>
      <c r="O84" s="7"/>
      <c r="P84" s="57" t="str">
        <f>IFERROR(__xludf.DUMMYFUNCTION("""COMPUTED_VALUE"""),"https://soundcloud.app.goo.gl/aXWw6FdyUhNKSXZi6")</f>
        <v>https://soundcloud.app.goo.gl/aXWw6FdyUhNKSXZi6</v>
      </c>
      <c r="Q84" s="56">
        <f>IFERROR(__xludf.DUMMYFUNCTION("""COMPUTED_VALUE"""),0.0)</f>
        <v>0</v>
      </c>
      <c r="R84" s="7" t="str">
        <f>IFERROR(__xludf.DUMMYFUNCTION("""COMPUTED_VALUE"""),"#N/A")</f>
        <v>#N/A</v>
      </c>
      <c r="S84" s="7">
        <f>IFERROR(__xludf.DUMMYFUNCTION("""COMPUTED_VALUE"""),0.0)</f>
        <v>0</v>
      </c>
      <c r="T84" s="7">
        <f>IFERROR(__xludf.DUMMYFUNCTION("""COMPUTED_VALUE"""),0.0)</f>
        <v>0</v>
      </c>
      <c r="U84" s="7">
        <f>IFERROR(__xludf.DUMMYFUNCTION("""COMPUTED_VALUE"""),0.0)</f>
        <v>0</v>
      </c>
      <c r="V84" s="7">
        <f>IFERROR(__xludf.DUMMYFUNCTION("""COMPUTED_VALUE"""),0.0)</f>
        <v>0</v>
      </c>
    </row>
    <row r="85">
      <c r="B85" s="7">
        <v>2.0</v>
      </c>
      <c r="C85" s="7" t="str">
        <f>IFERROR(__xludf.DUMMYFUNCTION("""COMPUTED_VALUE"""),"Sunayah")</f>
        <v>Sunayah</v>
      </c>
      <c r="D85" s="7" t="str">
        <f>IFERROR(__xludf.DUMMYFUNCTION("""COMPUTED_VALUE"""),"Sunayah Arshad")</f>
        <v>Sunayah Arshad</v>
      </c>
      <c r="E85" s="7"/>
      <c r="F85" s="7"/>
      <c r="G85" s="7" t="str">
        <f>IFERROR(__xludf.DUMMYFUNCTION("""COMPUTED_VALUE"""),"London")</f>
        <v>London</v>
      </c>
      <c r="H85" s="7"/>
      <c r="I85" s="7" t="str">
        <f>IFERROR(__xludf.DUMMYFUNCTION("""COMPUTED_VALUE"""),"DJ")</f>
        <v>DJ</v>
      </c>
      <c r="J85" s="7" t="str">
        <f>IFERROR(__xludf.DUMMYFUNCTION("""COMPUTED_VALUE"""),"house, amapiano, baile funk, uk funky, RnB")</f>
        <v>house, amapiano, baile funk, uk funky, RnB</v>
      </c>
      <c r="K85" s="7" t="str">
        <f>IFERROR(__xludf.DUMMYFUNCTION("""COMPUTED_VALUE"""),"sunayah.arshad@gmail.com")</f>
        <v>sunayah.arshad@gmail.com</v>
      </c>
      <c r="L85" s="57" t="str">
        <f>IFERROR(__xludf.DUMMYFUNCTION("""COMPUTED_VALUE"""),"https://www.instagram.com/sunayah._/?hl=en")</f>
        <v>https://www.instagram.com/sunayah._/?hl=en</v>
      </c>
      <c r="M85" s="57" t="str">
        <f>IFERROR(__xludf.DUMMYFUNCTION("""COMPUTED_VALUE"""),"https://soundcloud.com/sunayah")</f>
        <v>https://soundcloud.com/sunayah</v>
      </c>
      <c r="N85" s="7"/>
      <c r="O85" s="7"/>
      <c r="P85" s="57" t="str">
        <f>IFERROR(__xludf.DUMMYFUNCTION("""COMPUTED_VALUE"""),"https://soundcloud.com/sunayah")</f>
        <v>https://soundcloud.com/sunayah</v>
      </c>
      <c r="Q85" s="56">
        <f>IFERROR(__xludf.DUMMYFUNCTION("""COMPUTED_VALUE"""),0.0)</f>
        <v>0</v>
      </c>
      <c r="R85" s="7" t="str">
        <f>IFERROR(__xludf.DUMMYFUNCTION("""COMPUTED_VALUE"""),"#N/A")</f>
        <v>#N/A</v>
      </c>
      <c r="S85" s="7">
        <f>IFERROR(__xludf.DUMMYFUNCTION("""COMPUTED_VALUE"""),0.0)</f>
        <v>0</v>
      </c>
      <c r="T85" s="7">
        <f>IFERROR(__xludf.DUMMYFUNCTION("""COMPUTED_VALUE"""),0.0)</f>
        <v>0</v>
      </c>
      <c r="U85" s="7">
        <f>IFERROR(__xludf.DUMMYFUNCTION("""COMPUTED_VALUE"""),0.0)</f>
        <v>0</v>
      </c>
      <c r="V85" s="7">
        <f>IFERROR(__xludf.DUMMYFUNCTION("""COMPUTED_VALUE"""),0.0)</f>
        <v>0</v>
      </c>
    </row>
  </sheetData>
  <dataValidations>
    <dataValidation type="list" allowBlank="1" showErrorMessage="1" sqref="R59">
      <formula1>"3,6,9,12"</formula1>
    </dataValidation>
    <dataValidation type="list" allowBlank="1" showErrorMessage="1" sqref="C1 C30 C59">
      <formula1>"5,10,15,20,25"</formula1>
    </dataValidation>
  </dataValidations>
  <hyperlinks>
    <hyperlink r:id="rId1" ref="L4"/>
    <hyperlink r:id="rId2" ref="M4"/>
    <hyperlink r:id="rId3" ref="P4"/>
    <hyperlink r:id="rId4" ref="L5"/>
    <hyperlink r:id="rId5" ref="M5"/>
    <hyperlink r:id="rId6" ref="O5"/>
    <hyperlink r:id="rId7" ref="P5"/>
    <hyperlink r:id="rId8" ref="L16"/>
    <hyperlink r:id="rId9" ref="M16"/>
    <hyperlink r:id="rId10" ref="C25"/>
    <hyperlink r:id="rId11" ref="L32"/>
    <hyperlink r:id="rId12" ref="M32"/>
    <hyperlink r:id="rId13" ref="L33"/>
    <hyperlink r:id="rId14" ref="M33"/>
    <hyperlink r:id="rId15" ref="N33"/>
    <hyperlink r:id="rId16" ref="M34"/>
    <hyperlink r:id="rId17" ref="P34"/>
    <hyperlink r:id="rId18" ref="L35"/>
    <hyperlink r:id="rId19" ref="P35"/>
    <hyperlink r:id="rId20" ref="C41"/>
    <hyperlink r:id="rId21" ref="L45"/>
    <hyperlink r:id="rId22" ref="M45"/>
    <hyperlink r:id="rId23" ref="O45"/>
    <hyperlink r:id="rId24" ref="P45"/>
    <hyperlink r:id="rId25" ref="L61"/>
    <hyperlink r:id="rId26" ref="M61"/>
    <hyperlink r:id="rId27" ref="L62"/>
    <hyperlink r:id="rId28" ref="P62"/>
    <hyperlink r:id="rId29" ref="L63"/>
    <hyperlink r:id="rId30" ref="L64"/>
    <hyperlink r:id="rId31" ref="M64"/>
    <hyperlink r:id="rId32" ref="P64"/>
    <hyperlink r:id="rId33" ref="L65"/>
    <hyperlink r:id="rId34" ref="M65"/>
    <hyperlink r:id="rId35" ref="P65"/>
    <hyperlink r:id="rId36" ref="M66"/>
    <hyperlink r:id="rId37" ref="P66"/>
    <hyperlink r:id="rId38" ref="L67"/>
    <hyperlink r:id="rId39" ref="M67"/>
    <hyperlink r:id="rId40" ref="P67"/>
    <hyperlink r:id="rId41" ref="L68"/>
    <hyperlink r:id="rId42" ref="M68"/>
    <hyperlink r:id="rId43" ref="P68"/>
    <hyperlink r:id="rId44" ref="L69"/>
    <hyperlink r:id="rId45" ref="M69"/>
    <hyperlink r:id="rId46" ref="P69"/>
    <hyperlink r:id="rId47" ref="L70"/>
    <hyperlink r:id="rId48" ref="M70"/>
    <hyperlink r:id="rId49" ref="P70"/>
    <hyperlink r:id="rId50" ref="L71"/>
    <hyperlink r:id="rId51" ref="M71"/>
    <hyperlink r:id="rId52" ref="P71"/>
    <hyperlink r:id="rId53" ref="L72"/>
    <hyperlink r:id="rId54" ref="M72"/>
    <hyperlink r:id="rId55" ref="P72"/>
    <hyperlink r:id="rId56" ref="L73"/>
    <hyperlink r:id="rId57" ref="M73"/>
    <hyperlink r:id="rId58" ref="P73"/>
    <hyperlink r:id="rId59" ref="L74"/>
    <hyperlink r:id="rId60" ref="M74"/>
    <hyperlink r:id="rId61" ref="N74"/>
    <hyperlink r:id="rId62" ref="P74"/>
    <hyperlink r:id="rId63" ref="L75"/>
    <hyperlink r:id="rId64" ref="M75"/>
    <hyperlink r:id="rId65" ref="P75"/>
    <hyperlink r:id="rId66" ref="L76"/>
    <hyperlink r:id="rId67" ref="M76"/>
    <hyperlink r:id="rId68" ref="P76"/>
    <hyperlink r:id="rId69" ref="L77"/>
    <hyperlink r:id="rId70" ref="M77"/>
    <hyperlink r:id="rId71" ref="P77"/>
    <hyperlink r:id="rId72" ref="M78"/>
    <hyperlink r:id="rId73" ref="P78"/>
    <hyperlink r:id="rId74" ref="L80"/>
    <hyperlink r:id="rId75" ref="M80"/>
    <hyperlink r:id="rId76" ref="P80"/>
    <hyperlink r:id="rId77" ref="M81"/>
    <hyperlink r:id="rId78" ref="P81"/>
    <hyperlink r:id="rId79" ref="P83"/>
    <hyperlink r:id="rId80" ref="P84"/>
    <hyperlink r:id="rId81" ref="L85"/>
    <hyperlink r:id="rId82" ref="M85"/>
    <hyperlink r:id="rId83" ref="P85"/>
  </hyperlinks>
  <drawing r:id="rId84"/>
  <tableParts count="3">
    <tablePart r:id="rId88"/>
    <tablePart r:id="rId89"/>
    <tablePart r:id="rId9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8.5"/>
    <col customWidth="1" min="3" max="3" width="41.5"/>
    <col customWidth="1" min="5" max="5" width="43.38"/>
    <col customWidth="1" min="6" max="6" width="8.88"/>
  </cols>
  <sheetData>
    <row r="1">
      <c r="A1" s="4" t="str">
        <f>IFERROR(__xludf.DUMMYFUNCTION("Query(IMPORTRANGE(""https://docs.google.com/spreadsheets/d/1BaKX4MM9GkwM-I9dLTp5s80b0ysFrXfR_JzPzDQVK30/edit"", ""Form Responses 1!A:U""))"),"Timestamp")</f>
        <v>Timestamp</v>
      </c>
      <c r="B1" s="7" t="str">
        <f>IFERROR(__xludf.DUMMYFUNCTION("""COMPUTED_VALUE"""),"Email Address")</f>
        <v>Email Address</v>
      </c>
      <c r="C1" s="7" t="str">
        <f>IFERROR(__xludf.DUMMYFUNCTION("""COMPUTED_VALUE"""),"Name of Event")</f>
        <v>Name of Event</v>
      </c>
      <c r="D1" s="7" t="str">
        <f>IFERROR(__xludf.DUMMYFUNCTION("""COMPUTED_VALUE"""),"Date of Event")</f>
        <v>Date of Event</v>
      </c>
      <c r="E1" s="7" t="str">
        <f>IFERROR(__xludf.DUMMYFUNCTION("""COMPUTED_VALUE"""),"Event Type ")</f>
        <v>Event Type </v>
      </c>
      <c r="F1" s="7" t="str">
        <f>IFERROR(__xludf.DUMMYFUNCTION("""COMPUTED_VALUE"""),"Unique Artist ID (See Roster DB)")</f>
        <v>Unique Artist ID (See Roster DB)</v>
      </c>
      <c r="G1" s="7" t="str">
        <f>IFERROR(__xludf.DUMMYFUNCTION("""COMPUTED_VALUE"""),"Name of Submitter")</f>
        <v>Name of Submitter</v>
      </c>
      <c r="H1" s="7" t="str">
        <f>IFERROR(__xludf.DUMMYFUNCTION("""COMPUTED_VALUE"""),"")</f>
        <v/>
      </c>
      <c r="I1" s="7" t="str">
        <f>IFERROR(__xludf.DUMMYFUNCTION("""COMPUTED_VALUE"""),"")</f>
        <v/>
      </c>
      <c r="J1" s="7" t="str">
        <f>IFERROR(__xludf.DUMMYFUNCTION("""COMPUTED_VALUE"""),"")</f>
        <v/>
      </c>
      <c r="K1" s="7" t="str">
        <f>IFERROR(__xludf.DUMMYFUNCTION("""COMPUTED_VALUE"""),"")</f>
        <v/>
      </c>
      <c r="L1" s="7" t="str">
        <f>IFERROR(__xludf.DUMMYFUNCTION("""COMPUTED_VALUE"""),"")</f>
        <v/>
      </c>
      <c r="M1" s="7" t="str">
        <f>IFERROR(__xludf.DUMMYFUNCTION("""COMPUTED_VALUE"""),"")</f>
        <v/>
      </c>
    </row>
    <row r="2">
      <c r="A2" s="11">
        <f>IFERROR(__xludf.DUMMYFUNCTION("""COMPUTED_VALUE"""),44796.79144502315)</f>
        <v>44796.79145</v>
      </c>
      <c r="B2" s="7" t="str">
        <f>IFERROR(__xludf.DUMMYFUNCTION("""COMPUTED_VALUE"""),"info@daytimers.org")</f>
        <v>info@daytimers.org</v>
      </c>
      <c r="C2" s="7" t="str">
        <f>IFERROR(__xludf.DUMMYFUNCTION("""COMPUTED_VALUE"""),"Test")</f>
        <v>Test</v>
      </c>
      <c r="D2" s="14">
        <f>IFERROR(__xludf.DUMMYFUNCTION("""COMPUTED_VALUE"""),44796.0)</f>
        <v>44796</v>
      </c>
      <c r="E2" s="7" t="str">
        <f>IFERROR(__xludf.DUMMYFUNCTION("""COMPUTED_VALUE"""),"Small (Bar, Exhibitions, Charity Events, Restaurants)")</f>
        <v>Small (Bar, Exhibitions, Charity Events, Restaurants)</v>
      </c>
      <c r="F2" s="7">
        <f>IFERROR(__xludf.DUMMYFUNCTION("""COMPUTED_VALUE"""),200.0)</f>
        <v>200</v>
      </c>
      <c r="G2" s="7" t="str">
        <f>IFERROR(__xludf.DUMMYFUNCTION("""COMPUTED_VALUE"""),"Dhillon")</f>
        <v>Dhillon</v>
      </c>
      <c r="H2" s="7"/>
      <c r="I2" s="7"/>
      <c r="J2" s="7"/>
      <c r="K2" s="7"/>
      <c r="L2" s="7"/>
      <c r="M2" s="7"/>
    </row>
    <row r="3">
      <c r="A3" s="11">
        <f>IFERROR(__xludf.DUMMYFUNCTION("""COMPUTED_VALUE"""),44799.52683106482)</f>
        <v>44799.52683</v>
      </c>
      <c r="B3" s="7" t="str">
        <f>IFERROR(__xludf.DUMMYFUNCTION("""COMPUTED_VALUE"""),"info@daytimers.org")</f>
        <v>info@daytimers.org</v>
      </c>
      <c r="C3" s="7" t="str">
        <f>IFERROR(__xludf.DUMMYFUNCTION("""COMPUTED_VALUE"""),"Fabric")</f>
        <v>Fabric</v>
      </c>
      <c r="D3" s="14">
        <f>IFERROR(__xludf.DUMMYFUNCTION("""COMPUTED_VALUE"""),44799.0)</f>
        <v>44799</v>
      </c>
      <c r="E3" s="7" t="str">
        <f>IFERROR(__xludf.DUMMYFUNCTION("""COMPUTED_VALUE"""),"Medium (Medium Sized Club, Corsica, Fabric etc)")</f>
        <v>Medium (Medium Sized Club, Corsica, Fabric etc)</v>
      </c>
      <c r="F3" s="7">
        <f>IFERROR(__xludf.DUMMYFUNCTION("""COMPUTED_VALUE"""),200.0)</f>
        <v>200</v>
      </c>
      <c r="G3" s="7" t="str">
        <f>IFERROR(__xludf.DUMMYFUNCTION("""COMPUTED_VALUE"""),"Dhillon")</f>
        <v>Dhillon</v>
      </c>
      <c r="H3" s="7"/>
      <c r="I3" s="7"/>
      <c r="J3" s="7"/>
      <c r="K3" s="7"/>
      <c r="L3" s="7"/>
      <c r="M3" s="7"/>
    </row>
    <row r="4">
      <c r="A4" s="11">
        <f>IFERROR(__xludf.DUMMYFUNCTION("""COMPUTED_VALUE"""),44799.52710584491)</f>
        <v>44799.52711</v>
      </c>
      <c r="B4" s="7" t="str">
        <f>IFERROR(__xludf.DUMMYFUNCTION("""COMPUTED_VALUE"""),"info@daytimers.org")</f>
        <v>info@daytimers.org</v>
      </c>
      <c r="C4" s="7" t="str">
        <f>IFERROR(__xludf.DUMMYFUNCTION("""COMPUTED_VALUE"""),"Boomtown")</f>
        <v>Boomtown</v>
      </c>
      <c r="D4" s="14">
        <f>IFERROR(__xludf.DUMMYFUNCTION("""COMPUTED_VALUE"""),44788.0)</f>
        <v>44788</v>
      </c>
      <c r="E4" s="7" t="str">
        <f>IFERROR(__xludf.DUMMYFUNCTION("""COMPUTED_VALUE"""),"Large (Open Air Festival, Boiler Room Streaming)")</f>
        <v>Large (Open Air Festival, Boiler Room Streaming)</v>
      </c>
      <c r="F4" s="7">
        <f>IFERROR(__xludf.DUMMYFUNCTION("""COMPUTED_VALUE"""),201.0)</f>
        <v>201</v>
      </c>
      <c r="G4" s="7" t="str">
        <f>IFERROR(__xludf.DUMMYFUNCTION("""COMPUTED_VALUE"""),"Dhillon")</f>
        <v>Dhillon</v>
      </c>
      <c r="H4" s="7"/>
      <c r="I4" s="7"/>
      <c r="J4" s="7"/>
      <c r="K4" s="7"/>
      <c r="L4" s="7"/>
      <c r="M4" s="7"/>
    </row>
    <row r="5">
      <c r="A5" s="11">
        <f>IFERROR(__xludf.DUMMYFUNCTION("""COMPUTED_VALUE"""),44799.52750873842)</f>
        <v>44799.52751</v>
      </c>
      <c r="B5" s="7" t="str">
        <f>IFERROR(__xludf.DUMMYFUNCTION("""COMPUTED_VALUE"""),"info@daytimers.org")</f>
        <v>info@daytimers.org</v>
      </c>
      <c r="C5" s="7" t="str">
        <f>IFERROR(__xludf.DUMMYFUNCTION("""COMPUTED_VALUE"""),"Charity event")</f>
        <v>Charity event</v>
      </c>
      <c r="D5" s="14">
        <f>IFERROR(__xludf.DUMMYFUNCTION("""COMPUTED_VALUE"""),44795.0)</f>
        <v>44795</v>
      </c>
      <c r="E5" s="7" t="str">
        <f>IFERROR(__xludf.DUMMYFUNCTION("""COMPUTED_VALUE"""),"Small (Bar, Exhibitions, Charity Events, Restaurants)")</f>
        <v>Small (Bar, Exhibitions, Charity Events, Restaurants)</v>
      </c>
      <c r="F5" s="7">
        <f>IFERROR(__xludf.DUMMYFUNCTION("""COMPUTED_VALUE"""),201.0)</f>
        <v>201</v>
      </c>
      <c r="G5" s="7" t="str">
        <f>IFERROR(__xludf.DUMMYFUNCTION("""COMPUTED_VALUE"""),"Dhillon")</f>
        <v>Dhillon</v>
      </c>
      <c r="H5" s="7"/>
      <c r="I5" s="7"/>
      <c r="J5" s="7"/>
      <c r="K5" s="7"/>
      <c r="L5" s="7"/>
      <c r="M5" s="7"/>
    </row>
    <row r="6">
      <c r="A6" s="11">
        <f>IFERROR(__xludf.DUMMYFUNCTION("""COMPUTED_VALUE"""),44831.78383861111)</f>
        <v>44831.78384</v>
      </c>
      <c r="B6" s="7" t="str">
        <f>IFERROR(__xludf.DUMMYFUNCTION("""COMPUTED_VALUE"""),"darama.dj@gmail.com")</f>
        <v>darama.dj@gmail.com</v>
      </c>
      <c r="C6" s="7" t="str">
        <f>IFERROR(__xludf.DUMMYFUNCTION("""COMPUTED_VALUE"""),"Boiler Room")</f>
        <v>Boiler Room</v>
      </c>
      <c r="D6" s="14">
        <f>IFERROR(__xludf.DUMMYFUNCTION("""COMPUTED_VALUE"""),44413.0)</f>
        <v>44413</v>
      </c>
      <c r="E6" s="7" t="str">
        <f>IFERROR(__xludf.DUMMYFUNCTION("""COMPUTED_VALUE"""),"Large (Open Air Festival, Boiler Room Streaming)")</f>
        <v>Large (Open Air Festival, Boiler Room Streaming)</v>
      </c>
      <c r="F6" s="7">
        <f>IFERROR(__xludf.DUMMYFUNCTION("""COMPUTED_VALUE"""),212.0)</f>
        <v>212</v>
      </c>
      <c r="G6" s="7" t="str">
        <f>IFERROR(__xludf.DUMMYFUNCTION("""COMPUTED_VALUE"""),"Dhillon")</f>
        <v>Dhillon</v>
      </c>
      <c r="H6" s="7"/>
      <c r="I6" s="7"/>
      <c r="J6" s="7"/>
      <c r="K6" s="7"/>
      <c r="L6" s="7"/>
      <c r="M6" s="7"/>
    </row>
    <row r="7">
      <c r="A7" s="11">
        <f>IFERROR(__xludf.DUMMYFUNCTION("""COMPUTED_VALUE"""),44831.78493569445)</f>
        <v>44831.78494</v>
      </c>
      <c r="B7" s="7" t="str">
        <f>IFERROR(__xludf.DUMMYFUNCTION("""COMPUTED_VALUE"""),"darama.dj@gmail.com")</f>
        <v>darama.dj@gmail.com</v>
      </c>
      <c r="C7" s="7" t="str">
        <f>IFERROR(__xludf.DUMMYFUNCTION("""COMPUTED_VALUE"""),"Boiler Room")</f>
        <v>Boiler Room</v>
      </c>
      <c r="D7" s="14">
        <f>IFERROR(__xludf.DUMMYFUNCTION("""COMPUTED_VALUE"""),44413.0)</f>
        <v>44413</v>
      </c>
      <c r="E7" s="7" t="str">
        <f>IFERROR(__xludf.DUMMYFUNCTION("""COMPUTED_VALUE"""),"Large (Open Air Festival, Boiler Room Streaming)")</f>
        <v>Large (Open Air Festival, Boiler Room Streaming)</v>
      </c>
      <c r="F7" s="7">
        <f>IFERROR(__xludf.DUMMYFUNCTION("""COMPUTED_VALUE"""),216.0)</f>
        <v>216</v>
      </c>
      <c r="G7" s="7" t="str">
        <f>IFERROR(__xludf.DUMMYFUNCTION("""COMPUTED_VALUE"""),"Dhillon")</f>
        <v>Dhillon</v>
      </c>
      <c r="H7" s="7"/>
      <c r="I7" s="7"/>
      <c r="J7" s="7"/>
      <c r="K7" s="7"/>
      <c r="L7" s="7"/>
      <c r="M7" s="7"/>
    </row>
    <row r="8">
      <c r="A8" s="11">
        <f>IFERROR(__xludf.DUMMYFUNCTION("""COMPUTED_VALUE"""),44831.785656284716)</f>
        <v>44831.78566</v>
      </c>
      <c r="B8" s="7" t="str">
        <f>IFERROR(__xludf.DUMMYFUNCTION("""COMPUTED_VALUE"""),"darama.dj@gmail.com")</f>
        <v>darama.dj@gmail.com</v>
      </c>
      <c r="C8" s="7" t="str">
        <f>IFERROR(__xludf.DUMMYFUNCTION("""COMPUTED_VALUE"""),"Boiler Room")</f>
        <v>Boiler Room</v>
      </c>
      <c r="D8" s="14">
        <f>IFERROR(__xludf.DUMMYFUNCTION("""COMPUTED_VALUE"""),44413.0)</f>
        <v>44413</v>
      </c>
      <c r="E8" s="7" t="str">
        <f>IFERROR(__xludf.DUMMYFUNCTION("""COMPUTED_VALUE"""),"Large (Open Air Festival, Boiler Room Streaming)")</f>
        <v>Large (Open Air Festival, Boiler Room Streaming)</v>
      </c>
      <c r="F8" s="7">
        <f>IFERROR(__xludf.DUMMYFUNCTION("""COMPUTED_VALUE"""),263.0)</f>
        <v>263</v>
      </c>
      <c r="G8" s="7" t="str">
        <f>IFERROR(__xludf.DUMMYFUNCTION("""COMPUTED_VALUE"""),"Dhillon")</f>
        <v>Dhillon</v>
      </c>
      <c r="H8" s="7"/>
      <c r="I8" s="7"/>
      <c r="J8" s="7"/>
      <c r="K8" s="7"/>
      <c r="L8" s="7"/>
      <c r="M8" s="7"/>
    </row>
    <row r="9">
      <c r="A9" s="11">
        <f>IFERROR(__xludf.DUMMYFUNCTION("""COMPUTED_VALUE"""),44831.78632378472)</f>
        <v>44831.78632</v>
      </c>
      <c r="B9" s="7" t="str">
        <f>IFERROR(__xludf.DUMMYFUNCTION("""COMPUTED_VALUE"""),"darama.dj@gmail.com")</f>
        <v>darama.dj@gmail.com</v>
      </c>
      <c r="C9" s="7" t="str">
        <f>IFERROR(__xludf.DUMMYFUNCTION("""COMPUTED_VALUE"""),"Boiler Room")</f>
        <v>Boiler Room</v>
      </c>
      <c r="D9" s="14">
        <f>IFERROR(__xludf.DUMMYFUNCTION("""COMPUTED_VALUE"""),44413.0)</f>
        <v>44413</v>
      </c>
      <c r="E9" s="7" t="str">
        <f>IFERROR(__xludf.DUMMYFUNCTION("""COMPUTED_VALUE"""),"Large (Open Air Festival, Boiler Room Streaming)")</f>
        <v>Large (Open Air Festival, Boiler Room Streaming)</v>
      </c>
      <c r="F9" s="7">
        <f>IFERROR(__xludf.DUMMYFUNCTION("""COMPUTED_VALUE"""),262.0)</f>
        <v>262</v>
      </c>
      <c r="G9" s="7" t="str">
        <f>IFERROR(__xludf.DUMMYFUNCTION("""COMPUTED_VALUE"""),"Dhillon")</f>
        <v>Dhillon</v>
      </c>
      <c r="H9" s="7"/>
      <c r="I9" s="7"/>
      <c r="J9" s="7"/>
      <c r="K9" s="7"/>
      <c r="L9" s="7"/>
      <c r="M9" s="7"/>
    </row>
    <row r="10">
      <c r="A10" s="11">
        <f>IFERROR(__xludf.DUMMYFUNCTION("""COMPUTED_VALUE"""),44831.7868677662)</f>
        <v>44831.78687</v>
      </c>
      <c r="B10" s="7" t="str">
        <f>IFERROR(__xludf.DUMMYFUNCTION("""COMPUTED_VALUE"""),"Darama.dj@gmail.com")</f>
        <v>Darama.dj@gmail.com</v>
      </c>
      <c r="C10" s="7" t="str">
        <f>IFERROR(__xludf.DUMMYFUNCTION("""COMPUTED_VALUE"""),"Boiler Room")</f>
        <v>Boiler Room</v>
      </c>
      <c r="D10" s="14">
        <f>IFERROR(__xludf.DUMMYFUNCTION("""COMPUTED_VALUE"""),44413.0)</f>
        <v>44413</v>
      </c>
      <c r="E10" s="7" t="str">
        <f>IFERROR(__xludf.DUMMYFUNCTION("""COMPUTED_VALUE"""),"Large (Open Air Festival, Boiler Room Streaming)")</f>
        <v>Large (Open Air Festival, Boiler Room Streaming)</v>
      </c>
      <c r="F10" s="7">
        <f>IFERROR(__xludf.DUMMYFUNCTION("""COMPUTED_VALUE"""),264.0)</f>
        <v>264</v>
      </c>
      <c r="G10" s="7" t="str">
        <f>IFERROR(__xludf.DUMMYFUNCTION("""COMPUTED_VALUE"""),"Dhillon")</f>
        <v>Dhillon</v>
      </c>
      <c r="H10" s="7"/>
      <c r="I10" s="7"/>
      <c r="J10" s="7"/>
      <c r="K10" s="7"/>
      <c r="L10" s="7"/>
      <c r="M10" s="7"/>
    </row>
    <row r="11">
      <c r="A11" s="11">
        <f>IFERROR(__xludf.DUMMYFUNCTION("""COMPUTED_VALUE"""),44839.976439247686)</f>
        <v>44839.97644</v>
      </c>
      <c r="B11" s="7" t="str">
        <f>IFERROR(__xludf.DUMMYFUNCTION("""COMPUTED_VALUE"""),"amadilyas@gmail.com")</f>
        <v>amadilyas@gmail.com</v>
      </c>
      <c r="C11" s="7" t="str">
        <f>IFERROR(__xludf.DUMMYFUNCTION("""COMPUTED_VALUE"""),"Body Movements 2022")</f>
        <v>Body Movements 2022</v>
      </c>
      <c r="D11" s="14">
        <f>IFERROR(__xludf.DUMMYFUNCTION("""COMPUTED_VALUE"""),44772.0)</f>
        <v>44772</v>
      </c>
      <c r="E11" s="7" t="str">
        <f>IFERROR(__xludf.DUMMYFUNCTION("""COMPUTED_VALUE"""),"Medium (Medium Sized Club, Corsica, Fabric etc)")</f>
        <v>Medium (Medium Sized Club, Corsica, Fabric etc)</v>
      </c>
      <c r="F11" s="7">
        <f>IFERROR(__xludf.DUMMYFUNCTION("""COMPUTED_VALUE"""),265.0)</f>
        <v>265</v>
      </c>
      <c r="G11" s="7" t="str">
        <f>IFERROR(__xludf.DUMMYFUNCTION("""COMPUTED_VALUE"""),"Sherwyn")</f>
        <v>Sherwyn</v>
      </c>
      <c r="H11" s="7"/>
      <c r="I11" s="7"/>
      <c r="J11" s="7"/>
      <c r="K11" s="7"/>
      <c r="L11" s="7"/>
      <c r="M11" s="7"/>
    </row>
    <row r="12">
      <c r="A12" s="11">
        <f>IFERROR(__xludf.DUMMYFUNCTION("""COMPUTED_VALUE"""),44839.977315324075)</f>
        <v>44839.97732</v>
      </c>
      <c r="B12" s="7" t="str">
        <f>IFERROR(__xludf.DUMMYFUNCTION("""COMPUTED_VALUE"""),"anji.jelly@hotmail.com")</f>
        <v>anji.jelly@hotmail.com</v>
      </c>
      <c r="C12" s="7" t="str">
        <f>IFERROR(__xludf.DUMMYFUNCTION("""COMPUTED_VALUE"""),"Body Movements 2022")</f>
        <v>Body Movements 2022</v>
      </c>
      <c r="D12" s="14">
        <f>IFERROR(__xludf.DUMMYFUNCTION("""COMPUTED_VALUE"""),44772.0)</f>
        <v>44772</v>
      </c>
      <c r="E12" s="7" t="str">
        <f>IFERROR(__xludf.DUMMYFUNCTION("""COMPUTED_VALUE"""),"Medium (Medium Sized Club, Corsica, Fabric etc)")</f>
        <v>Medium (Medium Sized Club, Corsica, Fabric etc)</v>
      </c>
      <c r="F12" s="7">
        <f>IFERROR(__xludf.DUMMYFUNCTION("""COMPUTED_VALUE"""),267.0)</f>
        <v>267</v>
      </c>
      <c r="G12" s="7" t="str">
        <f>IFERROR(__xludf.DUMMYFUNCTION("""COMPUTED_VALUE"""),"Sherwyn")</f>
        <v>Sherwyn</v>
      </c>
      <c r="H12" s="7"/>
      <c r="I12" s="7"/>
      <c r="J12" s="7"/>
      <c r="K12" s="7"/>
      <c r="L12" s="7"/>
      <c r="M12" s="7"/>
    </row>
    <row r="13">
      <c r="A13" s="11">
        <f>IFERROR(__xludf.DUMMYFUNCTION("""COMPUTED_VALUE"""),44839.97898431714)</f>
        <v>44839.97898</v>
      </c>
      <c r="B13" s="7" t="str">
        <f>IFERROR(__xludf.DUMMYFUNCTION("""COMPUTED_VALUE"""),"riva999music@gmail.com")</f>
        <v>riva999music@gmail.com</v>
      </c>
      <c r="C13" s="7" t="str">
        <f>IFERROR(__xludf.DUMMYFUNCTION("""COMPUTED_VALUE"""),"Body Movements 2022")</f>
        <v>Body Movements 2022</v>
      </c>
      <c r="D13" s="14">
        <f>IFERROR(__xludf.DUMMYFUNCTION("""COMPUTED_VALUE"""),44772.0)</f>
        <v>44772</v>
      </c>
      <c r="E13" s="7" t="str">
        <f>IFERROR(__xludf.DUMMYFUNCTION("""COMPUTED_VALUE"""),"Medium (Medium Sized Club, Corsica, Fabric etc)")</f>
        <v>Medium (Medium Sized Club, Corsica, Fabric etc)</v>
      </c>
      <c r="F13" s="7">
        <f>IFERROR(__xludf.DUMMYFUNCTION("""COMPUTED_VALUE"""),318.0)</f>
        <v>318</v>
      </c>
      <c r="G13" s="7" t="str">
        <f>IFERROR(__xludf.DUMMYFUNCTION("""COMPUTED_VALUE"""),"Sherwyn")</f>
        <v>Sherwyn</v>
      </c>
      <c r="H13" s="7"/>
      <c r="I13" s="7"/>
      <c r="J13" s="7"/>
      <c r="K13" s="7"/>
      <c r="L13" s="7"/>
      <c r="M13" s="7"/>
    </row>
    <row r="14">
      <c r="A14" s="11">
        <f>IFERROR(__xludf.DUMMYFUNCTION("""COMPUTED_VALUE"""),44839.97976836806)</f>
        <v>44839.97977</v>
      </c>
      <c r="B14" s="7" t="str">
        <f>IFERROR(__xludf.DUMMYFUNCTION("""COMPUTED_VALUE"""),"sitashahsworld@gmail.com")</f>
        <v>sitashahsworld@gmail.com</v>
      </c>
      <c r="C14" s="7" t="str">
        <f>IFERROR(__xludf.DUMMYFUNCTION("""COMPUTED_VALUE"""),"Body Movements 2022")</f>
        <v>Body Movements 2022</v>
      </c>
      <c r="D14" s="14">
        <f>IFERROR(__xludf.DUMMYFUNCTION("""COMPUTED_VALUE"""),44772.0)</f>
        <v>44772</v>
      </c>
      <c r="E14" s="7" t="str">
        <f>IFERROR(__xludf.DUMMYFUNCTION("""COMPUTED_VALUE"""),"Medium (Medium Sized Club, Corsica, Fabric etc)")</f>
        <v>Medium (Medium Sized Club, Corsica, Fabric etc)</v>
      </c>
      <c r="F14" s="7">
        <f>IFERROR(__xludf.DUMMYFUNCTION("""COMPUTED_VALUE"""),206.0)</f>
        <v>206</v>
      </c>
      <c r="G14" s="7" t="str">
        <f>IFERROR(__xludf.DUMMYFUNCTION("""COMPUTED_VALUE"""),"Sherwyn")</f>
        <v>Sherwyn</v>
      </c>
      <c r="H14" s="7"/>
      <c r="I14" s="7"/>
      <c r="J14" s="7"/>
      <c r="K14" s="7"/>
      <c r="L14" s="7"/>
      <c r="M14" s="7"/>
    </row>
    <row r="15">
      <c r="A15" s="11">
        <f>IFERROR(__xludf.DUMMYFUNCTION("""COMPUTED_VALUE"""),44839.98022965278)</f>
        <v>44839.98023</v>
      </c>
      <c r="B15" s="7" t="str">
        <f>IFERROR(__xludf.DUMMYFUNCTION("""COMPUTED_VALUE"""),"chandedeejay@gmail.com")</f>
        <v>chandedeejay@gmail.com</v>
      </c>
      <c r="C15" s="7" t="str">
        <f>IFERROR(__xludf.DUMMYFUNCTION("""COMPUTED_VALUE"""),"Boomtown: Street Stage Takeover")</f>
        <v>Boomtown: Street Stage Takeover</v>
      </c>
      <c r="D15" s="14">
        <f>IFERROR(__xludf.DUMMYFUNCTION("""COMPUTED_VALUE"""),44786.0)</f>
        <v>44786</v>
      </c>
      <c r="E15" s="7" t="str">
        <f>IFERROR(__xludf.DUMMYFUNCTION("""COMPUTED_VALUE"""),"Large (Open Air Festival, Boiler Room Streaming)")</f>
        <v>Large (Open Air Festival, Boiler Room Streaming)</v>
      </c>
      <c r="F15" s="7">
        <f>IFERROR(__xludf.DUMMYFUNCTION("""COMPUTED_VALUE"""),264.0)</f>
        <v>264</v>
      </c>
      <c r="G15" s="7" t="str">
        <f>IFERROR(__xludf.DUMMYFUNCTION("""COMPUTED_VALUE"""),"Sherwyn")</f>
        <v>Sherwyn</v>
      </c>
      <c r="H15" s="7"/>
      <c r="I15" s="7"/>
      <c r="J15" s="7"/>
      <c r="K15" s="7"/>
      <c r="L15" s="7"/>
      <c r="M15" s="7"/>
    </row>
    <row r="16">
      <c r="A16" s="11">
        <f>IFERROR(__xludf.DUMMYFUNCTION("""COMPUTED_VALUE"""),44839.98094202547)</f>
        <v>44839.98094</v>
      </c>
      <c r="B16" s="7" t="str">
        <f>IFERROR(__xludf.DUMMYFUNCTION("""COMPUTED_VALUE"""),"Darama.dj@gmail.com")</f>
        <v>Darama.dj@gmail.com</v>
      </c>
      <c r="C16" s="7" t="str">
        <f>IFERROR(__xludf.DUMMYFUNCTION("""COMPUTED_VALUE"""),"Boomtown: Street Stage Takeover")</f>
        <v>Boomtown: Street Stage Takeover</v>
      </c>
      <c r="D16" s="14">
        <f>IFERROR(__xludf.DUMMYFUNCTION("""COMPUTED_VALUE"""),44786.0)</f>
        <v>44786</v>
      </c>
      <c r="E16" s="7" t="str">
        <f>IFERROR(__xludf.DUMMYFUNCTION("""COMPUTED_VALUE"""),"Large (Open Air Festival, Boiler Room Streaming)")</f>
        <v>Large (Open Air Festival, Boiler Room Streaming)</v>
      </c>
      <c r="F16" s="7">
        <f>IFERROR(__xludf.DUMMYFUNCTION("""COMPUTED_VALUE"""),244.0)</f>
        <v>244</v>
      </c>
      <c r="G16" s="7" t="str">
        <f>IFERROR(__xludf.DUMMYFUNCTION("""COMPUTED_VALUE"""),"Sherwyn")</f>
        <v>Sherwyn</v>
      </c>
      <c r="H16" s="7"/>
      <c r="I16" s="7"/>
      <c r="J16" s="7"/>
      <c r="K16" s="7"/>
      <c r="L16" s="7"/>
      <c r="M16" s="7"/>
    </row>
    <row r="17">
      <c r="A17" s="11">
        <f>IFERROR(__xludf.DUMMYFUNCTION("""COMPUTED_VALUE"""),44839.981550474535)</f>
        <v>44839.98155</v>
      </c>
      <c r="B17" s="7" t="str">
        <f>IFERROR(__xludf.DUMMYFUNCTION("""COMPUTED_VALUE"""),"akajameela@gmail.com")</f>
        <v>akajameela@gmail.com</v>
      </c>
      <c r="C17" s="7" t="str">
        <f>IFERROR(__xludf.DUMMYFUNCTION("""COMPUTED_VALUE"""),"Boomtown: Street Stage Takeover")</f>
        <v>Boomtown: Street Stage Takeover</v>
      </c>
      <c r="D17" s="14">
        <f>IFERROR(__xludf.DUMMYFUNCTION("""COMPUTED_VALUE"""),44786.0)</f>
        <v>44786</v>
      </c>
      <c r="E17" s="7" t="str">
        <f>IFERROR(__xludf.DUMMYFUNCTION("""COMPUTED_VALUE"""),"Large (Open Air Festival, Boiler Room Streaming)")</f>
        <v>Large (Open Air Festival, Boiler Room Streaming)</v>
      </c>
      <c r="F17" s="7">
        <f>IFERROR(__xludf.DUMMYFUNCTION("""COMPUTED_VALUE"""),284.0)</f>
        <v>284</v>
      </c>
      <c r="G17" s="7" t="str">
        <f>IFERROR(__xludf.DUMMYFUNCTION("""COMPUTED_VALUE"""),"Sherwyn")</f>
        <v>Sherwyn</v>
      </c>
      <c r="H17" s="7"/>
      <c r="I17" s="7"/>
      <c r="J17" s="7"/>
      <c r="K17" s="7"/>
      <c r="L17" s="7"/>
      <c r="M17" s="7"/>
    </row>
    <row r="18">
      <c r="A18" s="11">
        <f>IFERROR(__xludf.DUMMYFUNCTION("""COMPUTED_VALUE"""),44839.98197351852)</f>
        <v>44839.98197</v>
      </c>
      <c r="B18" s="7" t="str">
        <f>IFERROR(__xludf.DUMMYFUNCTION("""COMPUTED_VALUE"""),"kxmonday@hotmail.com")</f>
        <v>kxmonday@hotmail.com</v>
      </c>
      <c r="C18" s="7" t="str">
        <f>IFERROR(__xludf.DUMMYFUNCTION("""COMPUTED_VALUE"""),"Boomtown: Street Stage Takeover")</f>
        <v>Boomtown: Street Stage Takeover</v>
      </c>
      <c r="D18" s="14">
        <f>IFERROR(__xludf.DUMMYFUNCTION("""COMPUTED_VALUE"""),44786.0)</f>
        <v>44786</v>
      </c>
      <c r="E18" s="7" t="str">
        <f>IFERROR(__xludf.DUMMYFUNCTION("""COMPUTED_VALUE"""),"Large (Open Air Festival, Boiler Room Streaming)")</f>
        <v>Large (Open Air Festival, Boiler Room Streaming)</v>
      </c>
      <c r="F18" s="7">
        <f>IFERROR(__xludf.DUMMYFUNCTION("""COMPUTED_VALUE"""),218.0)</f>
        <v>218</v>
      </c>
      <c r="G18" s="7" t="str">
        <f>IFERROR(__xludf.DUMMYFUNCTION("""COMPUTED_VALUE"""),"Sherwyn")</f>
        <v>Sherwyn</v>
      </c>
      <c r="H18" s="7"/>
      <c r="I18" s="7"/>
      <c r="J18" s="7"/>
      <c r="K18" s="7"/>
      <c r="L18" s="7"/>
      <c r="M18" s="7"/>
    </row>
    <row r="19">
      <c r="A19" s="11">
        <f>IFERROR(__xludf.DUMMYFUNCTION("""COMPUTED_VALUE"""),44839.98242861111)</f>
        <v>44839.98243</v>
      </c>
      <c r="B19" s="7" t="str">
        <f>IFERROR(__xludf.DUMMYFUNCTION("""COMPUTED_VALUE"""),"djranidnb@gmail.com")</f>
        <v>djranidnb@gmail.com</v>
      </c>
      <c r="C19" s="7" t="str">
        <f>IFERROR(__xludf.DUMMYFUNCTION("""COMPUTED_VALUE"""),"Boomtown: Street Stage Takeover")</f>
        <v>Boomtown: Street Stage Takeover</v>
      </c>
      <c r="D19" s="14">
        <f>IFERROR(__xludf.DUMMYFUNCTION("""COMPUTED_VALUE"""),44786.0)</f>
        <v>44786</v>
      </c>
      <c r="E19" s="7" t="str">
        <f>IFERROR(__xludf.DUMMYFUNCTION("""COMPUTED_VALUE"""),"Large (Open Air Festival, Boiler Room Streaming)")</f>
        <v>Large (Open Air Festival, Boiler Room Streaming)</v>
      </c>
      <c r="F19" s="7">
        <f>IFERROR(__xludf.DUMMYFUNCTION("""COMPUTED_VALUE"""),313.0)</f>
        <v>313</v>
      </c>
      <c r="G19" s="7" t="str">
        <f>IFERROR(__xludf.DUMMYFUNCTION("""COMPUTED_VALUE"""),"Sherwyn")</f>
        <v>Sherwyn</v>
      </c>
      <c r="H19" s="7"/>
      <c r="I19" s="7"/>
      <c r="J19" s="7"/>
      <c r="K19" s="7"/>
      <c r="L19" s="7"/>
      <c r="M19" s="7"/>
    </row>
    <row r="20">
      <c r="A20" s="11">
        <f>IFERROR(__xludf.DUMMYFUNCTION("""COMPUTED_VALUE"""),44839.9828377199)</f>
        <v>44839.98284</v>
      </c>
      <c r="B20" s="7" t="str">
        <f>IFERROR(__xludf.DUMMYFUNCTION("""COMPUTED_VALUE"""),"reachawhan@gmail.com")</f>
        <v>reachawhan@gmail.com</v>
      </c>
      <c r="C20" s="7" t="str">
        <f>IFERROR(__xludf.DUMMYFUNCTION("""COMPUTED_VALUE"""),"Boomtown: Street Stage Takeover")</f>
        <v>Boomtown: Street Stage Takeover</v>
      </c>
      <c r="D20" s="14">
        <f>IFERROR(__xludf.DUMMYFUNCTION("""COMPUTED_VALUE"""),44786.0)</f>
        <v>44786</v>
      </c>
      <c r="E20" s="7" t="str">
        <f>IFERROR(__xludf.DUMMYFUNCTION("""COMPUTED_VALUE"""),"Large (Open Air Festival, Boiler Room Streaming)")</f>
        <v>Large (Open Air Festival, Boiler Room Streaming)</v>
      </c>
      <c r="F20" s="7">
        <f>IFERROR(__xludf.DUMMYFUNCTION("""COMPUTED_VALUE"""),206.0)</f>
        <v>206</v>
      </c>
      <c r="G20" s="7" t="str">
        <f>IFERROR(__xludf.DUMMYFUNCTION("""COMPUTED_VALUE"""),"Sherwyn")</f>
        <v>Sherwyn</v>
      </c>
      <c r="H20" s="7"/>
      <c r="I20" s="7"/>
      <c r="J20" s="7"/>
      <c r="K20" s="7"/>
      <c r="L20" s="7"/>
      <c r="M20" s="7"/>
    </row>
    <row r="21">
      <c r="A21" s="11">
        <f>IFERROR(__xludf.DUMMYFUNCTION("""COMPUTED_VALUE"""),44839.98328556713)</f>
        <v>44839.98329</v>
      </c>
      <c r="B21" s="7" t="str">
        <f>IFERROR(__xludf.DUMMYFUNCTION("""COMPUTED_VALUE"""),"somin.somatic@gmail.com")</f>
        <v>somin.somatic@gmail.com</v>
      </c>
      <c r="C21" s="7" t="str">
        <f>IFERROR(__xludf.DUMMYFUNCTION("""COMPUTED_VALUE"""),"Boomtown: Street Stage Takeover")</f>
        <v>Boomtown: Street Stage Takeover</v>
      </c>
      <c r="D21" s="14">
        <f>IFERROR(__xludf.DUMMYFUNCTION("""COMPUTED_VALUE"""),44786.0)</f>
        <v>44786</v>
      </c>
      <c r="E21" s="7" t="str">
        <f>IFERROR(__xludf.DUMMYFUNCTION("""COMPUTED_VALUE"""),"Large (Open Air Festival, Boiler Room Streaming)")</f>
        <v>Large (Open Air Festival, Boiler Room Streaming)</v>
      </c>
      <c r="F21" s="7">
        <f>IFERROR(__xludf.DUMMYFUNCTION("""COMPUTED_VALUE"""),208.0)</f>
        <v>208</v>
      </c>
      <c r="G21" s="7" t="str">
        <f>IFERROR(__xludf.DUMMYFUNCTION("""COMPUTED_VALUE"""),"Sherwyn")</f>
        <v>Sherwyn</v>
      </c>
      <c r="H21" s="7"/>
      <c r="I21" s="7"/>
      <c r="J21" s="7"/>
      <c r="K21" s="7"/>
      <c r="L21" s="7"/>
      <c r="M21" s="7"/>
    </row>
    <row r="22">
      <c r="A22" s="11">
        <f>IFERROR(__xludf.DUMMYFUNCTION("""COMPUTED_VALUE"""),44839.98448502315)</f>
        <v>44839.98449</v>
      </c>
      <c r="B22" s="7" t="str">
        <f>IFERROR(__xludf.DUMMYFUNCTION("""COMPUTED_VALUE"""),"adjzar@gmail.com")</f>
        <v>adjzar@gmail.com</v>
      </c>
      <c r="C22" s="7" t="str">
        <f>IFERROR(__xludf.DUMMYFUNCTION("""COMPUTED_VALUE"""),"Brainchild Festival 2021")</f>
        <v>Brainchild Festival 2021</v>
      </c>
      <c r="D22" s="14">
        <f>IFERROR(__xludf.DUMMYFUNCTION("""COMPUTED_VALUE"""),44414.0)</f>
        <v>44414</v>
      </c>
      <c r="E22" s="7" t="str">
        <f>IFERROR(__xludf.DUMMYFUNCTION("""COMPUTED_VALUE"""),"Large (Open Air Festival, Boiler Room Streaming)")</f>
        <v>Large (Open Air Festival, Boiler Room Streaming)</v>
      </c>
      <c r="F22" s="7">
        <f>IFERROR(__xludf.DUMMYFUNCTION("""COMPUTED_VALUE"""),202.0)</f>
        <v>202</v>
      </c>
      <c r="G22" s="7" t="str">
        <f>IFERROR(__xludf.DUMMYFUNCTION("""COMPUTED_VALUE"""),"Sherwyn")</f>
        <v>Sherwyn</v>
      </c>
      <c r="H22" s="7"/>
      <c r="I22" s="7"/>
      <c r="J22" s="7"/>
      <c r="K22" s="7"/>
      <c r="L22" s="7"/>
      <c r="M22" s="7"/>
    </row>
    <row r="23">
      <c r="A23" s="11">
        <f>IFERROR(__xludf.DUMMYFUNCTION("""COMPUTED_VALUE"""),44839.98617197917)</f>
        <v>44839.98617</v>
      </c>
      <c r="B23" s="7" t="str">
        <f>IFERROR(__xludf.DUMMYFUNCTION("""COMPUTED_VALUE"""),"merabhaiiimusic@gmail.com")</f>
        <v>merabhaiiimusic@gmail.com</v>
      </c>
      <c r="C23" s="7" t="str">
        <f>IFERROR(__xludf.DUMMYFUNCTION("""COMPUTED_VALUE"""),"Brainchild Festival 2021")</f>
        <v>Brainchild Festival 2021</v>
      </c>
      <c r="D23" s="14">
        <f>IFERROR(__xludf.DUMMYFUNCTION("""COMPUTED_VALUE"""),44414.0)</f>
        <v>44414</v>
      </c>
      <c r="E23" s="7" t="str">
        <f>IFERROR(__xludf.DUMMYFUNCTION("""COMPUTED_VALUE"""),"Large (Open Air Festival, Boiler Room Streaming)")</f>
        <v>Large (Open Air Festival, Boiler Room Streaming)</v>
      </c>
      <c r="F23" s="7">
        <f>IFERROR(__xludf.DUMMYFUNCTION("""COMPUTED_VALUE"""),223.0)</f>
        <v>223</v>
      </c>
      <c r="G23" s="7" t="str">
        <f>IFERROR(__xludf.DUMMYFUNCTION("""COMPUTED_VALUE"""),"Sherwyn")</f>
        <v>Sherwyn</v>
      </c>
      <c r="H23" s="7"/>
      <c r="I23" s="7"/>
      <c r="J23" s="7"/>
      <c r="K23" s="7"/>
      <c r="L23" s="7"/>
      <c r="M23" s="7"/>
    </row>
    <row r="24">
      <c r="A24" s="11">
        <f>IFERROR(__xludf.DUMMYFUNCTION("""COMPUTED_VALUE"""),44839.98639138889)</f>
        <v>44839.98639</v>
      </c>
      <c r="B24" s="7" t="str">
        <f>IFERROR(__xludf.DUMMYFUNCTION("""COMPUTED_VALUE"""),"rohan@daytimers.org")</f>
        <v>rohan@daytimers.org</v>
      </c>
      <c r="C24" s="7" t="str">
        <f>IFERROR(__xludf.DUMMYFUNCTION("""COMPUTED_VALUE"""),"Brainchild Festival 2021")</f>
        <v>Brainchild Festival 2021</v>
      </c>
      <c r="D24" s="14">
        <f>IFERROR(__xludf.DUMMYFUNCTION("""COMPUTED_VALUE"""),44414.0)</f>
        <v>44414</v>
      </c>
      <c r="E24" s="7" t="str">
        <f>IFERROR(__xludf.DUMMYFUNCTION("""COMPUTED_VALUE"""),"Large (Open Air Festival, Boiler Room Streaming)")</f>
        <v>Large (Open Air Festival, Boiler Room Streaming)</v>
      </c>
      <c r="F24" s="7">
        <f>IFERROR(__xludf.DUMMYFUNCTION("""COMPUTED_VALUE"""),216.0)</f>
        <v>216</v>
      </c>
      <c r="G24" s="7" t="str">
        <f>IFERROR(__xludf.DUMMYFUNCTION("""COMPUTED_VALUE"""),"Sherwyn")</f>
        <v>Sherwyn</v>
      </c>
      <c r="H24" s="7"/>
      <c r="I24" s="7"/>
      <c r="J24" s="7"/>
      <c r="K24" s="7"/>
      <c r="L24" s="7"/>
      <c r="M24" s="7"/>
    </row>
    <row r="25">
      <c r="A25" s="11">
        <f>IFERROR(__xludf.DUMMYFUNCTION("""COMPUTED_VALUE"""),44839.986771041666)</f>
        <v>44839.98677</v>
      </c>
      <c r="B25" s="7" t="str">
        <f>IFERROR(__xludf.DUMMYFUNCTION("""COMPUTED_VALUE"""),"chandedeejay@gmail.com")</f>
        <v>chandedeejay@gmail.com</v>
      </c>
      <c r="C25" s="7" t="str">
        <f>IFERROR(__xludf.DUMMYFUNCTION("""COMPUTED_VALUE"""),"COP-26 Blowout: Daytimers 2 Hour B2B")</f>
        <v>COP-26 Blowout: Daytimers 2 Hour B2B</v>
      </c>
      <c r="D25" s="14">
        <f>IFERROR(__xludf.DUMMYFUNCTION("""COMPUTED_VALUE"""),44513.0)</f>
        <v>44513</v>
      </c>
      <c r="E25" s="7" t="str">
        <f>IFERROR(__xludf.DUMMYFUNCTION("""COMPUTED_VALUE"""),"Medium (Medium Sized Club, Corsica, Fabric etc)")</f>
        <v>Medium (Medium Sized Club, Corsica, Fabric etc)</v>
      </c>
      <c r="F25" s="7">
        <f>IFERROR(__xludf.DUMMYFUNCTION("""COMPUTED_VALUE"""),264.0)</f>
        <v>264</v>
      </c>
      <c r="G25" s="7" t="str">
        <f>IFERROR(__xludf.DUMMYFUNCTION("""COMPUTED_VALUE"""),"Sherwyn")</f>
        <v>Sherwyn</v>
      </c>
      <c r="H25" s="7"/>
      <c r="I25" s="7"/>
      <c r="J25" s="7"/>
      <c r="K25" s="7"/>
      <c r="L25" s="7"/>
      <c r="M25" s="7"/>
    </row>
    <row r="26">
      <c r="A26" s="11">
        <f>IFERROR(__xludf.DUMMYFUNCTION("""COMPUTED_VALUE"""),44839.987558518515)</f>
        <v>44839.98756</v>
      </c>
      <c r="B26" s="7" t="str">
        <f>IFERROR(__xludf.DUMMYFUNCTION("""COMPUTED_VALUE"""),"majpri95@gmail.com")</f>
        <v>majpri95@gmail.com</v>
      </c>
      <c r="C26" s="7" t="str">
        <f>IFERROR(__xludf.DUMMYFUNCTION("""COMPUTED_VALUE"""),"COP-26 Blowout: Daytimers 2 Hour B2B")</f>
        <v>COP-26 Blowout: Daytimers 2 Hour B2B</v>
      </c>
      <c r="D26" s="14">
        <f>IFERROR(__xludf.DUMMYFUNCTION("""COMPUTED_VALUE"""),44513.0)</f>
        <v>44513</v>
      </c>
      <c r="E26" s="7" t="str">
        <f>IFERROR(__xludf.DUMMYFUNCTION("""COMPUTED_VALUE"""),"Medium (Medium Sized Club, Corsica, Fabric etc)")</f>
        <v>Medium (Medium Sized Club, Corsica, Fabric etc)</v>
      </c>
      <c r="F26" s="7">
        <f>IFERROR(__xludf.DUMMYFUNCTION("""COMPUTED_VALUE"""),214.0)</f>
        <v>214</v>
      </c>
      <c r="G26" s="7" t="str">
        <f>IFERROR(__xludf.DUMMYFUNCTION("""COMPUTED_VALUE"""),"Sherwyn")</f>
        <v>Sherwyn</v>
      </c>
      <c r="H26" s="7"/>
      <c r="I26" s="7"/>
      <c r="J26" s="7"/>
      <c r="K26" s="7"/>
      <c r="L26" s="7"/>
      <c r="M26" s="7"/>
    </row>
    <row r="27">
      <c r="A27" s="11">
        <f>IFERROR(__xludf.DUMMYFUNCTION("""COMPUTED_VALUE"""),44839.98805734954)</f>
        <v>44839.98806</v>
      </c>
      <c r="B27" s="7" t="str">
        <f>IFERROR(__xludf.DUMMYFUNCTION("""COMPUTED_VALUE"""),"provhatr@gmail.com")</f>
        <v>provhatr@gmail.com</v>
      </c>
      <c r="C27" s="7" t="str">
        <f>IFERROR(__xludf.DUMMYFUNCTION("""COMPUTED_VALUE"""),"COP-26 Blowout: Daytimers 2 Hour B2B")</f>
        <v>COP-26 Blowout: Daytimers 2 Hour B2B</v>
      </c>
      <c r="D27" s="14">
        <f>IFERROR(__xludf.DUMMYFUNCTION("""COMPUTED_VALUE"""),44513.0)</f>
        <v>44513</v>
      </c>
      <c r="E27" s="7" t="str">
        <f>IFERROR(__xludf.DUMMYFUNCTION("""COMPUTED_VALUE"""),"Medium (Medium Sized Club, Corsica, Fabric etc)")</f>
        <v>Medium (Medium Sized Club, Corsica, Fabric etc)</v>
      </c>
      <c r="F27" s="7">
        <f>IFERROR(__xludf.DUMMYFUNCTION("""COMPUTED_VALUE"""),222.0)</f>
        <v>222</v>
      </c>
      <c r="G27" s="7" t="str">
        <f>IFERROR(__xludf.DUMMYFUNCTION("""COMPUTED_VALUE"""),"Sherwyn")</f>
        <v>Sherwyn</v>
      </c>
      <c r="H27" s="7"/>
      <c r="I27" s="7"/>
      <c r="J27" s="7"/>
      <c r="K27" s="7"/>
      <c r="L27" s="7"/>
      <c r="M27" s="7"/>
    </row>
    <row r="28">
      <c r="A28" s="11">
        <f>IFERROR(__xludf.DUMMYFUNCTION("""COMPUTED_VALUE"""),44839.98846332176)</f>
        <v>44839.98846</v>
      </c>
      <c r="B28" s="7" t="str">
        <f>IFERROR(__xludf.DUMMYFUNCTION("""COMPUTED_VALUE"""),"darama@daytimers.org")</f>
        <v>darama@daytimers.org</v>
      </c>
      <c r="C28" s="7" t="str">
        <f>IFERROR(__xludf.DUMMYFUNCTION("""COMPUTED_VALUE"""),"Corsica Studios: 20/05/2022")</f>
        <v>Corsica Studios: 20/05/2022</v>
      </c>
      <c r="D28" s="14">
        <f>IFERROR(__xludf.DUMMYFUNCTION("""COMPUTED_VALUE"""),44701.0)</f>
        <v>44701</v>
      </c>
      <c r="E28" s="7" t="str">
        <f>IFERROR(__xludf.DUMMYFUNCTION("""COMPUTED_VALUE"""),"Medium (Medium Sized Club, Corsica, Fabric etc)")</f>
        <v>Medium (Medium Sized Club, Corsica, Fabric etc)</v>
      </c>
      <c r="F28" s="7">
        <f>IFERROR(__xludf.DUMMYFUNCTION("""COMPUTED_VALUE"""),244.0)</f>
        <v>244</v>
      </c>
      <c r="G28" s="7" t="str">
        <f>IFERROR(__xludf.DUMMYFUNCTION("""COMPUTED_VALUE"""),"Sherwyn")</f>
        <v>Sherwyn</v>
      </c>
      <c r="H28" s="7"/>
      <c r="I28" s="7"/>
      <c r="J28" s="7"/>
      <c r="K28" s="7"/>
      <c r="L28" s="7"/>
      <c r="M28" s="7"/>
    </row>
    <row r="29">
      <c r="A29" s="11">
        <f>IFERROR(__xludf.DUMMYFUNCTION("""COMPUTED_VALUE"""),44839.98894621528)</f>
        <v>44839.98895</v>
      </c>
      <c r="B29" s="7" t="str">
        <f>IFERROR(__xludf.DUMMYFUNCTION("""COMPUTED_VALUE"""),"freshtainfo@gmail.com")</f>
        <v>freshtainfo@gmail.com</v>
      </c>
      <c r="C29" s="7" t="str">
        <f>IFERROR(__xludf.DUMMYFUNCTION("""COMPUTED_VALUE"""),"Corsica Studios: 20/05/2022")</f>
        <v>Corsica Studios: 20/05/2022</v>
      </c>
      <c r="D29" s="14">
        <f>IFERROR(__xludf.DUMMYFUNCTION("""COMPUTED_VALUE"""),44701.0)</f>
        <v>44701</v>
      </c>
      <c r="E29" s="7" t="str">
        <f>IFERROR(__xludf.DUMMYFUNCTION("""COMPUTED_VALUE"""),"Medium (Medium Sized Club, Corsica, Fabric etc)")</f>
        <v>Medium (Medium Sized Club, Corsica, Fabric etc)</v>
      </c>
      <c r="F29" s="7">
        <f>IFERROR(__xludf.DUMMYFUNCTION("""COMPUTED_VALUE"""),209.0)</f>
        <v>209</v>
      </c>
      <c r="G29" s="7" t="str">
        <f>IFERROR(__xludf.DUMMYFUNCTION("""COMPUTED_VALUE"""),"Sherwyn")</f>
        <v>Sherwyn</v>
      </c>
      <c r="H29" s="7"/>
      <c r="I29" s="7"/>
      <c r="J29" s="7"/>
      <c r="K29" s="7"/>
      <c r="L29" s="7"/>
      <c r="M29" s="7"/>
    </row>
    <row r="30">
      <c r="A30" s="11">
        <f>IFERROR(__xludf.DUMMYFUNCTION("""COMPUTED_VALUE"""),44839.98944002314)</f>
        <v>44839.98944</v>
      </c>
      <c r="B30" s="7" t="str">
        <f>IFERROR(__xludf.DUMMYFUNCTION("""COMPUTED_VALUE"""),"music@kishan.co.uk")</f>
        <v>music@kishan.co.uk</v>
      </c>
      <c r="C30" s="7" t="str">
        <f>IFERROR(__xludf.DUMMYFUNCTION("""COMPUTED_VALUE"""),"Corsica Studios: 20/05/2022")</f>
        <v>Corsica Studios: 20/05/2022</v>
      </c>
      <c r="D30" s="14">
        <f>IFERROR(__xludf.DUMMYFUNCTION("""COMPUTED_VALUE"""),44701.0)</f>
        <v>44701</v>
      </c>
      <c r="E30" s="7" t="str">
        <f>IFERROR(__xludf.DUMMYFUNCTION("""COMPUTED_VALUE"""),"Medium (Medium Sized Club, Corsica, Fabric etc)")</f>
        <v>Medium (Medium Sized Club, Corsica, Fabric etc)</v>
      </c>
      <c r="F30" s="7">
        <f>IFERROR(__xludf.DUMMYFUNCTION("""COMPUTED_VALUE"""),213.0)</f>
        <v>213</v>
      </c>
      <c r="G30" s="7" t="str">
        <f>IFERROR(__xludf.DUMMYFUNCTION("""COMPUTED_VALUE"""),"Sherwyn")</f>
        <v>Sherwyn</v>
      </c>
      <c r="H30" s="7"/>
      <c r="I30" s="7"/>
      <c r="J30" s="7"/>
      <c r="K30" s="7"/>
      <c r="L30" s="7"/>
      <c r="M30" s="7"/>
    </row>
    <row r="31">
      <c r="A31" s="11">
        <f>IFERROR(__xludf.DUMMYFUNCTION("""COMPUTED_VALUE"""),44839.99355479167)</f>
        <v>44839.99355</v>
      </c>
      <c r="B31" s="7" t="str">
        <f>IFERROR(__xludf.DUMMYFUNCTION("""COMPUTED_VALUE"""),"beatsformanj@gmail.com")</f>
        <v>beatsformanj@gmail.com</v>
      </c>
      <c r="C31" s="7" t="str">
        <f>IFERROR(__xludf.DUMMYFUNCTION("""COMPUTED_VALUE"""),"Corsica Studios: 20/05/2022")</f>
        <v>Corsica Studios: 20/05/2022</v>
      </c>
      <c r="D31" s="14">
        <f>IFERROR(__xludf.DUMMYFUNCTION("""COMPUTED_VALUE"""),44701.0)</f>
        <v>44701</v>
      </c>
      <c r="E31" s="7" t="str">
        <f>IFERROR(__xludf.DUMMYFUNCTION("""COMPUTED_VALUE"""),"Medium (Medium Sized Club, Corsica, Fabric etc)")</f>
        <v>Medium (Medium Sized Club, Corsica, Fabric etc)</v>
      </c>
      <c r="F31" s="7">
        <f>IFERROR(__xludf.DUMMYFUNCTION("""COMPUTED_VALUE"""),220.0)</f>
        <v>220</v>
      </c>
      <c r="G31" s="7" t="str">
        <f>IFERROR(__xludf.DUMMYFUNCTION("""COMPUTED_VALUE"""),"Sherwyn")</f>
        <v>Sherwyn</v>
      </c>
      <c r="H31" s="7"/>
      <c r="I31" s="7"/>
      <c r="J31" s="7"/>
      <c r="K31" s="7"/>
      <c r="L31" s="7"/>
      <c r="M31" s="7"/>
    </row>
    <row r="32">
      <c r="A32" s="11">
        <f>IFERROR(__xludf.DUMMYFUNCTION("""COMPUTED_VALUE"""),44839.99381730324)</f>
        <v>44839.99382</v>
      </c>
      <c r="B32" s="7" t="str">
        <f>IFERROR(__xludf.DUMMYFUNCTION("""COMPUTED_VALUE"""),"merabhaiiimusic@gmail.com")</f>
        <v>merabhaiiimusic@gmail.com</v>
      </c>
      <c r="C32" s="7" t="str">
        <f>IFERROR(__xludf.DUMMYFUNCTION("""COMPUTED_VALUE"""),"Corsica Studios: 20/05/2022")</f>
        <v>Corsica Studios: 20/05/2022</v>
      </c>
      <c r="D32" s="14">
        <f>IFERROR(__xludf.DUMMYFUNCTION("""COMPUTED_VALUE"""),44701.0)</f>
        <v>44701</v>
      </c>
      <c r="E32" s="7" t="str">
        <f>IFERROR(__xludf.DUMMYFUNCTION("""COMPUTED_VALUE"""),"Medium (Medium Sized Club, Corsica, Fabric etc)")</f>
        <v>Medium (Medium Sized Club, Corsica, Fabric etc)</v>
      </c>
      <c r="F32" s="7">
        <f>IFERROR(__xludf.DUMMYFUNCTION("""COMPUTED_VALUE"""),223.0)</f>
        <v>223</v>
      </c>
      <c r="G32" s="7" t="str">
        <f>IFERROR(__xludf.DUMMYFUNCTION("""COMPUTED_VALUE"""),"Sherwyn")</f>
        <v>Sherwyn</v>
      </c>
      <c r="H32" s="7"/>
      <c r="I32" s="7"/>
      <c r="J32" s="7"/>
      <c r="K32" s="7"/>
      <c r="L32" s="7"/>
      <c r="M32" s="7"/>
    </row>
    <row r="33">
      <c r="A33" s="11">
        <f>IFERROR(__xludf.DUMMYFUNCTION("""COMPUTED_VALUE"""),44839.995555995374)</f>
        <v>44839.99556</v>
      </c>
      <c r="B33" s="7" t="str">
        <f>IFERROR(__xludf.DUMMYFUNCTION("""COMPUTED_VALUE"""),"monophonikmusic@gmail.com")</f>
        <v>monophonikmusic@gmail.com</v>
      </c>
      <c r="C33" s="7" t="str">
        <f>IFERROR(__xludf.DUMMYFUNCTION("""COMPUTED_VALUE"""),"Corsica Studios: 20/05/2022")</f>
        <v>Corsica Studios: 20/05/2022</v>
      </c>
      <c r="D33" s="14">
        <f>IFERROR(__xludf.DUMMYFUNCTION("""COMPUTED_VALUE"""),44701.0)</f>
        <v>44701</v>
      </c>
      <c r="E33" s="7" t="str">
        <f>IFERROR(__xludf.DUMMYFUNCTION("""COMPUTED_VALUE"""),"Medium (Medium Sized Club, Corsica, Fabric etc)")</f>
        <v>Medium (Medium Sized Club, Corsica, Fabric etc)</v>
      </c>
      <c r="F33" s="7">
        <f>IFERROR(__xludf.DUMMYFUNCTION("""COMPUTED_VALUE"""),296.0)</f>
        <v>296</v>
      </c>
      <c r="G33" s="7" t="str">
        <f>IFERROR(__xludf.DUMMYFUNCTION("""COMPUTED_VALUE"""),"Sherwyn")</f>
        <v>Sherwyn</v>
      </c>
      <c r="H33" s="7"/>
      <c r="I33" s="7"/>
      <c r="J33" s="7"/>
      <c r="K33" s="7"/>
      <c r="L33" s="7"/>
      <c r="M33" s="7"/>
    </row>
    <row r="34">
      <c r="A34" s="11">
        <f>IFERROR(__xludf.DUMMYFUNCTION("""COMPUTED_VALUE"""),44839.99603137731)</f>
        <v>44839.99603</v>
      </c>
      <c r="B34" s="7" t="str">
        <f>IFERROR(__xludf.DUMMYFUNCTION("""COMPUTED_VALUE"""),"chirag@psylentmgmt.com")</f>
        <v>chirag@psylentmgmt.com</v>
      </c>
      <c r="C34" s="7" t="str">
        <f>IFERROR(__xludf.DUMMYFUNCTION("""COMPUTED_VALUE"""),"Corsica Studios: 20/05/2022")</f>
        <v>Corsica Studios: 20/05/2022</v>
      </c>
      <c r="D34" s="14">
        <f>IFERROR(__xludf.DUMMYFUNCTION("""COMPUTED_VALUE"""),44701.0)</f>
        <v>44701</v>
      </c>
      <c r="E34" s="7" t="str">
        <f>IFERROR(__xludf.DUMMYFUNCTION("""COMPUTED_VALUE"""),"Medium (Medium Sized Club, Corsica, Fabric etc)")</f>
        <v>Medium (Medium Sized Club, Corsica, Fabric etc)</v>
      </c>
      <c r="F34" s="7">
        <f>IFERROR(__xludf.DUMMYFUNCTION("""COMPUTED_VALUE"""),309.0)</f>
        <v>309</v>
      </c>
      <c r="G34" s="7" t="str">
        <f>IFERROR(__xludf.DUMMYFUNCTION("""COMPUTED_VALUE"""),"Sherwyn")</f>
        <v>Sherwyn</v>
      </c>
      <c r="H34" s="7"/>
      <c r="I34" s="7"/>
      <c r="J34" s="7"/>
      <c r="K34" s="7"/>
      <c r="L34" s="7"/>
      <c r="M34" s="7"/>
    </row>
    <row r="35">
      <c r="A35" s="11">
        <f>IFERROR(__xludf.DUMMYFUNCTION("""COMPUTED_VALUE"""),44839.996659687495)</f>
        <v>44839.99666</v>
      </c>
      <c r="B35" s="7" t="str">
        <f>IFERROR(__xludf.DUMMYFUNCTION("""COMPUTED_VALUE"""),"info@rajirags.com")</f>
        <v>info@rajirags.com</v>
      </c>
      <c r="C35" s="7" t="str">
        <f>IFERROR(__xludf.DUMMYFUNCTION("""COMPUTED_VALUE"""),"Corsica Studios: 20/05/2022")</f>
        <v>Corsica Studios: 20/05/2022</v>
      </c>
      <c r="D35" s="14">
        <f>IFERROR(__xludf.DUMMYFUNCTION("""COMPUTED_VALUE"""),44701.0)</f>
        <v>44701</v>
      </c>
      <c r="E35" s="7" t="str">
        <f>IFERROR(__xludf.DUMMYFUNCTION("""COMPUTED_VALUE"""),"Medium (Medium Sized Club, Corsica, Fabric etc)")</f>
        <v>Medium (Medium Sized Club, Corsica, Fabric etc)</v>
      </c>
      <c r="F35" s="7">
        <f>IFERROR(__xludf.DUMMYFUNCTION("""COMPUTED_VALUE"""),312.0)</f>
        <v>312</v>
      </c>
      <c r="G35" s="7" t="str">
        <f>IFERROR(__xludf.DUMMYFUNCTION("""COMPUTED_VALUE"""),"Sherwyn")</f>
        <v>Sherwyn</v>
      </c>
      <c r="H35" s="7"/>
      <c r="I35" s="7"/>
      <c r="J35" s="7"/>
      <c r="K35" s="7"/>
      <c r="L35" s="7"/>
      <c r="M35" s="7"/>
    </row>
    <row r="36">
      <c r="A36" s="11">
        <f>IFERROR(__xludf.DUMMYFUNCTION("""COMPUTED_VALUE"""),44839.9981965162)</f>
        <v>44839.9982</v>
      </c>
      <c r="B36" s="7" t="str">
        <f>IFERROR(__xludf.DUMMYFUNCTION("""COMPUTED_VALUE"""),"veronika@stimulusmgmt.com")</f>
        <v>veronika@stimulusmgmt.com</v>
      </c>
      <c r="C36" s="7" t="str">
        <f>IFERROR(__xludf.DUMMYFUNCTION("""COMPUTED_VALUE"""),"Corsica Studios: 20/05/2022")</f>
        <v>Corsica Studios: 20/05/2022</v>
      </c>
      <c r="D36" s="14">
        <f>IFERROR(__xludf.DUMMYFUNCTION("""COMPUTED_VALUE"""),44701.0)</f>
        <v>44701</v>
      </c>
      <c r="E36" s="7" t="str">
        <f>IFERROR(__xludf.DUMMYFUNCTION("""COMPUTED_VALUE"""),"Medium (Medium Sized Club, Corsica, Fabric etc)")</f>
        <v>Medium (Medium Sized Club, Corsica, Fabric etc)</v>
      </c>
      <c r="F36" s="7">
        <f>IFERROR(__xludf.DUMMYFUNCTION("""COMPUTED_VALUE"""),330.0)</f>
        <v>330</v>
      </c>
      <c r="G36" s="7" t="str">
        <f>IFERROR(__xludf.DUMMYFUNCTION("""COMPUTED_VALUE"""),"Sherwyn")</f>
        <v>Sherwyn</v>
      </c>
      <c r="H36" s="7"/>
      <c r="I36" s="7"/>
      <c r="J36" s="7"/>
      <c r="K36" s="7"/>
      <c r="L36" s="7"/>
      <c r="M36" s="7"/>
    </row>
    <row r="37">
      <c r="A37" s="11">
        <f>IFERROR(__xludf.DUMMYFUNCTION("""COMPUTED_VALUE"""),44839.99892091435)</f>
        <v>44839.99892</v>
      </c>
      <c r="B37" s="7" t="str">
        <f>IFERROR(__xludf.DUMMYFUNCTION("""COMPUTED_VALUE"""),"sunayah.arshad@gmail.com")</f>
        <v>sunayah.arshad@gmail.com</v>
      </c>
      <c r="C37" s="7" t="str">
        <f>IFERROR(__xludf.DUMMYFUNCTION("""COMPUTED_VALUE"""),"Corsica Studios: 20/05/2022")</f>
        <v>Corsica Studios: 20/05/2022</v>
      </c>
      <c r="D37" s="14">
        <f>IFERROR(__xludf.DUMMYFUNCTION("""COMPUTED_VALUE"""),44701.0)</f>
        <v>44701</v>
      </c>
      <c r="E37" s="7" t="str">
        <f>IFERROR(__xludf.DUMMYFUNCTION("""COMPUTED_VALUE"""),"Medium (Medium Sized Club, Corsica, Fabric etc)")</f>
        <v>Medium (Medium Sized Club, Corsica, Fabric etc)</v>
      </c>
      <c r="F37" s="7">
        <f>IFERROR(__xludf.DUMMYFUNCTION("""COMPUTED_VALUE"""),226.0)</f>
        <v>226</v>
      </c>
      <c r="G37" s="7" t="str">
        <f>IFERROR(__xludf.DUMMYFUNCTION("""COMPUTED_VALUE"""),"Sherwyn")</f>
        <v>Sherwyn</v>
      </c>
      <c r="H37" s="7"/>
      <c r="I37" s="7"/>
      <c r="J37" s="7"/>
      <c r="K37" s="7"/>
      <c r="L37" s="7"/>
      <c r="M37" s="7"/>
    </row>
    <row r="38">
      <c r="A38" s="11">
        <f>IFERROR(__xludf.DUMMYFUNCTION("""COMPUTED_VALUE"""),44840.000700937504)</f>
        <v>44840.0007</v>
      </c>
      <c r="B38" s="7" t="str">
        <f>IFERROR(__xludf.DUMMYFUNCTION("""COMPUTED_VALUE"""),"yourboykiran@gmail.com")</f>
        <v>yourboykiran@gmail.com</v>
      </c>
      <c r="C38" s="7" t="str">
        <f>IFERROR(__xludf.DUMMYFUNCTION("""COMPUTED_VALUE"""),"Corsica Studios: 20/05/2022")</f>
        <v>Corsica Studios: 20/05/2022</v>
      </c>
      <c r="D38" s="14">
        <f>IFERROR(__xludf.DUMMYFUNCTION("""COMPUTED_VALUE"""),44701.0)</f>
        <v>44701</v>
      </c>
      <c r="E38" s="7" t="str">
        <f>IFERROR(__xludf.DUMMYFUNCTION("""COMPUTED_VALUE"""),"Medium (Medium Sized Club, Corsica, Fabric etc)")</f>
        <v>Medium (Medium Sized Club, Corsica, Fabric etc)</v>
      </c>
      <c r="F38" s="7">
        <f>IFERROR(__xludf.DUMMYFUNCTION("""COMPUTED_VALUE"""),255.0)</f>
        <v>255</v>
      </c>
      <c r="G38" s="7" t="str">
        <f>IFERROR(__xludf.DUMMYFUNCTION("""COMPUTED_VALUE"""),"Sherwyn")</f>
        <v>Sherwyn</v>
      </c>
      <c r="H38" s="7"/>
      <c r="I38" s="7"/>
      <c r="J38" s="7"/>
      <c r="K38" s="7"/>
      <c r="L38" s="7"/>
      <c r="M38" s="7"/>
    </row>
    <row r="39">
      <c r="A39" s="11">
        <f>IFERROR(__xludf.DUMMYFUNCTION("""COMPUTED_VALUE"""),44845.7687825926)</f>
        <v>44845.76878</v>
      </c>
      <c r="B39" s="7"/>
      <c r="C39" s="7" t="str">
        <f>IFERROR(__xludf.DUMMYFUNCTION("""COMPUTED_VALUE"""),"Daytimers x Middle Of Nowhere")</f>
        <v>Daytimers x Middle Of Nowhere</v>
      </c>
      <c r="D39" s="14">
        <f>IFERROR(__xludf.DUMMYFUNCTION("""COMPUTED_VALUE"""),44744.0)</f>
        <v>44744</v>
      </c>
      <c r="E39" s="7" t="str">
        <f>IFERROR(__xludf.DUMMYFUNCTION("""COMPUTED_VALUE"""),"Large (Open Air Festival, Boiler Room Streaming)")</f>
        <v>Large (Open Air Festival, Boiler Room Streaming)</v>
      </c>
      <c r="F39" s="7">
        <f>IFERROR(__xludf.DUMMYFUNCTION("""COMPUTED_VALUE"""),344.0)</f>
        <v>344</v>
      </c>
      <c r="G39" s="7" t="str">
        <f>IFERROR(__xludf.DUMMYFUNCTION("""COMPUTED_VALUE"""),"Sherwyn ")</f>
        <v>Sherwyn </v>
      </c>
      <c r="H39" s="7"/>
      <c r="I39" s="7"/>
      <c r="J39" s="7"/>
      <c r="K39" s="7"/>
      <c r="L39" s="7"/>
      <c r="M39" s="7"/>
    </row>
    <row r="40">
      <c r="A40" s="11">
        <f>IFERROR(__xludf.DUMMYFUNCTION("""COMPUTED_VALUE"""),44845.76902576389)</f>
        <v>44845.76903</v>
      </c>
      <c r="B40" s="7"/>
      <c r="C40" s="7" t="str">
        <f>IFERROR(__xludf.DUMMYFUNCTION("""COMPUTED_VALUE"""),"Daytimers x Middle Of Nowhere")</f>
        <v>Daytimers x Middle Of Nowhere</v>
      </c>
      <c r="D40" s="14">
        <f>IFERROR(__xludf.DUMMYFUNCTION("""COMPUTED_VALUE"""),44744.0)</f>
        <v>44744</v>
      </c>
      <c r="E40" s="7" t="str">
        <f>IFERROR(__xludf.DUMMYFUNCTION("""COMPUTED_VALUE"""),"Large (Open Air Festival, Boiler Room Streaming)")</f>
        <v>Large (Open Air Festival, Boiler Room Streaming)</v>
      </c>
      <c r="F40" s="7">
        <f>IFERROR(__xludf.DUMMYFUNCTION("""COMPUTED_VALUE"""),273.0)</f>
        <v>273</v>
      </c>
      <c r="G40" s="7" t="str">
        <f>IFERROR(__xludf.DUMMYFUNCTION("""COMPUTED_VALUE"""),"Sherwyn")</f>
        <v>Sherwyn</v>
      </c>
      <c r="H40" s="7"/>
      <c r="I40" s="7"/>
      <c r="J40" s="7"/>
      <c r="K40" s="7"/>
      <c r="L40" s="7"/>
      <c r="M40" s="7"/>
    </row>
    <row r="41">
      <c r="A41" s="11">
        <f>IFERROR(__xludf.DUMMYFUNCTION("""COMPUTED_VALUE"""),44845.7692846412)</f>
        <v>44845.76928</v>
      </c>
      <c r="B41" s="7"/>
      <c r="C41" s="7" t="str">
        <f>IFERROR(__xludf.DUMMYFUNCTION("""COMPUTED_VALUE"""),"Daytimers x Middle Of Nowhere")</f>
        <v>Daytimers x Middle Of Nowhere</v>
      </c>
      <c r="D41" s="14">
        <f>IFERROR(__xludf.DUMMYFUNCTION("""COMPUTED_VALUE"""),44744.0)</f>
        <v>44744</v>
      </c>
      <c r="E41" s="7" t="str">
        <f>IFERROR(__xludf.DUMMYFUNCTION("""COMPUTED_VALUE"""),"Large (Open Air Festival, Boiler Room Streaming)")</f>
        <v>Large (Open Air Festival, Boiler Room Streaming)</v>
      </c>
      <c r="F41" s="7">
        <f>IFERROR(__xludf.DUMMYFUNCTION("""COMPUTED_VALUE"""),264.0)</f>
        <v>264</v>
      </c>
      <c r="G41" s="7" t="str">
        <f>IFERROR(__xludf.DUMMYFUNCTION("""COMPUTED_VALUE"""),"Sherwyn")</f>
        <v>Sherwyn</v>
      </c>
      <c r="H41" s="7"/>
      <c r="I41" s="7"/>
      <c r="J41" s="7"/>
      <c r="K41" s="7"/>
      <c r="L41" s="7"/>
      <c r="M41" s="7"/>
    </row>
    <row r="42">
      <c r="A42" s="11">
        <f>IFERROR(__xludf.DUMMYFUNCTION("""COMPUTED_VALUE"""),44845.76953929398)</f>
        <v>44845.76954</v>
      </c>
      <c r="B42" s="7"/>
      <c r="C42" s="7" t="str">
        <f>IFERROR(__xludf.DUMMYFUNCTION("""COMPUTED_VALUE"""),"Daytimers x Middle Of Nowhere")</f>
        <v>Daytimers x Middle Of Nowhere</v>
      </c>
      <c r="D42" s="14">
        <f>IFERROR(__xludf.DUMMYFUNCTION("""COMPUTED_VALUE"""),44744.0)</f>
        <v>44744</v>
      </c>
      <c r="E42" s="7" t="str">
        <f>IFERROR(__xludf.DUMMYFUNCTION("""COMPUTED_VALUE"""),"Large (Open Air Festival, Boiler Room Streaming)")</f>
        <v>Large (Open Air Festival, Boiler Room Streaming)</v>
      </c>
      <c r="F42" s="7">
        <f>IFERROR(__xludf.DUMMYFUNCTION("""COMPUTED_VALUE"""),275.0)</f>
        <v>275</v>
      </c>
      <c r="G42" s="7" t="str">
        <f>IFERROR(__xludf.DUMMYFUNCTION("""COMPUTED_VALUE"""),"Sherwyn")</f>
        <v>Sherwyn</v>
      </c>
      <c r="H42" s="7"/>
      <c r="I42" s="7"/>
      <c r="J42" s="7"/>
      <c r="K42" s="7"/>
      <c r="L42" s="7"/>
      <c r="M42" s="7"/>
    </row>
    <row r="43">
      <c r="A43" s="11">
        <f>IFERROR(__xludf.DUMMYFUNCTION("""COMPUTED_VALUE"""),44845.77047283565)</f>
        <v>44845.77047</v>
      </c>
      <c r="B43" s="7"/>
      <c r="C43" s="7" t="str">
        <f>IFERROR(__xludf.DUMMYFUNCTION("""COMPUTED_VALUE"""),"Daytimers x Middle Of Nowhere")</f>
        <v>Daytimers x Middle Of Nowhere</v>
      </c>
      <c r="D43" s="14">
        <f>IFERROR(__xludf.DUMMYFUNCTION("""COMPUTED_VALUE"""),44744.0)</f>
        <v>44744</v>
      </c>
      <c r="E43" s="7" t="str">
        <f>IFERROR(__xludf.DUMMYFUNCTION("""COMPUTED_VALUE"""),"Large (Open Air Festival, Boiler Room Streaming)")</f>
        <v>Large (Open Air Festival, Boiler Room Streaming)</v>
      </c>
      <c r="F43" s="7">
        <f>IFERROR(__xludf.DUMMYFUNCTION("""COMPUTED_VALUE"""),209.0)</f>
        <v>209</v>
      </c>
      <c r="G43" s="7" t="str">
        <f>IFERROR(__xludf.DUMMYFUNCTION("""COMPUTED_VALUE"""),"Sherwyn")</f>
        <v>Sherwyn</v>
      </c>
      <c r="H43" s="7"/>
      <c r="I43" s="7"/>
      <c r="J43" s="7"/>
      <c r="K43" s="7"/>
      <c r="L43" s="7"/>
      <c r="M43" s="7"/>
    </row>
    <row r="44">
      <c r="A44" s="11">
        <f>IFERROR(__xludf.DUMMYFUNCTION("""COMPUTED_VALUE"""),44845.77075560185)</f>
        <v>44845.77076</v>
      </c>
      <c r="B44" s="7"/>
      <c r="C44" s="7" t="str">
        <f>IFERROR(__xludf.DUMMYFUNCTION("""COMPUTED_VALUE"""),"Daytimers x Middle Of Nowhere")</f>
        <v>Daytimers x Middle Of Nowhere</v>
      </c>
      <c r="D44" s="14">
        <f>IFERROR(__xludf.DUMMYFUNCTION("""COMPUTED_VALUE"""),44744.0)</f>
        <v>44744</v>
      </c>
      <c r="E44" s="7" t="str">
        <f>IFERROR(__xludf.DUMMYFUNCTION("""COMPUTED_VALUE"""),"Large (Open Air Festival, Boiler Room Streaming)")</f>
        <v>Large (Open Air Festival, Boiler Room Streaming)</v>
      </c>
      <c r="F44" s="7">
        <f>IFERROR(__xludf.DUMMYFUNCTION("""COMPUTED_VALUE"""),210.0)</f>
        <v>210</v>
      </c>
      <c r="G44" s="7" t="str">
        <f>IFERROR(__xludf.DUMMYFUNCTION("""COMPUTED_VALUE"""),"Sherwyn")</f>
        <v>Sherwyn</v>
      </c>
      <c r="H44" s="7"/>
      <c r="I44" s="7"/>
      <c r="J44" s="7"/>
      <c r="K44" s="7"/>
      <c r="L44" s="7"/>
      <c r="M44" s="7"/>
    </row>
    <row r="45">
      <c r="A45" s="11">
        <f>IFERROR(__xludf.DUMMYFUNCTION("""COMPUTED_VALUE"""),44845.77098252314)</f>
        <v>44845.77098</v>
      </c>
      <c r="B45" s="7"/>
      <c r="C45" s="7" t="str">
        <f>IFERROR(__xludf.DUMMYFUNCTION("""COMPUTED_VALUE"""),"Daytimers x Middle Of Nowhere")</f>
        <v>Daytimers x Middle Of Nowhere</v>
      </c>
      <c r="D45" s="14">
        <f>IFERROR(__xludf.DUMMYFUNCTION("""COMPUTED_VALUE"""),44744.0)</f>
        <v>44744</v>
      </c>
      <c r="E45" s="7" t="str">
        <f>IFERROR(__xludf.DUMMYFUNCTION("""COMPUTED_VALUE"""),"Large (Open Air Festival, Boiler Room Streaming)")</f>
        <v>Large (Open Air Festival, Boiler Room Streaming)</v>
      </c>
      <c r="F45" s="7">
        <f>IFERROR(__xludf.DUMMYFUNCTION("""COMPUTED_VALUE"""),290.0)</f>
        <v>290</v>
      </c>
      <c r="G45" s="7" t="str">
        <f>IFERROR(__xludf.DUMMYFUNCTION("""COMPUTED_VALUE"""),"Sherwyn")</f>
        <v>Sherwyn</v>
      </c>
      <c r="H45" s="7"/>
      <c r="I45" s="7"/>
      <c r="J45" s="7"/>
      <c r="K45" s="7"/>
      <c r="L45" s="7"/>
      <c r="M45" s="7"/>
    </row>
    <row r="46">
      <c r="A46" s="11">
        <f>IFERROR(__xludf.DUMMYFUNCTION("""COMPUTED_VALUE"""),44845.771147604166)</f>
        <v>44845.77115</v>
      </c>
      <c r="B46" s="7"/>
      <c r="C46" s="7" t="str">
        <f>IFERROR(__xludf.DUMMYFUNCTION("""COMPUTED_VALUE"""),"Daytimers x Middle Of Nowhere")</f>
        <v>Daytimers x Middle Of Nowhere</v>
      </c>
      <c r="D46" s="14">
        <f>IFERROR(__xludf.DUMMYFUNCTION("""COMPUTED_VALUE"""),44744.0)</f>
        <v>44744</v>
      </c>
      <c r="E46" s="7" t="str">
        <f>IFERROR(__xludf.DUMMYFUNCTION("""COMPUTED_VALUE"""),"Large (Open Air Festival, Boiler Room Streaming)")</f>
        <v>Large (Open Air Festival, Boiler Room Streaming)</v>
      </c>
      <c r="F46" s="7">
        <f>IFERROR(__xludf.DUMMYFUNCTION("""COMPUTED_VALUE"""),294.0)</f>
        <v>294</v>
      </c>
      <c r="G46" s="7" t="str">
        <f>IFERROR(__xludf.DUMMYFUNCTION("""COMPUTED_VALUE"""),"Sherwyn")</f>
        <v>Sherwyn</v>
      </c>
      <c r="H46" s="7"/>
      <c r="I46" s="7"/>
      <c r="J46" s="7"/>
      <c r="K46" s="7"/>
      <c r="L46" s="7"/>
      <c r="M46" s="7"/>
    </row>
    <row r="47">
      <c r="A47" s="11">
        <f>IFERROR(__xludf.DUMMYFUNCTION("""COMPUTED_VALUE"""),44845.771430428234)</f>
        <v>44845.77143</v>
      </c>
      <c r="B47" s="7"/>
      <c r="C47" s="7" t="str">
        <f>IFERROR(__xludf.DUMMYFUNCTION("""COMPUTED_VALUE"""),"Daytimers x Middle Of Nowhere")</f>
        <v>Daytimers x Middle Of Nowhere</v>
      </c>
      <c r="D47" s="14">
        <f>IFERROR(__xludf.DUMMYFUNCTION("""COMPUTED_VALUE"""),44744.0)</f>
        <v>44744</v>
      </c>
      <c r="E47" s="7" t="str">
        <f>IFERROR(__xludf.DUMMYFUNCTION("""COMPUTED_VALUE"""),"Large (Open Air Festival, Boiler Room Streaming)")</f>
        <v>Large (Open Air Festival, Boiler Room Streaming)</v>
      </c>
      <c r="F47" s="7">
        <f>IFERROR(__xludf.DUMMYFUNCTION("""COMPUTED_VALUE"""),299.0)</f>
        <v>299</v>
      </c>
      <c r="G47" s="7" t="str">
        <f>IFERROR(__xludf.DUMMYFUNCTION("""COMPUTED_VALUE"""),"Sherwyn")</f>
        <v>Sherwyn</v>
      </c>
      <c r="H47" s="7"/>
      <c r="I47" s="7"/>
      <c r="J47" s="7"/>
      <c r="K47" s="7"/>
      <c r="L47" s="7"/>
      <c r="M47" s="7"/>
    </row>
    <row r="48">
      <c r="A48" s="11">
        <f>IFERROR(__xludf.DUMMYFUNCTION("""COMPUTED_VALUE"""),44845.77174898148)</f>
        <v>44845.77175</v>
      </c>
      <c r="B48" s="7"/>
      <c r="C48" s="7" t="str">
        <f>IFERROR(__xludf.DUMMYFUNCTION("""COMPUTED_VALUE"""),"Daytimers x Middle Of Nowhere")</f>
        <v>Daytimers x Middle Of Nowhere</v>
      </c>
      <c r="D48" s="14">
        <f>IFERROR(__xludf.DUMMYFUNCTION("""COMPUTED_VALUE"""),44744.0)</f>
        <v>44744</v>
      </c>
      <c r="E48" s="7" t="str">
        <f>IFERROR(__xludf.DUMMYFUNCTION("""COMPUTED_VALUE"""),"Large (Open Air Festival, Boiler Room Streaming)")</f>
        <v>Large (Open Air Festival, Boiler Room Streaming)</v>
      </c>
      <c r="F48" s="7">
        <f>IFERROR(__xludf.DUMMYFUNCTION("""COMPUTED_VALUE"""),303.0)</f>
        <v>303</v>
      </c>
      <c r="G48" s="7" t="str">
        <f>IFERROR(__xludf.DUMMYFUNCTION("""COMPUTED_VALUE"""),"Sherwyn")</f>
        <v>Sherwyn</v>
      </c>
      <c r="H48" s="7"/>
      <c r="I48" s="7"/>
      <c r="J48" s="7"/>
      <c r="K48" s="7"/>
      <c r="L48" s="7"/>
      <c r="M48" s="7"/>
    </row>
    <row r="49">
      <c r="A49" s="11">
        <f>IFERROR(__xludf.DUMMYFUNCTION("""COMPUTED_VALUE"""),44845.77196222223)</f>
        <v>44845.77196</v>
      </c>
      <c r="B49" s="7"/>
      <c r="C49" s="7" t="str">
        <f>IFERROR(__xludf.DUMMYFUNCTION("""COMPUTED_VALUE"""),"Daytimers x Middle Of Nowhere")</f>
        <v>Daytimers x Middle Of Nowhere</v>
      </c>
      <c r="D49" s="14">
        <f>IFERROR(__xludf.DUMMYFUNCTION("""COMPUTED_VALUE"""),44744.0)</f>
        <v>44744</v>
      </c>
      <c r="E49" s="7" t="str">
        <f>IFERROR(__xludf.DUMMYFUNCTION("""COMPUTED_VALUE"""),"Large (Open Air Festival, Boiler Room Streaming)")</f>
        <v>Large (Open Air Festival, Boiler Room Streaming)</v>
      </c>
      <c r="F49" s="7">
        <f>IFERROR(__xludf.DUMMYFUNCTION("""COMPUTED_VALUE"""),306.0)</f>
        <v>306</v>
      </c>
      <c r="G49" s="7" t="str">
        <f>IFERROR(__xludf.DUMMYFUNCTION("""COMPUTED_VALUE"""),"Sherwyn")</f>
        <v>Sherwyn</v>
      </c>
      <c r="H49" s="7"/>
      <c r="I49" s="7"/>
      <c r="J49" s="7"/>
      <c r="K49" s="7"/>
      <c r="L49" s="7"/>
      <c r="M49" s="7"/>
    </row>
    <row r="50">
      <c r="A50" s="11">
        <f>IFERROR(__xludf.DUMMYFUNCTION("""COMPUTED_VALUE"""),44845.77218377315)</f>
        <v>44845.77218</v>
      </c>
      <c r="B50" s="7"/>
      <c r="C50" s="7" t="str">
        <f>IFERROR(__xludf.DUMMYFUNCTION("""COMPUTED_VALUE"""),"Daytimers x Middle Of Nowhere")</f>
        <v>Daytimers x Middle Of Nowhere</v>
      </c>
      <c r="D50" s="14">
        <f>IFERROR(__xludf.DUMMYFUNCTION("""COMPUTED_VALUE"""),44744.0)</f>
        <v>44744</v>
      </c>
      <c r="E50" s="7" t="str">
        <f>IFERROR(__xludf.DUMMYFUNCTION("""COMPUTED_VALUE"""),"Large (Open Air Festival, Boiler Room Streaming)")</f>
        <v>Large (Open Air Festival, Boiler Room Streaming)</v>
      </c>
      <c r="F50" s="7">
        <f>IFERROR(__xludf.DUMMYFUNCTION("""COMPUTED_VALUE"""),314.0)</f>
        <v>314</v>
      </c>
      <c r="G50" s="7" t="str">
        <f>IFERROR(__xludf.DUMMYFUNCTION("""COMPUTED_VALUE"""),"Sherwyn")</f>
        <v>Sherwyn</v>
      </c>
      <c r="H50" s="7"/>
      <c r="I50" s="7"/>
      <c r="J50" s="7"/>
      <c r="K50" s="7"/>
      <c r="L50" s="7"/>
      <c r="M50" s="7"/>
    </row>
    <row r="51">
      <c r="A51" s="11">
        <f>IFERROR(__xludf.DUMMYFUNCTION("""COMPUTED_VALUE"""),44845.7725065625)</f>
        <v>44845.77251</v>
      </c>
      <c r="B51" s="7"/>
      <c r="C51" s="7" t="str">
        <f>IFERROR(__xludf.DUMMYFUNCTION("""COMPUTED_VALUE"""),"Daytimers x Middle Of Nowhere")</f>
        <v>Daytimers x Middle Of Nowhere</v>
      </c>
      <c r="D51" s="14">
        <f>IFERROR(__xludf.DUMMYFUNCTION("""COMPUTED_VALUE"""),44744.0)</f>
        <v>44744</v>
      </c>
      <c r="E51" s="7" t="str">
        <f>IFERROR(__xludf.DUMMYFUNCTION("""COMPUTED_VALUE"""),"Large (Open Air Festival, Boiler Room Streaming)")</f>
        <v>Large (Open Air Festival, Boiler Room Streaming)</v>
      </c>
      <c r="F51" s="7">
        <f>IFERROR(__xludf.DUMMYFUNCTION("""COMPUTED_VALUE"""),323.0)</f>
        <v>323</v>
      </c>
      <c r="G51" s="7" t="str">
        <f>IFERROR(__xludf.DUMMYFUNCTION("""COMPUTED_VALUE"""),"Sherwyn")</f>
        <v>Sherwyn</v>
      </c>
      <c r="H51" s="7"/>
      <c r="I51" s="7"/>
      <c r="J51" s="7"/>
      <c r="K51" s="7"/>
      <c r="L51" s="7"/>
      <c r="M51" s="7"/>
    </row>
    <row r="52">
      <c r="A52" s="11">
        <f>IFERROR(__xludf.DUMMYFUNCTION("""COMPUTED_VALUE"""),44845.77281553241)</f>
        <v>44845.77282</v>
      </c>
      <c r="B52" s="7"/>
      <c r="C52" s="7" t="str">
        <f>IFERROR(__xludf.DUMMYFUNCTION("""COMPUTED_VALUE"""),"Daytimers x Middle Of Nowhere")</f>
        <v>Daytimers x Middle Of Nowhere</v>
      </c>
      <c r="D52" s="14">
        <f>IFERROR(__xludf.DUMMYFUNCTION("""COMPUTED_VALUE"""),44744.0)</f>
        <v>44744</v>
      </c>
      <c r="E52" s="7" t="str">
        <f>IFERROR(__xludf.DUMMYFUNCTION("""COMPUTED_VALUE"""),"Large (Open Air Festival, Boiler Room Streaming)")</f>
        <v>Large (Open Air Festival, Boiler Room Streaming)</v>
      </c>
      <c r="F52" s="7">
        <f>IFERROR(__xludf.DUMMYFUNCTION("""COMPUTED_VALUE"""),324.0)</f>
        <v>324</v>
      </c>
      <c r="G52" s="7" t="str">
        <f>IFERROR(__xludf.DUMMYFUNCTION("""COMPUTED_VALUE"""),"Sherwyn")</f>
        <v>Sherwyn</v>
      </c>
      <c r="H52" s="7"/>
      <c r="I52" s="7"/>
      <c r="J52" s="7"/>
      <c r="K52" s="7"/>
      <c r="L52" s="7"/>
      <c r="M52" s="7"/>
    </row>
    <row r="53">
      <c r="A53" s="11">
        <f>IFERROR(__xludf.DUMMYFUNCTION("""COMPUTED_VALUE"""),44845.77301512731)</f>
        <v>44845.77302</v>
      </c>
      <c r="B53" s="7"/>
      <c r="C53" s="7" t="str">
        <f>IFERROR(__xludf.DUMMYFUNCTION("""COMPUTED_VALUE"""),"Daytimers x Middle Of Nowhere")</f>
        <v>Daytimers x Middle Of Nowhere</v>
      </c>
      <c r="D53" s="14">
        <f>IFERROR(__xludf.DUMMYFUNCTION("""COMPUTED_VALUE"""),44744.0)</f>
        <v>44744</v>
      </c>
      <c r="E53" s="7" t="str">
        <f>IFERROR(__xludf.DUMMYFUNCTION("""COMPUTED_VALUE"""),"Large (Open Air Festival, Boiler Room Streaming)")</f>
        <v>Large (Open Air Festival, Boiler Room Streaming)</v>
      </c>
      <c r="F53" s="7">
        <f>IFERROR(__xludf.DUMMYFUNCTION("""COMPUTED_VALUE"""),325.0)</f>
        <v>325</v>
      </c>
      <c r="G53" s="7" t="str">
        <f>IFERROR(__xludf.DUMMYFUNCTION("""COMPUTED_VALUE"""),"Sherwyn")</f>
        <v>Sherwyn</v>
      </c>
      <c r="H53" s="7"/>
      <c r="I53" s="7"/>
      <c r="J53" s="7"/>
      <c r="K53" s="7"/>
      <c r="L53" s="7"/>
      <c r="M53" s="7"/>
    </row>
    <row r="54">
      <c r="A54" s="11">
        <f>IFERROR(__xludf.DUMMYFUNCTION("""COMPUTED_VALUE"""),44845.773286400465)</f>
        <v>44845.77329</v>
      </c>
      <c r="B54" s="7"/>
      <c r="C54" s="7" t="str">
        <f>IFERROR(__xludf.DUMMYFUNCTION("""COMPUTED_VALUE"""),"Daytimers x Middle Of Nowhere")</f>
        <v>Daytimers x Middle Of Nowhere</v>
      </c>
      <c r="D54" s="14">
        <f>IFERROR(__xludf.DUMMYFUNCTION("""COMPUTED_VALUE"""),44744.0)</f>
        <v>44744</v>
      </c>
      <c r="E54" s="7" t="str">
        <f>IFERROR(__xludf.DUMMYFUNCTION("""COMPUTED_VALUE"""),"Large (Open Air Festival, Boiler Room Streaming)")</f>
        <v>Large (Open Air Festival, Boiler Room Streaming)</v>
      </c>
      <c r="F54" s="7">
        <f>IFERROR(__xludf.DUMMYFUNCTION("""COMPUTED_VALUE"""),326.0)</f>
        <v>326</v>
      </c>
      <c r="G54" s="7" t="str">
        <f>IFERROR(__xludf.DUMMYFUNCTION("""COMPUTED_VALUE"""),"Sherwyn")</f>
        <v>Sherwyn</v>
      </c>
      <c r="H54" s="7"/>
      <c r="I54" s="7"/>
      <c r="J54" s="7"/>
      <c r="K54" s="7"/>
      <c r="L54" s="7"/>
      <c r="M54" s="7"/>
    </row>
    <row r="55">
      <c r="A55" s="11">
        <f>IFERROR(__xludf.DUMMYFUNCTION("""COMPUTED_VALUE"""),44845.77357)</f>
        <v>44845.77357</v>
      </c>
      <c r="B55" s="7"/>
      <c r="C55" s="7" t="str">
        <f>IFERROR(__xludf.DUMMYFUNCTION("""COMPUTED_VALUE"""),"Daytimers x Middle Of Nowhere")</f>
        <v>Daytimers x Middle Of Nowhere</v>
      </c>
      <c r="D55" s="14">
        <f>IFERROR(__xludf.DUMMYFUNCTION("""COMPUTED_VALUE"""),44744.0)</f>
        <v>44744</v>
      </c>
      <c r="E55" s="7" t="str">
        <f>IFERROR(__xludf.DUMMYFUNCTION("""COMPUTED_VALUE"""),"Large (Open Air Festival, Boiler Room Streaming)")</f>
        <v>Large (Open Air Festival, Boiler Room Streaming)</v>
      </c>
      <c r="F55" s="7">
        <f>IFERROR(__xludf.DUMMYFUNCTION("""COMPUTED_VALUE"""),331.0)</f>
        <v>331</v>
      </c>
      <c r="G55" s="7" t="str">
        <f>IFERROR(__xludf.DUMMYFUNCTION("""COMPUTED_VALUE"""),"Sherwyn")</f>
        <v>Sherwyn</v>
      </c>
      <c r="H55" s="7"/>
      <c r="I55" s="7"/>
      <c r="J55" s="7"/>
      <c r="K55" s="7"/>
      <c r="L55" s="7"/>
      <c r="M55" s="7"/>
    </row>
    <row r="56">
      <c r="A56" s="11">
        <f>IFERROR(__xludf.DUMMYFUNCTION("""COMPUTED_VALUE"""),44845.774032152774)</f>
        <v>44845.77403</v>
      </c>
      <c r="B56" s="7"/>
      <c r="C56" s="7" t="str">
        <f>IFERROR(__xludf.DUMMYFUNCTION("""COMPUTED_VALUE"""),"Daytimers x Middle Of Nowhere")</f>
        <v>Daytimers x Middle Of Nowhere</v>
      </c>
      <c r="D56" s="14">
        <f>IFERROR(__xludf.DUMMYFUNCTION("""COMPUTED_VALUE"""),44744.0)</f>
        <v>44744</v>
      </c>
      <c r="E56" s="7" t="str">
        <f>IFERROR(__xludf.DUMMYFUNCTION("""COMPUTED_VALUE"""),"Large (Open Air Festival, Boiler Room Streaming)")</f>
        <v>Large (Open Air Festival, Boiler Room Streaming)</v>
      </c>
      <c r="F56" s="7">
        <f>IFERROR(__xludf.DUMMYFUNCTION("""COMPUTED_VALUE"""),334.0)</f>
        <v>334</v>
      </c>
      <c r="G56" s="7" t="str">
        <f>IFERROR(__xludf.DUMMYFUNCTION("""COMPUTED_VALUE"""),"Sherwyn")</f>
        <v>Sherwyn</v>
      </c>
      <c r="H56" s="7"/>
      <c r="I56" s="7"/>
      <c r="J56" s="7"/>
      <c r="K56" s="7"/>
      <c r="L56" s="7"/>
      <c r="M56" s="7"/>
    </row>
    <row r="57">
      <c r="A57" s="11">
        <f>IFERROR(__xludf.DUMMYFUNCTION("""COMPUTED_VALUE"""),44845.82568842593)</f>
        <v>44845.82569</v>
      </c>
      <c r="B57" s="7"/>
      <c r="C57" s="7" t="str">
        <f>IFERROR(__xludf.DUMMYFUNCTION("""COMPUTED_VALUE"""),"Daytimers x Middle Of Nowhere")</f>
        <v>Daytimers x Middle Of Nowhere</v>
      </c>
      <c r="D57" s="14">
        <f>IFERROR(__xludf.DUMMYFUNCTION("""COMPUTED_VALUE"""),44744.0)</f>
        <v>44744</v>
      </c>
      <c r="E57" s="7" t="str">
        <f>IFERROR(__xludf.DUMMYFUNCTION("""COMPUTED_VALUE"""),"Large (Open Air Festival, Boiler Room Streaming)")</f>
        <v>Large (Open Air Festival, Boiler Room Streaming)</v>
      </c>
      <c r="F57" s="7">
        <f>IFERROR(__xludf.DUMMYFUNCTION("""COMPUTED_VALUE"""),338.0)</f>
        <v>338</v>
      </c>
      <c r="G57" s="7" t="str">
        <f>IFERROR(__xludf.DUMMYFUNCTION("""COMPUTED_VALUE"""),"Sherwyn")</f>
        <v>Sherwyn</v>
      </c>
      <c r="H57" s="7"/>
      <c r="I57" s="7"/>
      <c r="J57" s="7"/>
      <c r="K57" s="7"/>
      <c r="L57" s="7"/>
      <c r="M57" s="7"/>
    </row>
    <row r="58">
      <c r="A58" s="11">
        <f>IFERROR(__xludf.DUMMYFUNCTION("""COMPUTED_VALUE"""),44845.82609635417)</f>
        <v>44845.8261</v>
      </c>
      <c r="B58" s="7"/>
      <c r="C58" s="7" t="str">
        <f>IFERROR(__xludf.DUMMYFUNCTION("""COMPUTED_VALUE"""),"Daytimers x Middle Of Nowhere (Mehfil)")</f>
        <v>Daytimers x Middle Of Nowhere (Mehfil)</v>
      </c>
      <c r="D58" s="14">
        <f>IFERROR(__xludf.DUMMYFUNCTION("""COMPUTED_VALUE"""),44744.0)</f>
        <v>44744</v>
      </c>
      <c r="E58" s="7" t="str">
        <f>IFERROR(__xludf.DUMMYFUNCTION("""COMPUTED_VALUE"""),"Large (Open Air Festival, Boiler Room Streaming)")</f>
        <v>Large (Open Air Festival, Boiler Room Streaming)</v>
      </c>
      <c r="F58" s="7">
        <f>IFERROR(__xludf.DUMMYFUNCTION("""COMPUTED_VALUE"""),292.0)</f>
        <v>292</v>
      </c>
      <c r="G58" s="7" t="str">
        <f>IFERROR(__xludf.DUMMYFUNCTION("""COMPUTED_VALUE"""),"Sherwyn")</f>
        <v>Sherwyn</v>
      </c>
      <c r="H58" s="7"/>
      <c r="I58" s="7"/>
      <c r="J58" s="7"/>
      <c r="K58" s="7"/>
      <c r="L58" s="7"/>
      <c r="M58" s="7"/>
    </row>
    <row r="59">
      <c r="A59" s="11">
        <f>IFERROR(__xludf.DUMMYFUNCTION("""COMPUTED_VALUE"""),44845.826476724535)</f>
        <v>44845.82648</v>
      </c>
      <c r="B59" s="7"/>
      <c r="C59" s="7" t="str">
        <f>IFERROR(__xludf.DUMMYFUNCTION("""COMPUTED_VALUE"""),"Daytimers x Middle Of Nowhere (Mehfil)")</f>
        <v>Daytimers x Middle Of Nowhere (Mehfil)</v>
      </c>
      <c r="D59" s="14">
        <f>IFERROR(__xludf.DUMMYFUNCTION("""COMPUTED_VALUE"""),44744.0)</f>
        <v>44744</v>
      </c>
      <c r="E59" s="7" t="str">
        <f>IFERROR(__xludf.DUMMYFUNCTION("""COMPUTED_VALUE"""),"Large (Open Air Festival, Boiler Room Streaming)")</f>
        <v>Large (Open Air Festival, Boiler Room Streaming)</v>
      </c>
      <c r="F59" s="7">
        <f>IFERROR(__xludf.DUMMYFUNCTION("""COMPUTED_VALUE"""),315.0)</f>
        <v>315</v>
      </c>
      <c r="G59" s="7" t="str">
        <f>IFERROR(__xludf.DUMMYFUNCTION("""COMPUTED_VALUE"""),"Sherwyn")</f>
        <v>Sherwyn</v>
      </c>
      <c r="H59" s="7"/>
      <c r="I59" s="7"/>
      <c r="J59" s="7"/>
      <c r="K59" s="7"/>
      <c r="L59" s="7"/>
      <c r="M59" s="7"/>
    </row>
    <row r="60">
      <c r="A60" s="11">
        <f>IFERROR(__xludf.DUMMYFUNCTION("""COMPUTED_VALUE"""),44845.82673523148)</f>
        <v>44845.82674</v>
      </c>
      <c r="B60" s="7"/>
      <c r="C60" s="7" t="str">
        <f>IFERROR(__xludf.DUMMYFUNCTION("""COMPUTED_VALUE"""),"Daytimers x Middle Of Nowhere (Mehfil)")</f>
        <v>Daytimers x Middle Of Nowhere (Mehfil)</v>
      </c>
      <c r="D60" s="14">
        <f>IFERROR(__xludf.DUMMYFUNCTION("""COMPUTED_VALUE"""),44744.0)</f>
        <v>44744</v>
      </c>
      <c r="E60" s="7" t="str">
        <f>IFERROR(__xludf.DUMMYFUNCTION("""COMPUTED_VALUE"""),"Large (Open Air Festival, Boiler Room Streaming)")</f>
        <v>Large (Open Air Festival, Boiler Room Streaming)</v>
      </c>
      <c r="F60" s="7">
        <f>IFERROR(__xludf.DUMMYFUNCTION("""COMPUTED_VALUE"""),216.0)</f>
        <v>216</v>
      </c>
      <c r="G60" s="7" t="str">
        <f>IFERROR(__xludf.DUMMYFUNCTION("""COMPUTED_VALUE"""),"Sherwyn")</f>
        <v>Sherwyn</v>
      </c>
      <c r="H60" s="7"/>
      <c r="I60" s="7"/>
      <c r="J60" s="7"/>
      <c r="K60" s="7"/>
      <c r="L60" s="7"/>
      <c r="M60" s="7"/>
    </row>
    <row r="61">
      <c r="A61" s="11">
        <f>IFERROR(__xludf.DUMMYFUNCTION("""COMPUTED_VALUE"""),44845.827080613424)</f>
        <v>44845.82708</v>
      </c>
      <c r="B61" s="7"/>
      <c r="C61" s="7" t="str">
        <f>IFERROR(__xludf.DUMMYFUNCTION("""COMPUTED_VALUE"""),"Daytimers x Middle Of Nowhere (Mehfil)")</f>
        <v>Daytimers x Middle Of Nowhere (Mehfil)</v>
      </c>
      <c r="D61" s="14">
        <f>IFERROR(__xludf.DUMMYFUNCTION("""COMPUTED_VALUE"""),44744.0)</f>
        <v>44744</v>
      </c>
      <c r="E61" s="7" t="str">
        <f>IFERROR(__xludf.DUMMYFUNCTION("""COMPUTED_VALUE"""),"Large (Open Air Festival, Boiler Room Streaming)")</f>
        <v>Large (Open Air Festival, Boiler Room Streaming)</v>
      </c>
      <c r="F61" s="7">
        <f>IFERROR(__xludf.DUMMYFUNCTION("""COMPUTED_VALUE"""),322.0)</f>
        <v>322</v>
      </c>
      <c r="G61" s="7" t="str">
        <f>IFERROR(__xludf.DUMMYFUNCTION("""COMPUTED_VALUE"""),"Sherwyn")</f>
        <v>Sherwyn</v>
      </c>
      <c r="H61" s="7"/>
      <c r="I61" s="7"/>
      <c r="J61" s="7"/>
      <c r="K61" s="7"/>
      <c r="L61" s="7"/>
      <c r="M61" s="7"/>
    </row>
    <row r="62">
      <c r="A62" s="11">
        <f>IFERROR(__xludf.DUMMYFUNCTION("""COMPUTED_VALUE"""),44845.82760892361)</f>
        <v>44845.82761</v>
      </c>
      <c r="B62" s="7"/>
      <c r="C62" s="7" t="str">
        <f>IFERROR(__xludf.DUMMYFUNCTION("""COMPUTED_VALUE"""),"Daytimers x SUP? Supper Club")</f>
        <v>Daytimers x SUP? Supper Club</v>
      </c>
      <c r="D62" s="14">
        <f>IFERROR(__xludf.DUMMYFUNCTION("""COMPUTED_VALUE"""),44675.0)</f>
        <v>44675</v>
      </c>
      <c r="E62" s="7" t="str">
        <f>IFERROR(__xludf.DUMMYFUNCTION("""COMPUTED_VALUE"""),"Small (Bar, Exhibitions, Charity Events, Restaurants)")</f>
        <v>Small (Bar, Exhibitions, Charity Events, Restaurants)</v>
      </c>
      <c r="F62" s="7">
        <f>IFERROR(__xludf.DUMMYFUNCTION("""COMPUTED_VALUE"""),266.0)</f>
        <v>266</v>
      </c>
      <c r="G62" s="7" t="str">
        <f>IFERROR(__xludf.DUMMYFUNCTION("""COMPUTED_VALUE"""),"Sherwyn")</f>
        <v>Sherwyn</v>
      </c>
      <c r="H62" s="7"/>
      <c r="I62" s="7"/>
      <c r="J62" s="7"/>
      <c r="K62" s="7"/>
      <c r="L62" s="7"/>
      <c r="M62" s="7"/>
    </row>
    <row r="63">
      <c r="A63" s="11">
        <f>IFERROR(__xludf.DUMMYFUNCTION("""COMPUTED_VALUE"""),44845.82806108796)</f>
        <v>44845.82806</v>
      </c>
      <c r="B63" s="7"/>
      <c r="C63" s="7" t="str">
        <f>IFERROR(__xludf.DUMMYFUNCTION("""COMPUTED_VALUE"""),"Daytimers x SUP? Supper Club")</f>
        <v>Daytimers x SUP? Supper Club</v>
      </c>
      <c r="D63" s="14">
        <f>IFERROR(__xludf.DUMMYFUNCTION("""COMPUTED_VALUE"""),44675.0)</f>
        <v>44675</v>
      </c>
      <c r="E63" s="7" t="str">
        <f>IFERROR(__xludf.DUMMYFUNCTION("""COMPUTED_VALUE"""),"Small (Bar, Exhibitions, Charity Events, Restaurants)")</f>
        <v>Small (Bar, Exhibitions, Charity Events, Restaurants)</v>
      </c>
      <c r="F63" s="7">
        <f>IFERROR(__xludf.DUMMYFUNCTION("""COMPUTED_VALUE"""),283.0)</f>
        <v>283</v>
      </c>
      <c r="G63" s="7" t="str">
        <f>IFERROR(__xludf.DUMMYFUNCTION("""COMPUTED_VALUE"""),"Sherwyn")</f>
        <v>Sherwyn</v>
      </c>
      <c r="H63" s="7"/>
      <c r="I63" s="7"/>
      <c r="J63" s="7"/>
      <c r="K63" s="7"/>
      <c r="L63" s="7"/>
      <c r="M63" s="7"/>
    </row>
    <row r="64">
      <c r="A64" s="11">
        <f>IFERROR(__xludf.DUMMYFUNCTION("""COMPUTED_VALUE"""),44845.82839549768)</f>
        <v>44845.8284</v>
      </c>
      <c r="B64" s="7"/>
      <c r="C64" s="7" t="str">
        <f>IFERROR(__xludf.DUMMYFUNCTION("""COMPUTED_VALUE"""),"Daytimers x SUP? Supper Club")</f>
        <v>Daytimers x SUP? Supper Club</v>
      </c>
      <c r="D64" s="14">
        <f>IFERROR(__xludf.DUMMYFUNCTION("""COMPUTED_VALUE"""),44675.0)</f>
        <v>44675</v>
      </c>
      <c r="E64" s="7" t="str">
        <f>IFERROR(__xludf.DUMMYFUNCTION("""COMPUTED_VALUE"""),"Small (Bar, Exhibitions, Charity Events, Restaurants)")</f>
        <v>Small (Bar, Exhibitions, Charity Events, Restaurants)</v>
      </c>
      <c r="F64" s="7">
        <f>IFERROR(__xludf.DUMMYFUNCTION("""COMPUTED_VALUE"""),332.0)</f>
        <v>332</v>
      </c>
      <c r="G64" s="7" t="str">
        <f>IFERROR(__xludf.DUMMYFUNCTION("""COMPUTED_VALUE"""),"Sherwyn")</f>
        <v>Sherwyn</v>
      </c>
      <c r="H64" s="7"/>
      <c r="I64" s="7"/>
      <c r="J64" s="7"/>
      <c r="K64" s="7"/>
      <c r="L64" s="7"/>
      <c r="M64" s="7"/>
    </row>
    <row r="65">
      <c r="A65" s="11">
        <f>IFERROR(__xludf.DUMMYFUNCTION("""COMPUTED_VALUE"""),44845.828705625005)</f>
        <v>44845.82871</v>
      </c>
      <c r="B65" s="7"/>
      <c r="C65" s="7" t="str">
        <f>IFERROR(__xludf.DUMMYFUNCTION("""COMPUTED_VALUE"""),"Daytimers: Going South")</f>
        <v>Daytimers: Going South</v>
      </c>
      <c r="D65" s="14">
        <f>IFERROR(__xludf.DUMMYFUNCTION("""COMPUTED_VALUE"""),44780.0)</f>
        <v>44780</v>
      </c>
      <c r="E65" s="7" t="str">
        <f>IFERROR(__xludf.DUMMYFUNCTION("""COMPUTED_VALUE"""),"Medium (Medium Sized Club, Corsica, Fabric etc)")</f>
        <v>Medium (Medium Sized Club, Corsica, Fabric etc)</v>
      </c>
      <c r="F65" s="7">
        <f>IFERROR(__xludf.DUMMYFUNCTION("""COMPUTED_VALUE"""),268.0)</f>
        <v>268</v>
      </c>
      <c r="G65" s="7" t="str">
        <f>IFERROR(__xludf.DUMMYFUNCTION("""COMPUTED_VALUE"""),"Sherwyn")</f>
        <v>Sherwyn</v>
      </c>
      <c r="H65" s="7"/>
      <c r="I65" s="7"/>
      <c r="J65" s="7"/>
      <c r="K65" s="7"/>
      <c r="L65" s="7"/>
      <c r="M65" s="7"/>
    </row>
    <row r="66">
      <c r="A66" s="11">
        <f>IFERROR(__xludf.DUMMYFUNCTION("""COMPUTED_VALUE"""),44845.82892957176)</f>
        <v>44845.82893</v>
      </c>
      <c r="B66" s="7"/>
      <c r="C66" s="7" t="str">
        <f>IFERROR(__xludf.DUMMYFUNCTION("""COMPUTED_VALUE"""),"Daytimers: Going South")</f>
        <v>Daytimers: Going South</v>
      </c>
      <c r="D66" s="14">
        <f>IFERROR(__xludf.DUMMYFUNCTION("""COMPUTED_VALUE"""),44800.0)</f>
        <v>44800</v>
      </c>
      <c r="E66" s="7" t="str">
        <f>IFERROR(__xludf.DUMMYFUNCTION("""COMPUTED_VALUE"""),"Medium (Medium Sized Club, Corsica, Fabric etc)")</f>
        <v>Medium (Medium Sized Club, Corsica, Fabric etc)</v>
      </c>
      <c r="F66" s="7">
        <f>IFERROR(__xludf.DUMMYFUNCTION("""COMPUTED_VALUE"""),257.0)</f>
        <v>257</v>
      </c>
      <c r="G66" s="7" t="str">
        <f>IFERROR(__xludf.DUMMYFUNCTION("""COMPUTED_VALUE"""),"Sherwyn")</f>
        <v>Sherwyn</v>
      </c>
      <c r="H66" s="7"/>
      <c r="I66" s="7"/>
      <c r="J66" s="7"/>
      <c r="K66" s="7"/>
      <c r="L66" s="7"/>
      <c r="M66" s="7"/>
    </row>
    <row r="67">
      <c r="A67" s="11">
        <f>IFERROR(__xludf.DUMMYFUNCTION("""COMPUTED_VALUE"""),44845.83002196759)</f>
        <v>44845.83002</v>
      </c>
      <c r="B67" s="7"/>
      <c r="C67" s="7" t="str">
        <f>IFERROR(__xludf.DUMMYFUNCTION("""COMPUTED_VALUE"""),"Daytimers: Going South")</f>
        <v>Daytimers: Going South</v>
      </c>
      <c r="D67" s="14">
        <f>IFERROR(__xludf.DUMMYFUNCTION("""COMPUTED_VALUE"""),44800.0)</f>
        <v>44800</v>
      </c>
      <c r="E67" s="7" t="str">
        <f>IFERROR(__xludf.DUMMYFUNCTION("""COMPUTED_VALUE"""),"Medium (Medium Sized Club, Corsica, Fabric etc)")</f>
        <v>Medium (Medium Sized Club, Corsica, Fabric etc)</v>
      </c>
      <c r="F67" s="7">
        <f>IFERROR(__xludf.DUMMYFUNCTION("""COMPUTED_VALUE"""),218.0)</f>
        <v>218</v>
      </c>
      <c r="G67" s="7" t="str">
        <f>IFERROR(__xludf.DUMMYFUNCTION("""COMPUTED_VALUE"""),"Sherwyn")</f>
        <v>Sherwyn</v>
      </c>
      <c r="H67" s="7"/>
      <c r="I67" s="7"/>
      <c r="J67" s="7"/>
      <c r="K67" s="7"/>
      <c r="L67" s="7"/>
      <c r="M67" s="7"/>
    </row>
    <row r="68">
      <c r="A68" s="11">
        <f>IFERROR(__xludf.DUMMYFUNCTION("""COMPUTED_VALUE"""),44845.83035341435)</f>
        <v>44845.83035</v>
      </c>
      <c r="B68" s="7"/>
      <c r="C68" s="7" t="str">
        <f>IFERROR(__xludf.DUMMYFUNCTION("""COMPUTED_VALUE"""),"Daytimers: Going South")</f>
        <v>Daytimers: Going South</v>
      </c>
      <c r="D68" s="14">
        <f>IFERROR(__xludf.DUMMYFUNCTION("""COMPUTED_VALUE"""),44800.0)</f>
        <v>44800</v>
      </c>
      <c r="E68" s="7" t="str">
        <f>IFERROR(__xludf.DUMMYFUNCTION("""COMPUTED_VALUE"""),"Medium (Medium Sized Club, Corsica, Fabric etc)")</f>
        <v>Medium (Medium Sized Club, Corsica, Fabric etc)</v>
      </c>
      <c r="F68" s="7">
        <f>IFERROR(__xludf.DUMMYFUNCTION("""COMPUTED_VALUE"""),223.0)</f>
        <v>223</v>
      </c>
      <c r="G68" s="7" t="str">
        <f>IFERROR(__xludf.DUMMYFUNCTION("""COMPUTED_VALUE"""),"Sherwyn")</f>
        <v>Sherwyn</v>
      </c>
      <c r="H68" s="7"/>
      <c r="I68" s="7"/>
      <c r="J68" s="7"/>
      <c r="K68" s="7"/>
      <c r="L68" s="7"/>
      <c r="M68" s="7"/>
    </row>
    <row r="69">
      <c r="A69" s="11">
        <f>IFERROR(__xludf.DUMMYFUNCTION("""COMPUTED_VALUE"""),44845.83059182871)</f>
        <v>44845.83059</v>
      </c>
      <c r="B69" s="7"/>
      <c r="C69" s="7" t="str">
        <f>IFERROR(__xludf.DUMMYFUNCTION("""COMPUTED_VALUE"""),"Daytimers: Going South")</f>
        <v>Daytimers: Going South</v>
      </c>
      <c r="D69" s="14">
        <f>IFERROR(__xludf.DUMMYFUNCTION("""COMPUTED_VALUE"""),44800.0)</f>
        <v>44800</v>
      </c>
      <c r="E69" s="7" t="str">
        <f>IFERROR(__xludf.DUMMYFUNCTION("""COMPUTED_VALUE"""),"Medium (Medium Sized Club, Corsica, Fabric etc)")</f>
        <v>Medium (Medium Sized Club, Corsica, Fabric etc)</v>
      </c>
      <c r="F69" s="7">
        <f>IFERROR(__xludf.DUMMYFUNCTION("""COMPUTED_VALUE"""),310.0)</f>
        <v>310</v>
      </c>
      <c r="G69" s="7" t="str">
        <f>IFERROR(__xludf.DUMMYFUNCTION("""COMPUTED_VALUE"""),"Sherwyn")</f>
        <v>Sherwyn</v>
      </c>
      <c r="H69" s="7"/>
      <c r="I69" s="7"/>
      <c r="J69" s="7"/>
      <c r="K69" s="7"/>
      <c r="L69" s="7"/>
      <c r="M69" s="7"/>
    </row>
    <row r="70">
      <c r="A70" s="11">
        <f>IFERROR(__xludf.DUMMYFUNCTION("""COMPUTED_VALUE"""),44845.83086060185)</f>
        <v>44845.83086</v>
      </c>
      <c r="B70" s="7"/>
      <c r="C70" s="7" t="str">
        <f>IFERROR(__xludf.DUMMYFUNCTION("""COMPUTED_VALUE"""),"Daytimers: Going South")</f>
        <v>Daytimers: Going South</v>
      </c>
      <c r="D70" s="14">
        <f>IFERROR(__xludf.DUMMYFUNCTION("""COMPUTED_VALUE"""),44800.0)</f>
        <v>44800</v>
      </c>
      <c r="E70" s="7" t="str">
        <f>IFERROR(__xludf.DUMMYFUNCTION("""COMPUTED_VALUE"""),"Medium (Medium Sized Club, Corsica, Fabric etc)")</f>
        <v>Medium (Medium Sized Club, Corsica, Fabric etc)</v>
      </c>
      <c r="F70" s="7">
        <f>IFERROR(__xludf.DUMMYFUNCTION("""COMPUTED_VALUE"""),329.0)</f>
        <v>329</v>
      </c>
      <c r="G70" s="7" t="str">
        <f>IFERROR(__xludf.DUMMYFUNCTION("""COMPUTED_VALUE"""),"Sherwyn")</f>
        <v>Sherwyn</v>
      </c>
      <c r="H70" s="7"/>
      <c r="I70" s="7"/>
      <c r="J70" s="7"/>
      <c r="K70" s="7"/>
      <c r="L70" s="7"/>
      <c r="M70" s="7"/>
    </row>
    <row r="71">
      <c r="A71" s="11">
        <f>IFERROR(__xludf.DUMMYFUNCTION("""COMPUTED_VALUE"""),44845.83110548612)</f>
        <v>44845.83111</v>
      </c>
      <c r="B71" s="7"/>
      <c r="C71" s="7" t="str">
        <f>IFERROR(__xludf.DUMMYFUNCTION("""COMPUTED_VALUE"""),"Daytimers: Going South")</f>
        <v>Daytimers: Going South</v>
      </c>
      <c r="D71" s="14">
        <f>IFERROR(__xludf.DUMMYFUNCTION("""COMPUTED_VALUE"""),44800.0)</f>
        <v>44800</v>
      </c>
      <c r="E71" s="7" t="str">
        <f>IFERROR(__xludf.DUMMYFUNCTION("""COMPUTED_VALUE"""),"Medium (Medium Sized Club, Corsica, Fabric etc)")</f>
        <v>Medium (Medium Sized Club, Corsica, Fabric etc)</v>
      </c>
      <c r="F71" s="7">
        <f>IFERROR(__xludf.DUMMYFUNCTION("""COMPUTED_VALUE"""),211.0)</f>
        <v>211</v>
      </c>
      <c r="G71" s="7" t="str">
        <f>IFERROR(__xludf.DUMMYFUNCTION("""COMPUTED_VALUE"""),"Sherwyn")</f>
        <v>Sherwyn</v>
      </c>
      <c r="H71" s="7"/>
      <c r="I71" s="7"/>
      <c r="J71" s="7"/>
      <c r="K71" s="7"/>
      <c r="L71" s="7"/>
      <c r="M71" s="7"/>
    </row>
    <row r="72">
      <c r="A72" s="11">
        <f>IFERROR(__xludf.DUMMYFUNCTION("""COMPUTED_VALUE"""),44845.83609106481)</f>
        <v>44845.83609</v>
      </c>
      <c r="B72" s="7"/>
      <c r="C72" s="7" t="str">
        <f>IFERROR(__xludf.DUMMYFUNCTION("""COMPUTED_VALUE"""),"Keep Hush: Eastern Margins x Daytimers")</f>
        <v>Keep Hush: Eastern Margins x Daytimers</v>
      </c>
      <c r="D72" s="14">
        <f>IFERROR(__xludf.DUMMYFUNCTION("""COMPUTED_VALUE"""),44505.0)</f>
        <v>44505</v>
      </c>
      <c r="E72" s="7" t="str">
        <f>IFERROR(__xludf.DUMMYFUNCTION("""COMPUTED_VALUE"""),"Medium (Medium Sized Club, Corsica, Fabric etc)")</f>
        <v>Medium (Medium Sized Club, Corsica, Fabric etc)</v>
      </c>
      <c r="F72" s="7">
        <f>IFERROR(__xludf.DUMMYFUNCTION("""COMPUTED_VALUE"""),280.0)</f>
        <v>280</v>
      </c>
      <c r="G72" s="7" t="str">
        <f>IFERROR(__xludf.DUMMYFUNCTION("""COMPUTED_VALUE"""),"Sherwyn")</f>
        <v>Sherwyn</v>
      </c>
      <c r="H72" s="7"/>
      <c r="I72" s="7"/>
      <c r="J72" s="7"/>
      <c r="K72" s="7"/>
      <c r="L72" s="7"/>
      <c r="M72" s="7"/>
    </row>
    <row r="73">
      <c r="A73" s="11">
        <f>IFERROR(__xludf.DUMMYFUNCTION("""COMPUTED_VALUE"""),44845.836353101855)</f>
        <v>44845.83635</v>
      </c>
      <c r="B73" s="7"/>
      <c r="C73" s="7" t="str">
        <f>IFERROR(__xludf.DUMMYFUNCTION("""COMPUTED_VALUE"""),"Keep Hush: Eastern Margins x Daytimers")</f>
        <v>Keep Hush: Eastern Margins x Daytimers</v>
      </c>
      <c r="D73" s="14">
        <f>IFERROR(__xludf.DUMMYFUNCTION("""COMPUTED_VALUE"""),44505.0)</f>
        <v>44505</v>
      </c>
      <c r="E73" s="7" t="str">
        <f>IFERROR(__xludf.DUMMYFUNCTION("""COMPUTED_VALUE"""),"Medium (Medium Sized Club, Corsica, Fabric etc)")</f>
        <v>Medium (Medium Sized Club, Corsica, Fabric etc)</v>
      </c>
      <c r="F73" s="7">
        <f>IFERROR(__xludf.DUMMYFUNCTION("""COMPUTED_VALUE"""),293.0)</f>
        <v>293</v>
      </c>
      <c r="G73" s="7" t="str">
        <f>IFERROR(__xludf.DUMMYFUNCTION("""COMPUTED_VALUE"""),"Sherwyn")</f>
        <v>Sherwyn</v>
      </c>
      <c r="H73" s="7"/>
      <c r="I73" s="7"/>
      <c r="J73" s="7"/>
      <c r="K73" s="7"/>
      <c r="L73" s="7"/>
      <c r="M73" s="7"/>
    </row>
    <row r="74">
      <c r="A74" s="11">
        <f>IFERROR(__xludf.DUMMYFUNCTION("""COMPUTED_VALUE"""),44845.836625219905)</f>
        <v>44845.83663</v>
      </c>
      <c r="B74" s="7"/>
      <c r="C74" s="7" t="str">
        <f>IFERROR(__xludf.DUMMYFUNCTION("""COMPUTED_VALUE"""),"Keep Hush: Eastern Margins x Daytimers")</f>
        <v>Keep Hush: Eastern Margins x Daytimers</v>
      </c>
      <c r="D74" s="14">
        <f>IFERROR(__xludf.DUMMYFUNCTION("""COMPUTED_VALUE"""),44505.0)</f>
        <v>44505</v>
      </c>
      <c r="E74" s="7" t="str">
        <f>IFERROR(__xludf.DUMMYFUNCTION("""COMPUTED_VALUE"""),"Medium (Medium Sized Club, Corsica, Fabric etc)")</f>
        <v>Medium (Medium Sized Club, Corsica, Fabric etc)</v>
      </c>
      <c r="F74" s="7">
        <f>IFERROR(__xludf.DUMMYFUNCTION("""COMPUTED_VALUE"""),222.0)</f>
        <v>222</v>
      </c>
      <c r="G74" s="7" t="str">
        <f>IFERROR(__xludf.DUMMYFUNCTION("""COMPUTED_VALUE"""),"Sherwyn")</f>
        <v>Sherwyn</v>
      </c>
      <c r="H74" s="7"/>
      <c r="I74" s="7"/>
      <c r="J74" s="7"/>
      <c r="K74" s="7"/>
      <c r="L74" s="7"/>
      <c r="M74" s="7"/>
    </row>
    <row r="75">
      <c r="A75" s="11">
        <f>IFERROR(__xludf.DUMMYFUNCTION("""COMPUTED_VALUE"""),44845.836854560184)</f>
        <v>44845.83685</v>
      </c>
      <c r="B75" s="7"/>
      <c r="C75" s="7" t="str">
        <f>IFERROR(__xludf.DUMMYFUNCTION("""COMPUTED_VALUE"""),"Keep Hush: Eastern Margins x Daytimers")</f>
        <v>Keep Hush: Eastern Margins x Daytimers</v>
      </c>
      <c r="D75" s="14">
        <f>IFERROR(__xludf.DUMMYFUNCTION("""COMPUTED_VALUE"""),44505.0)</f>
        <v>44505</v>
      </c>
      <c r="E75" s="7" t="str">
        <f>IFERROR(__xludf.DUMMYFUNCTION("""COMPUTED_VALUE"""),"Medium (Medium Sized Club, Corsica, Fabric etc)")</f>
        <v>Medium (Medium Sized Club, Corsica, Fabric etc)</v>
      </c>
      <c r="F75" s="7">
        <f>IFERROR(__xludf.DUMMYFUNCTION("""COMPUTED_VALUE"""),312.0)</f>
        <v>312</v>
      </c>
      <c r="G75" s="7" t="str">
        <f>IFERROR(__xludf.DUMMYFUNCTION("""COMPUTED_VALUE"""),"Sherwyn")</f>
        <v>Sherwyn</v>
      </c>
      <c r="H75" s="7"/>
      <c r="I75" s="7"/>
      <c r="J75" s="7"/>
      <c r="K75" s="7"/>
      <c r="L75" s="7"/>
      <c r="M75" s="7"/>
    </row>
    <row r="76">
      <c r="A76" s="11">
        <f>IFERROR(__xludf.DUMMYFUNCTION("""COMPUTED_VALUE"""),44845.83711359954)</f>
        <v>44845.83711</v>
      </c>
      <c r="B76" s="7"/>
      <c r="C76" s="7" t="str">
        <f>IFERROR(__xludf.DUMMYFUNCTION("""COMPUTED_VALUE"""),"Keep Hush: Eastern Margins x Daytimers")</f>
        <v>Keep Hush: Eastern Margins x Daytimers</v>
      </c>
      <c r="D76" s="14">
        <f>IFERROR(__xludf.DUMMYFUNCTION("""COMPUTED_VALUE"""),44505.0)</f>
        <v>44505</v>
      </c>
      <c r="E76" s="7" t="str">
        <f>IFERROR(__xludf.DUMMYFUNCTION("""COMPUTED_VALUE"""),"Medium (Medium Sized Club, Corsica, Fabric etc)")</f>
        <v>Medium (Medium Sized Club, Corsica, Fabric etc)</v>
      </c>
      <c r="F76" s="7">
        <f>IFERROR(__xludf.DUMMYFUNCTION("""COMPUTED_VALUE"""),203.0)</f>
        <v>203</v>
      </c>
      <c r="G76" s="7" t="str">
        <f>IFERROR(__xludf.DUMMYFUNCTION("""COMPUTED_VALUE"""),"Sherwyn")</f>
        <v>Sherwyn</v>
      </c>
      <c r="H76" s="7"/>
      <c r="I76" s="7"/>
      <c r="J76" s="7"/>
      <c r="K76" s="7"/>
      <c r="L76" s="7"/>
      <c r="M76" s="7"/>
    </row>
    <row r="77">
      <c r="A77" s="11">
        <f>IFERROR(__xludf.DUMMYFUNCTION("""COMPUTED_VALUE"""),44845.83735856481)</f>
        <v>44845.83736</v>
      </c>
      <c r="B77" s="7"/>
      <c r="C77" s="7" t="str">
        <f>IFERROR(__xludf.DUMMYFUNCTION("""COMPUTED_VALUE"""),"Keep Hush: Eastern Margins x Daytimers")</f>
        <v>Keep Hush: Eastern Margins x Daytimers</v>
      </c>
      <c r="D77" s="14">
        <f>IFERROR(__xludf.DUMMYFUNCTION("""COMPUTED_VALUE"""),44505.0)</f>
        <v>44505</v>
      </c>
      <c r="E77" s="7" t="str">
        <f>IFERROR(__xludf.DUMMYFUNCTION("""COMPUTED_VALUE"""),"Medium (Medium Sized Club, Corsica, Fabric etc)")</f>
        <v>Medium (Medium Sized Club, Corsica, Fabric etc)</v>
      </c>
      <c r="F77" s="7">
        <f>IFERROR(__xludf.DUMMYFUNCTION("""COMPUTED_VALUE"""),336.0)</f>
        <v>336</v>
      </c>
      <c r="G77" s="7" t="str">
        <f>IFERROR(__xludf.DUMMYFUNCTION("""COMPUTED_VALUE"""),"Sherwyn")</f>
        <v>Sherwyn</v>
      </c>
      <c r="H77" s="7"/>
      <c r="I77" s="7"/>
      <c r="J77" s="7"/>
      <c r="K77" s="7"/>
      <c r="L77" s="7"/>
      <c r="M77" s="7"/>
    </row>
    <row r="78">
      <c r="A78" s="11">
        <f>IFERROR(__xludf.DUMMYFUNCTION("""COMPUTED_VALUE"""),44845.83803675926)</f>
        <v>44845.83804</v>
      </c>
      <c r="B78" s="7"/>
      <c r="C78" s="7" t="str">
        <f>IFERROR(__xludf.DUMMYFUNCTION("""COMPUTED_VALUE"""),"FABRICLIVE: Daytimers Presents")</f>
        <v>FABRICLIVE: Daytimers Presents</v>
      </c>
      <c r="D78" s="14">
        <f>IFERROR(__xludf.DUMMYFUNCTION("""COMPUTED_VALUE"""),44477.0)</f>
        <v>44477</v>
      </c>
      <c r="E78" s="7" t="str">
        <f>IFERROR(__xludf.DUMMYFUNCTION("""COMPUTED_VALUE"""),"Medium (Medium Sized Club, Corsica, Fabric etc)")</f>
        <v>Medium (Medium Sized Club, Corsica, Fabric etc)</v>
      </c>
      <c r="F78" s="7">
        <f>IFERROR(__xludf.DUMMYFUNCTION("""COMPUTED_VALUE"""),278.0)</f>
        <v>278</v>
      </c>
      <c r="G78" s="7" t="str">
        <f>IFERROR(__xludf.DUMMYFUNCTION("""COMPUTED_VALUE"""),"Sherwyn")</f>
        <v>Sherwyn</v>
      </c>
      <c r="H78" s="7"/>
      <c r="I78" s="7"/>
      <c r="J78" s="7"/>
      <c r="K78" s="7"/>
      <c r="L78" s="7"/>
      <c r="M78" s="7"/>
    </row>
    <row r="79">
      <c r="A79" s="11">
        <f>IFERROR(__xludf.DUMMYFUNCTION("""COMPUTED_VALUE"""),44845.83842248842)</f>
        <v>44845.83842</v>
      </c>
      <c r="B79" s="7"/>
      <c r="C79" s="7" t="str">
        <f>IFERROR(__xludf.DUMMYFUNCTION("""COMPUTED_VALUE"""),"FABRICLIVE: Daytimers Presents")</f>
        <v>FABRICLIVE: Daytimers Presents</v>
      </c>
      <c r="D79" s="14">
        <f>IFERROR(__xludf.DUMMYFUNCTION("""COMPUTED_VALUE"""),44477.0)</f>
        <v>44477</v>
      </c>
      <c r="E79" s="7" t="str">
        <f>IFERROR(__xludf.DUMMYFUNCTION("""COMPUTED_VALUE"""),"Medium (Medium Sized Club, Corsica, Fabric etc)")</f>
        <v>Medium (Medium Sized Club, Corsica, Fabric etc)</v>
      </c>
      <c r="F79" s="7">
        <f>IFERROR(__xludf.DUMMYFUNCTION("""COMPUTED_VALUE"""),209.0)</f>
        <v>209</v>
      </c>
      <c r="G79" s="7" t="str">
        <f>IFERROR(__xludf.DUMMYFUNCTION("""COMPUTED_VALUE"""),"Sherwyn")</f>
        <v>Sherwyn</v>
      </c>
      <c r="H79" s="7"/>
      <c r="I79" s="7"/>
      <c r="J79" s="7"/>
      <c r="K79" s="7"/>
      <c r="L79" s="7"/>
      <c r="M79" s="7"/>
    </row>
    <row r="80">
      <c r="A80" s="11">
        <f>IFERROR(__xludf.DUMMYFUNCTION("""COMPUTED_VALUE"""),44845.838676238425)</f>
        <v>44845.83868</v>
      </c>
      <c r="B80" s="7"/>
      <c r="C80" s="7" t="str">
        <f>IFERROR(__xludf.DUMMYFUNCTION("""COMPUTED_VALUE"""),"FABRICLIVE: Daytimers Presents")</f>
        <v>FABRICLIVE: Daytimers Presents</v>
      </c>
      <c r="D80" s="14">
        <f>IFERROR(__xludf.DUMMYFUNCTION("""COMPUTED_VALUE"""),44477.0)</f>
        <v>44477</v>
      </c>
      <c r="E80" s="7" t="str">
        <f>IFERROR(__xludf.DUMMYFUNCTION("""COMPUTED_VALUE"""),"Medium (Medium Sized Club, Corsica, Fabric etc)")</f>
        <v>Medium (Medium Sized Club, Corsica, Fabric etc)</v>
      </c>
      <c r="F80" s="7">
        <f>IFERROR(__xludf.DUMMYFUNCTION("""COMPUTED_VALUE"""),316.0)</f>
        <v>316</v>
      </c>
      <c r="G80" s="7" t="str">
        <f>IFERROR(__xludf.DUMMYFUNCTION("""COMPUTED_VALUE"""),"Sherwyn")</f>
        <v>Sherwyn</v>
      </c>
      <c r="H80" s="7"/>
      <c r="I80" s="7"/>
      <c r="J80" s="7"/>
      <c r="K80" s="7"/>
      <c r="L80" s="7"/>
      <c r="M80" s="7"/>
    </row>
    <row r="81">
      <c r="A81" s="11">
        <f>IFERROR(__xludf.DUMMYFUNCTION("""COMPUTED_VALUE"""),44845.83892790509)</f>
        <v>44845.83893</v>
      </c>
      <c r="B81" s="7"/>
      <c r="C81" s="7" t="str">
        <f>IFERROR(__xludf.DUMMYFUNCTION("""COMPUTED_VALUE"""),"FABRICLIVE: Daytimers Presents")</f>
        <v>FABRICLIVE: Daytimers Presents</v>
      </c>
      <c r="D81" s="14">
        <f>IFERROR(__xludf.DUMMYFUNCTION("""COMPUTED_VALUE"""),44477.0)</f>
        <v>44477</v>
      </c>
      <c r="E81" s="7" t="str">
        <f>IFERROR(__xludf.DUMMYFUNCTION("""COMPUTED_VALUE"""),"Medium (Medium Sized Club, Corsica, Fabric etc)")</f>
        <v>Medium (Medium Sized Club, Corsica, Fabric etc)</v>
      </c>
      <c r="F81" s="7">
        <f>IFERROR(__xludf.DUMMYFUNCTION("""COMPUTED_VALUE"""),316.0)</f>
        <v>316</v>
      </c>
      <c r="G81" s="7" t="str">
        <f>IFERROR(__xludf.DUMMYFUNCTION("""COMPUTED_VALUE"""),"Sherwyn")</f>
        <v>Sherwyn</v>
      </c>
      <c r="H81" s="7"/>
      <c r="I81" s="7"/>
      <c r="J81" s="7"/>
      <c r="K81" s="7"/>
      <c r="L81" s="7"/>
      <c r="M81" s="7"/>
    </row>
    <row r="82">
      <c r="A82" s="11">
        <f>IFERROR(__xludf.DUMMYFUNCTION("""COMPUTED_VALUE"""),44845.83940142361)</f>
        <v>44845.8394</v>
      </c>
      <c r="B82" s="7"/>
      <c r="C82" s="7" t="str">
        <f>IFERROR(__xludf.DUMMYFUNCTION("""COMPUTED_VALUE"""),"FABRICLIVE: Daytimers Presents")</f>
        <v>FABRICLIVE: Daytimers Presents</v>
      </c>
      <c r="D82" s="14">
        <f>IFERROR(__xludf.DUMMYFUNCTION("""COMPUTED_VALUE"""),44477.0)</f>
        <v>44477</v>
      </c>
      <c r="E82" s="7" t="str">
        <f>IFERROR(__xludf.DUMMYFUNCTION("""COMPUTED_VALUE"""),"Medium (Medium Sized Club, Corsica, Fabric etc)")</f>
        <v>Medium (Medium Sized Club, Corsica, Fabric etc)</v>
      </c>
      <c r="F82" s="7">
        <f>IFERROR(__xludf.DUMMYFUNCTION("""COMPUTED_VALUE"""),339.0)</f>
        <v>339</v>
      </c>
      <c r="G82" s="7" t="str">
        <f>IFERROR(__xludf.DUMMYFUNCTION("""COMPUTED_VALUE"""),"Sherwyn")</f>
        <v>Sherwyn</v>
      </c>
      <c r="H82" s="7"/>
      <c r="I82" s="7"/>
      <c r="J82" s="7"/>
      <c r="K82" s="7"/>
      <c r="L82" s="7"/>
      <c r="M82" s="7"/>
    </row>
    <row r="83">
      <c r="A83" s="11">
        <f>IFERROR(__xludf.DUMMYFUNCTION("""COMPUTED_VALUE"""),44845.839701840276)</f>
        <v>44845.8397</v>
      </c>
      <c r="B83" s="7"/>
      <c r="C83" s="7" t="str">
        <f>IFERROR(__xludf.DUMMYFUNCTION("""COMPUTED_VALUE"""),"Field Maneuvers 2022")</f>
        <v>Field Maneuvers 2022</v>
      </c>
      <c r="D83" s="14">
        <f>IFERROR(__xludf.DUMMYFUNCTION("""COMPUTED_VALUE"""),44806.0)</f>
        <v>44806</v>
      </c>
      <c r="E83" s="7" t="str">
        <f>IFERROR(__xludf.DUMMYFUNCTION("""COMPUTED_VALUE"""),"Medium (Medium Sized Club, Corsica, Fabric etc)")</f>
        <v>Medium (Medium Sized Club, Corsica, Fabric etc)</v>
      </c>
      <c r="F83" s="7">
        <f>IFERROR(__xludf.DUMMYFUNCTION("""COMPUTED_VALUE"""),265.0)</f>
        <v>265</v>
      </c>
      <c r="G83" s="7" t="str">
        <f>IFERROR(__xludf.DUMMYFUNCTION("""COMPUTED_VALUE"""),"Sherwyn")</f>
        <v>Sherwyn</v>
      </c>
      <c r="H83" s="7"/>
      <c r="I83" s="7"/>
      <c r="J83" s="7"/>
      <c r="K83" s="7"/>
      <c r="L83" s="7"/>
      <c r="M83" s="7"/>
    </row>
    <row r="84">
      <c r="A84" s="11">
        <f>IFERROR(__xludf.DUMMYFUNCTION("""COMPUTED_VALUE"""),44845.841227199075)</f>
        <v>44845.84123</v>
      </c>
      <c r="B84" s="7"/>
      <c r="C84" s="7" t="str">
        <f>IFERROR(__xludf.DUMMYFUNCTION("""COMPUTED_VALUE"""),"Field Maneuvers 2022")</f>
        <v>Field Maneuvers 2022</v>
      </c>
      <c r="D84" s="14">
        <f>IFERROR(__xludf.DUMMYFUNCTION("""COMPUTED_VALUE"""),44806.0)</f>
        <v>44806</v>
      </c>
      <c r="E84" s="7" t="str">
        <f>IFERROR(__xludf.DUMMYFUNCTION("""COMPUTED_VALUE"""),"Medium (Medium Sized Club, Corsica, Fabric etc)")</f>
        <v>Medium (Medium Sized Club, Corsica, Fabric etc)</v>
      </c>
      <c r="F84" s="7">
        <f>IFERROR(__xludf.DUMMYFUNCTION("""COMPUTED_VALUE"""),210.0)</f>
        <v>210</v>
      </c>
      <c r="G84" s="7" t="str">
        <f>IFERROR(__xludf.DUMMYFUNCTION("""COMPUTED_VALUE"""),"Sherwyn")</f>
        <v>Sherwyn</v>
      </c>
      <c r="H84" s="7"/>
      <c r="I84" s="7"/>
      <c r="J84" s="7"/>
      <c r="K84" s="7"/>
      <c r="L84" s="7"/>
      <c r="M84" s="7"/>
    </row>
    <row r="85">
      <c r="A85" s="11">
        <f>IFERROR(__xludf.DUMMYFUNCTION("""COMPUTED_VALUE"""),44845.84137921296)</f>
        <v>44845.84138</v>
      </c>
      <c r="B85" s="7"/>
      <c r="C85" s="7" t="str">
        <f>IFERROR(__xludf.DUMMYFUNCTION("""COMPUTED_VALUE"""),"Field Maneuvers 2022")</f>
        <v>Field Maneuvers 2022</v>
      </c>
      <c r="D85" s="14">
        <f>IFERROR(__xludf.DUMMYFUNCTION("""COMPUTED_VALUE"""),44806.0)</f>
        <v>44806</v>
      </c>
      <c r="E85" s="7" t="str">
        <f>IFERROR(__xludf.DUMMYFUNCTION("""COMPUTED_VALUE"""),"Medium (Medium Sized Club, Corsica, Fabric etc)")</f>
        <v>Medium (Medium Sized Club, Corsica, Fabric etc)</v>
      </c>
      <c r="F85" s="7">
        <f>IFERROR(__xludf.DUMMYFUNCTION("""COMPUTED_VALUE"""),318.0)</f>
        <v>318</v>
      </c>
      <c r="G85" s="7" t="str">
        <f>IFERROR(__xludf.DUMMYFUNCTION("""COMPUTED_VALUE"""),"Sherwyn")</f>
        <v>Sherwyn</v>
      </c>
      <c r="H85" s="7"/>
      <c r="I85" s="7"/>
      <c r="J85" s="7"/>
      <c r="K85" s="7"/>
      <c r="L85" s="7"/>
      <c r="M85" s="7"/>
    </row>
    <row r="86">
      <c r="A86" s="11">
        <f>IFERROR(__xludf.DUMMYFUNCTION("""COMPUTED_VALUE"""),44845.84170909722)</f>
        <v>44845.84171</v>
      </c>
      <c r="B86" s="7"/>
      <c r="C86" s="7" t="str">
        <f>IFERROR(__xludf.DUMMYFUNCTION("""COMPUTED_VALUE"""),"Field Maneuvers 2022")</f>
        <v>Field Maneuvers 2022</v>
      </c>
      <c r="D86" s="14">
        <f>IFERROR(__xludf.DUMMYFUNCTION("""COMPUTED_VALUE"""),44806.0)</f>
        <v>44806</v>
      </c>
      <c r="E86" s="7" t="str">
        <f>IFERROR(__xludf.DUMMYFUNCTION("""COMPUTED_VALUE"""),"Medium (Medium Sized Club, Corsica, Fabric etc)")</f>
        <v>Medium (Medium Sized Club, Corsica, Fabric etc)</v>
      </c>
      <c r="F86" s="7">
        <f>IFERROR(__xludf.DUMMYFUNCTION("""COMPUTED_VALUE"""),329.0)</f>
        <v>329</v>
      </c>
      <c r="G86" s="7" t="str">
        <f>IFERROR(__xludf.DUMMYFUNCTION("""COMPUTED_VALUE"""),"Sherwyn")</f>
        <v>Sherwyn</v>
      </c>
      <c r="H86" s="7"/>
      <c r="I86" s="7"/>
      <c r="J86" s="7"/>
      <c r="K86" s="7"/>
      <c r="L86" s="7"/>
      <c r="M86" s="7"/>
    </row>
    <row r="87">
      <c r="A87" s="11">
        <f>IFERROR(__xludf.DUMMYFUNCTION("""COMPUTED_VALUE"""),44845.84210454861)</f>
        <v>44845.8421</v>
      </c>
      <c r="B87" s="7"/>
      <c r="C87" s="7" t="str">
        <f>IFERROR(__xludf.DUMMYFUNCTION("""COMPUTED_VALUE"""),"Field Maneuvers 2022")</f>
        <v>Field Maneuvers 2022</v>
      </c>
      <c r="D87" s="14">
        <f>IFERROR(__xludf.DUMMYFUNCTION("""COMPUTED_VALUE"""),44806.0)</f>
        <v>44806</v>
      </c>
      <c r="E87" s="7" t="str">
        <f>IFERROR(__xludf.DUMMYFUNCTION("""COMPUTED_VALUE"""),"Medium (Medium Sized Club, Corsica, Fabric etc)")</f>
        <v>Medium (Medium Sized Club, Corsica, Fabric etc)</v>
      </c>
      <c r="F87" s="7">
        <f>IFERROR(__xludf.DUMMYFUNCTION("""COMPUTED_VALUE"""),211.0)</f>
        <v>211</v>
      </c>
      <c r="G87" s="7" t="str">
        <f>IFERROR(__xludf.DUMMYFUNCTION("""COMPUTED_VALUE"""),"Sherwyn")</f>
        <v>Sherwyn</v>
      </c>
      <c r="H87" s="7"/>
      <c r="I87" s="7"/>
      <c r="J87" s="7"/>
      <c r="K87" s="7"/>
      <c r="L87" s="7"/>
      <c r="M87" s="7"/>
    </row>
    <row r="88">
      <c r="A88" s="11">
        <f>IFERROR(__xludf.DUMMYFUNCTION("""COMPUTED_VALUE"""),44845.84323061343)</f>
        <v>44845.84323</v>
      </c>
      <c r="B88" s="7"/>
      <c r="C88" s="7" t="str">
        <f>IFERROR(__xludf.DUMMYFUNCTION("""COMPUTED_VALUE"""),"Field Maneuvers 2022")</f>
        <v>Field Maneuvers 2022</v>
      </c>
      <c r="D88" s="14">
        <f>IFERROR(__xludf.DUMMYFUNCTION("""COMPUTED_VALUE"""),44806.0)</f>
        <v>44806</v>
      </c>
      <c r="E88" s="7" t="str">
        <f>IFERROR(__xludf.DUMMYFUNCTION("""COMPUTED_VALUE"""),"Medium (Medium Sized Club, Corsica, Fabric etc)")</f>
        <v>Medium (Medium Sized Club, Corsica, Fabric etc)</v>
      </c>
      <c r="F88" s="7">
        <f>IFERROR(__xludf.DUMMYFUNCTION("""COMPUTED_VALUE"""),336.0)</f>
        <v>336</v>
      </c>
      <c r="G88" s="7" t="str">
        <f>IFERROR(__xludf.DUMMYFUNCTION("""COMPUTED_VALUE"""),"Sherwyn")</f>
        <v>Sherwyn</v>
      </c>
      <c r="H88" s="7"/>
      <c r="I88" s="7"/>
      <c r="J88" s="7"/>
      <c r="K88" s="7"/>
      <c r="L88" s="7"/>
      <c r="M88" s="7"/>
    </row>
    <row r="89">
      <c r="A89" s="11">
        <f>IFERROR(__xludf.DUMMYFUNCTION("""COMPUTED_VALUE"""),44845.84362223379)</f>
        <v>44845.84362</v>
      </c>
      <c r="B89" s="7"/>
      <c r="C89" s="7" t="str">
        <f>IFERROR(__xludf.DUMMYFUNCTION("""COMPUTED_VALUE"""),"Field Maneuvers 2022")</f>
        <v>Field Maneuvers 2022</v>
      </c>
      <c r="D89" s="14">
        <f>IFERROR(__xludf.DUMMYFUNCTION("""COMPUTED_VALUE"""),44806.0)</f>
        <v>44806</v>
      </c>
      <c r="E89" s="7" t="str">
        <f>IFERROR(__xludf.DUMMYFUNCTION("""COMPUTED_VALUE"""),"Medium (Medium Sized Club, Corsica, Fabric etc)")</f>
        <v>Medium (Medium Sized Club, Corsica, Fabric etc)</v>
      </c>
      <c r="F89" s="7">
        <f>IFERROR(__xludf.DUMMYFUNCTION("""COMPUTED_VALUE"""),337.0)</f>
        <v>337</v>
      </c>
      <c r="G89" s="7" t="str">
        <f>IFERROR(__xludf.DUMMYFUNCTION("""COMPUTED_VALUE"""),"Sherwyn")</f>
        <v>Sherwyn</v>
      </c>
      <c r="H89" s="7"/>
      <c r="I89" s="7"/>
      <c r="J89" s="7"/>
      <c r="K89" s="7"/>
      <c r="L89" s="7"/>
      <c r="M89" s="7"/>
    </row>
    <row r="90">
      <c r="A90" s="11">
        <f>IFERROR(__xludf.DUMMYFUNCTION("""COMPUTED_VALUE"""),44845.844098298614)</f>
        <v>44845.8441</v>
      </c>
      <c r="B90" s="7"/>
      <c r="C90" s="7" t="str">
        <f>IFERROR(__xludf.DUMMYFUNCTION("""COMPUTED_VALUE"""),"Glastonbury 2022")</f>
        <v>Glastonbury 2022</v>
      </c>
      <c r="D90" s="14">
        <f>IFERROR(__xludf.DUMMYFUNCTION("""COMPUTED_VALUE"""),44736.0)</f>
        <v>44736</v>
      </c>
      <c r="E90" s="7" t="str">
        <f>IFERROR(__xludf.DUMMYFUNCTION("""COMPUTED_VALUE"""),"Large (Open Air Festival, Boiler Room Streaming)")</f>
        <v>Large (Open Air Festival, Boiler Room Streaming)</v>
      </c>
      <c r="F90" s="7">
        <f>IFERROR(__xludf.DUMMYFUNCTION("""COMPUTED_VALUE"""),270.0)</f>
        <v>270</v>
      </c>
      <c r="G90" s="7" t="str">
        <f>IFERROR(__xludf.DUMMYFUNCTION("""COMPUTED_VALUE"""),"Sherwyn")</f>
        <v>Sherwyn</v>
      </c>
      <c r="H90" s="7"/>
      <c r="I90" s="7"/>
      <c r="J90" s="7"/>
      <c r="K90" s="7"/>
      <c r="L90" s="7"/>
      <c r="M90" s="7"/>
    </row>
    <row r="91">
      <c r="A91" s="11">
        <f>IFERROR(__xludf.DUMMYFUNCTION("""COMPUTED_VALUE"""),44845.845239375)</f>
        <v>44845.84524</v>
      </c>
      <c r="B91" s="7"/>
      <c r="C91" s="7" t="str">
        <f>IFERROR(__xludf.DUMMYFUNCTION("""COMPUTED_VALUE"""),"Glastonbury 2022")</f>
        <v>Glastonbury 2022</v>
      </c>
      <c r="D91" s="14">
        <f>IFERROR(__xludf.DUMMYFUNCTION("""COMPUTED_VALUE"""),44736.0)</f>
        <v>44736</v>
      </c>
      <c r="E91" s="7" t="str">
        <f>IFERROR(__xludf.DUMMYFUNCTION("""COMPUTED_VALUE"""),"Large (Open Air Festival, Boiler Room Streaming)")</f>
        <v>Large (Open Air Festival, Boiler Room Streaming)</v>
      </c>
      <c r="F91" s="7">
        <f>IFERROR(__xludf.DUMMYFUNCTION("""COMPUTED_VALUE"""),319.0)</f>
        <v>319</v>
      </c>
      <c r="G91" s="7" t="str">
        <f>IFERROR(__xludf.DUMMYFUNCTION("""COMPUTED_VALUE"""),"Sherwyn")</f>
        <v>Sherwyn</v>
      </c>
      <c r="H91" s="7"/>
      <c r="I91" s="7"/>
      <c r="J91" s="7"/>
      <c r="K91" s="7"/>
      <c r="L91" s="7"/>
      <c r="M91" s="7"/>
    </row>
    <row r="92">
      <c r="A92" s="11">
        <f>IFERROR(__xludf.DUMMYFUNCTION("""COMPUTED_VALUE"""),44845.84563974537)</f>
        <v>44845.84564</v>
      </c>
      <c r="B92" s="7"/>
      <c r="C92" s="7" t="str">
        <f>IFERROR(__xludf.DUMMYFUNCTION("""COMPUTED_VALUE"""),"Glastonbury 2022")</f>
        <v>Glastonbury 2022</v>
      </c>
      <c r="D92" s="14">
        <f>IFERROR(__xludf.DUMMYFUNCTION("""COMPUTED_VALUE"""),44736.0)</f>
        <v>44736</v>
      </c>
      <c r="E92" s="7" t="str">
        <f>IFERROR(__xludf.DUMMYFUNCTION("""COMPUTED_VALUE"""),"Large (Open Air Festival, Boiler Room Streaming)")</f>
        <v>Large (Open Air Festival, Boiler Room Streaming)</v>
      </c>
      <c r="F92" s="7">
        <f>IFERROR(__xludf.DUMMYFUNCTION("""COMPUTED_VALUE"""),216.0)</f>
        <v>216</v>
      </c>
      <c r="G92" s="7" t="str">
        <f>IFERROR(__xludf.DUMMYFUNCTION("""COMPUTED_VALUE"""),"Sherwyn")</f>
        <v>Sherwyn</v>
      </c>
      <c r="H92" s="7"/>
      <c r="I92" s="7"/>
      <c r="J92" s="7"/>
      <c r="K92" s="7"/>
      <c r="L92" s="7"/>
      <c r="M92" s="7"/>
    </row>
    <row r="93">
      <c r="A93" s="11">
        <f>IFERROR(__xludf.DUMMYFUNCTION("""COMPUTED_VALUE"""),44845.845816851855)</f>
        <v>44845.84582</v>
      </c>
      <c r="B93" s="7"/>
      <c r="C93" s="7" t="str">
        <f>IFERROR(__xludf.DUMMYFUNCTION("""COMPUTED_VALUE"""),"Glastonbury 2022")</f>
        <v>Glastonbury 2022</v>
      </c>
      <c r="D93" s="14">
        <f>IFERROR(__xludf.DUMMYFUNCTION("""COMPUTED_VALUE"""),44736.0)</f>
        <v>44736</v>
      </c>
      <c r="E93" s="7" t="str">
        <f>IFERROR(__xludf.DUMMYFUNCTION("""COMPUTED_VALUE"""),"Large (Open Air Festival, Boiler Room Streaming)")</f>
        <v>Large (Open Air Festival, Boiler Room Streaming)</v>
      </c>
      <c r="F93" s="7">
        <f>IFERROR(__xludf.DUMMYFUNCTION("""COMPUTED_VALUE"""),255.0)</f>
        <v>255</v>
      </c>
      <c r="G93" s="7" t="str">
        <f>IFERROR(__xludf.DUMMYFUNCTION("""COMPUTED_VALUE"""),"Sherwyn")</f>
        <v>Sherwyn</v>
      </c>
      <c r="H93" s="7"/>
      <c r="I93" s="7"/>
      <c r="J93" s="7"/>
      <c r="K93" s="7"/>
      <c r="L93" s="7"/>
      <c r="M93" s="7"/>
    </row>
    <row r="94">
      <c r="A94" s="11">
        <f>IFERROR(__xludf.DUMMYFUNCTION("""COMPUTED_VALUE"""),44845.84606916667)</f>
        <v>44845.84607</v>
      </c>
      <c r="B94" s="7"/>
      <c r="C94" s="7" t="str">
        <f>IFERROR(__xludf.DUMMYFUNCTION("""COMPUTED_VALUE"""),"Jikoni: Samosa Sisterhood")</f>
        <v>Jikoni: Samosa Sisterhood</v>
      </c>
      <c r="D94" s="14">
        <f>IFERROR(__xludf.DUMMYFUNCTION("""COMPUTED_VALUE"""),44528.0)</f>
        <v>44528</v>
      </c>
      <c r="E94" s="7" t="str">
        <f>IFERROR(__xludf.DUMMYFUNCTION("""COMPUTED_VALUE"""),"Medium (Medium Sized Club, Corsica, Fabric etc)")</f>
        <v>Medium (Medium Sized Club, Corsica, Fabric etc)</v>
      </c>
      <c r="F94" s="7">
        <f>IFERROR(__xludf.DUMMYFUNCTION("""COMPUTED_VALUE"""),265.0)</f>
        <v>265</v>
      </c>
      <c r="G94" s="7" t="str">
        <f>IFERROR(__xludf.DUMMYFUNCTION("""COMPUTED_VALUE"""),"Sherwyn")</f>
        <v>Sherwyn</v>
      </c>
      <c r="H94" s="7"/>
      <c r="I94" s="7"/>
      <c r="J94" s="7"/>
      <c r="K94" s="7"/>
      <c r="L94" s="7"/>
      <c r="M94" s="7"/>
    </row>
    <row r="95">
      <c r="A95" s="11">
        <f>IFERROR(__xludf.DUMMYFUNCTION("""COMPUTED_VALUE"""),44845.85361706019)</f>
        <v>44845.85362</v>
      </c>
      <c r="B95" s="7"/>
      <c r="C95" s="7" t="str">
        <f>IFERROR(__xludf.DUMMYFUNCTION("""COMPUTED_VALUE"""),"Jikoni: Samosa Sisterhood")</f>
        <v>Jikoni: Samosa Sisterhood</v>
      </c>
      <c r="D95" s="14">
        <f>IFERROR(__xludf.DUMMYFUNCTION("""COMPUTED_VALUE"""),44528.0)</f>
        <v>44528</v>
      </c>
      <c r="E95" s="7" t="str">
        <f>IFERROR(__xludf.DUMMYFUNCTION("""COMPUTED_VALUE"""),"Medium (Medium Sized Club, Corsica, Fabric etc)")</f>
        <v>Medium (Medium Sized Club, Corsica, Fabric etc)</v>
      </c>
      <c r="F95" s="7">
        <f>IFERROR(__xludf.DUMMYFUNCTION("""COMPUTED_VALUE"""),223.0)</f>
        <v>223</v>
      </c>
      <c r="G95" s="7" t="str">
        <f>IFERROR(__xludf.DUMMYFUNCTION("""COMPUTED_VALUE"""),"Sherwyn")</f>
        <v>Sherwyn</v>
      </c>
      <c r="H95" s="7"/>
      <c r="I95" s="7"/>
      <c r="J95" s="7"/>
      <c r="K95" s="7"/>
      <c r="L95" s="7"/>
      <c r="M95" s="7"/>
    </row>
    <row r="96">
      <c r="A96" s="11">
        <f>IFERROR(__xludf.DUMMYFUNCTION("""COMPUTED_VALUE"""),44845.866012604165)</f>
        <v>44845.86601</v>
      </c>
      <c r="B96" s="7"/>
      <c r="C96" s="7" t="str">
        <f>IFERROR(__xludf.DUMMYFUNCTION("""COMPUTED_VALUE"""),"Jikoni: Samosa Sisterhood")</f>
        <v>Jikoni: Samosa Sisterhood</v>
      </c>
      <c r="D96" s="14">
        <f>IFERROR(__xludf.DUMMYFUNCTION("""COMPUTED_VALUE"""),44528.0)</f>
        <v>44528</v>
      </c>
      <c r="E96" s="7" t="str">
        <f>IFERROR(__xludf.DUMMYFUNCTION("""COMPUTED_VALUE"""),"Medium (Medium Sized Club, Corsica, Fabric etc)")</f>
        <v>Medium (Medium Sized Club, Corsica, Fabric etc)</v>
      </c>
      <c r="F96" s="7">
        <f>IFERROR(__xludf.DUMMYFUNCTION("""COMPUTED_VALUE"""),297.0)</f>
        <v>297</v>
      </c>
      <c r="G96" s="7" t="str">
        <f>IFERROR(__xludf.DUMMYFUNCTION("""COMPUTED_VALUE"""),"Sherwyn")</f>
        <v>Sherwyn</v>
      </c>
      <c r="H96" s="7"/>
      <c r="I96" s="7"/>
      <c r="J96" s="7"/>
      <c r="K96" s="7"/>
      <c r="L96" s="7"/>
      <c r="M96" s="7"/>
    </row>
    <row r="97">
      <c r="A97" s="11">
        <f>IFERROR(__xludf.DUMMYFUNCTION("""COMPUTED_VALUE"""),44845.866301678245)</f>
        <v>44845.8663</v>
      </c>
      <c r="B97" s="7"/>
      <c r="C97" s="7" t="str">
        <f>IFERROR(__xludf.DUMMYFUNCTION("""COMPUTED_VALUE"""),"Jikoni: Samosa Sisterhood")</f>
        <v>Jikoni: Samosa Sisterhood</v>
      </c>
      <c r="D97" s="14">
        <f>IFERROR(__xludf.DUMMYFUNCTION("""COMPUTED_VALUE"""),44528.0)</f>
        <v>44528</v>
      </c>
      <c r="E97" s="7" t="str">
        <f>IFERROR(__xludf.DUMMYFUNCTION("""COMPUTED_VALUE"""),"Medium (Medium Sized Club, Corsica, Fabric etc)")</f>
        <v>Medium (Medium Sized Club, Corsica, Fabric etc)</v>
      </c>
      <c r="F97" s="7">
        <f>IFERROR(__xludf.DUMMYFUNCTION("""COMPUTED_VALUE"""),258.0)</f>
        <v>258</v>
      </c>
      <c r="G97" s="7" t="str">
        <f>IFERROR(__xludf.DUMMYFUNCTION("""COMPUTED_VALUE"""),"Sherwyn")</f>
        <v>Sherwyn</v>
      </c>
      <c r="H97" s="7"/>
      <c r="I97" s="7"/>
      <c r="J97" s="7"/>
      <c r="K97" s="7"/>
      <c r="L97" s="7"/>
      <c r="M97" s="7"/>
    </row>
    <row r="98">
      <c r="A98" s="11">
        <f>IFERROR(__xludf.DUMMYFUNCTION("""COMPUTED_VALUE"""),44845.866456504635)</f>
        <v>44845.86646</v>
      </c>
      <c r="B98" s="7"/>
      <c r="C98" s="7" t="str">
        <f>IFERROR(__xludf.DUMMYFUNCTION("""COMPUTED_VALUE"""),"Jikoni: Samosa Sisterhood")</f>
        <v>Jikoni: Samosa Sisterhood</v>
      </c>
      <c r="D98" s="14">
        <f>IFERROR(__xludf.DUMMYFUNCTION("""COMPUTED_VALUE"""),44528.0)</f>
        <v>44528</v>
      </c>
      <c r="E98" s="7" t="str">
        <f>IFERROR(__xludf.DUMMYFUNCTION("""COMPUTED_VALUE"""),"Medium (Medium Sized Club, Corsica, Fabric etc)")</f>
        <v>Medium (Medium Sized Club, Corsica, Fabric etc)</v>
      </c>
      <c r="F98" s="7">
        <f>IFERROR(__xludf.DUMMYFUNCTION("""COMPUTED_VALUE"""),222.0)</f>
        <v>222</v>
      </c>
      <c r="G98" s="7" t="str">
        <f>IFERROR(__xludf.DUMMYFUNCTION("""COMPUTED_VALUE"""),"Sherwyn")</f>
        <v>Sherwyn</v>
      </c>
      <c r="H98" s="7"/>
      <c r="I98" s="7"/>
      <c r="J98" s="7"/>
      <c r="K98" s="7"/>
      <c r="L98" s="7"/>
      <c r="M98" s="7"/>
    </row>
    <row r="99">
      <c r="A99" s="11">
        <f>IFERROR(__xludf.DUMMYFUNCTION("""COMPUTED_VALUE"""),44845.86668894676)</f>
        <v>44845.86669</v>
      </c>
      <c r="B99" s="7"/>
      <c r="C99" s="7" t="str">
        <f>IFERROR(__xludf.DUMMYFUNCTION("""COMPUTED_VALUE"""),"Jikoni: Samosa Sisterhood")</f>
        <v>Jikoni: Samosa Sisterhood</v>
      </c>
      <c r="D99" s="14">
        <f>IFERROR(__xludf.DUMMYFUNCTION("""COMPUTED_VALUE"""),44528.0)</f>
        <v>44528</v>
      </c>
      <c r="E99" s="7" t="str">
        <f>IFERROR(__xludf.DUMMYFUNCTION("""COMPUTED_VALUE"""),"Medium (Medium Sized Club, Corsica, Fabric etc)")</f>
        <v>Medium (Medium Sized Club, Corsica, Fabric etc)</v>
      </c>
      <c r="F99" s="7">
        <f>IFERROR(__xludf.DUMMYFUNCTION("""COMPUTED_VALUE"""),318.0)</f>
        <v>318</v>
      </c>
      <c r="G99" s="7" t="str">
        <f>IFERROR(__xludf.DUMMYFUNCTION("""COMPUTED_VALUE"""),"Sherwyn")</f>
        <v>Sherwyn</v>
      </c>
      <c r="H99" s="7"/>
      <c r="I99" s="7"/>
      <c r="J99" s="7"/>
      <c r="K99" s="7"/>
      <c r="L99" s="7"/>
      <c r="M99" s="7"/>
    </row>
    <row r="100">
      <c r="A100" s="11">
        <f>IFERROR(__xludf.DUMMYFUNCTION("""COMPUTED_VALUE"""),44845.866977025464)</f>
        <v>44845.86698</v>
      </c>
      <c r="B100" s="7"/>
      <c r="C100" s="7" t="str">
        <f>IFERROR(__xludf.DUMMYFUNCTION("""COMPUTED_VALUE"""),"Jikoni: Samosa Sisterhood")</f>
        <v>Jikoni: Samosa Sisterhood</v>
      </c>
      <c r="D100" s="14">
        <f>IFERROR(__xludf.DUMMYFUNCTION("""COMPUTED_VALUE"""),44528.0)</f>
        <v>44528</v>
      </c>
      <c r="E100" s="7" t="str">
        <f>IFERROR(__xludf.DUMMYFUNCTION("""COMPUTED_VALUE"""),"Medium (Medium Sized Club, Corsica, Fabric etc)")</f>
        <v>Medium (Medium Sized Club, Corsica, Fabric etc)</v>
      </c>
      <c r="F100" s="7">
        <f>IFERROR(__xludf.DUMMYFUNCTION("""COMPUTED_VALUE"""),339.0)</f>
        <v>339</v>
      </c>
      <c r="G100" s="7" t="str">
        <f>IFERROR(__xludf.DUMMYFUNCTION("""COMPUTED_VALUE"""),"Sherwyn")</f>
        <v>Sherwyn</v>
      </c>
      <c r="H100" s="7"/>
      <c r="I100" s="7"/>
      <c r="J100" s="7"/>
      <c r="K100" s="7"/>
      <c r="L100" s="7"/>
      <c r="M100" s="7"/>
    </row>
    <row r="101">
      <c r="A101" s="11">
        <f>IFERROR(__xludf.DUMMYFUNCTION("""COMPUTED_VALUE"""),44845.86839476852)</f>
        <v>44845.86839</v>
      </c>
      <c r="B101" s="7"/>
      <c r="C101" s="7" t="str">
        <f>IFERROR(__xludf.DUMMYFUNCTION("""COMPUTED_VALUE"""),"Mahalla x My Kali (Paris)")</f>
        <v>Mahalla x My Kali (Paris)</v>
      </c>
      <c r="D101" s="14">
        <f>IFERROR(__xludf.DUMMYFUNCTION("""COMPUTED_VALUE"""),44715.0)</f>
        <v>44715</v>
      </c>
      <c r="E101" s="7" t="str">
        <f>IFERROR(__xludf.DUMMYFUNCTION("""COMPUTED_VALUE"""),"Medium (Medium Sized Club, Corsica, Fabric etc)")</f>
        <v>Medium (Medium Sized Club, Corsica, Fabric etc)</v>
      </c>
      <c r="F101" s="7">
        <f>IFERROR(__xludf.DUMMYFUNCTION("""COMPUTED_VALUE"""),279.0)</f>
        <v>279</v>
      </c>
      <c r="G101" s="7" t="str">
        <f>IFERROR(__xludf.DUMMYFUNCTION("""COMPUTED_VALUE"""),"Sherwyn")</f>
        <v>Sherwyn</v>
      </c>
      <c r="H101" s="7"/>
      <c r="I101" s="7"/>
      <c r="J101" s="7"/>
      <c r="K101" s="7"/>
      <c r="L101" s="7"/>
      <c r="M101" s="7"/>
    </row>
    <row r="102">
      <c r="A102" s="11">
        <f>IFERROR(__xludf.DUMMYFUNCTION("""COMPUTED_VALUE"""),44845.86867700231)</f>
        <v>44845.86868</v>
      </c>
      <c r="B102" s="7"/>
      <c r="C102" s="7" t="str">
        <f>IFERROR(__xludf.DUMMYFUNCTION("""COMPUTED_VALUE"""),"Mahalla x My Kali (Paris)")</f>
        <v>Mahalla x My Kali (Paris)</v>
      </c>
      <c r="D102" s="14">
        <f>IFERROR(__xludf.DUMMYFUNCTION("""COMPUTED_VALUE"""),44715.0)</f>
        <v>44715</v>
      </c>
      <c r="E102" s="7" t="str">
        <f>IFERROR(__xludf.DUMMYFUNCTION("""COMPUTED_VALUE"""),"Medium (Medium Sized Club, Corsica, Fabric etc)")</f>
        <v>Medium (Medium Sized Club, Corsica, Fabric etc)</v>
      </c>
      <c r="F102" s="7">
        <f>IFERROR(__xludf.DUMMYFUNCTION("""COMPUTED_VALUE"""),293.0)</f>
        <v>293</v>
      </c>
      <c r="G102" s="7" t="str">
        <f>IFERROR(__xludf.DUMMYFUNCTION("""COMPUTED_VALUE"""),"Sherwyn")</f>
        <v>Sherwyn</v>
      </c>
      <c r="H102" s="7"/>
      <c r="I102" s="7"/>
      <c r="J102" s="7"/>
      <c r="K102" s="7"/>
      <c r="L102" s="7"/>
      <c r="M102" s="7"/>
    </row>
    <row r="103">
      <c r="A103" s="11">
        <f>IFERROR(__xludf.DUMMYFUNCTION("""COMPUTED_VALUE"""),44845.868901319445)</f>
        <v>44845.8689</v>
      </c>
      <c r="B103" s="7"/>
      <c r="C103" s="7" t="str">
        <f>IFERROR(__xludf.DUMMYFUNCTION("""COMPUTED_VALUE"""),"Mahalla x My Kali (Paris)")</f>
        <v>Mahalla x My Kali (Paris)</v>
      </c>
      <c r="D103" s="14">
        <f>IFERROR(__xludf.DUMMYFUNCTION("""COMPUTED_VALUE"""),44715.0)</f>
        <v>44715</v>
      </c>
      <c r="E103" s="7" t="str">
        <f>IFERROR(__xludf.DUMMYFUNCTION("""COMPUTED_VALUE"""),"Medium (Medium Sized Club, Corsica, Fabric etc)")</f>
        <v>Medium (Medium Sized Club, Corsica, Fabric etc)</v>
      </c>
      <c r="F103" s="7">
        <f>IFERROR(__xludf.DUMMYFUNCTION("""COMPUTED_VALUE"""),298.0)</f>
        <v>298</v>
      </c>
      <c r="G103" s="7" t="str">
        <f>IFERROR(__xludf.DUMMYFUNCTION("""COMPUTED_VALUE"""),"Sherwyn")</f>
        <v>Sherwyn</v>
      </c>
      <c r="H103" s="7"/>
      <c r="I103" s="7"/>
      <c r="J103" s="7"/>
      <c r="K103" s="7"/>
      <c r="L103" s="7"/>
      <c r="M103" s="7"/>
    </row>
    <row r="104">
      <c r="A104" s="11">
        <f>IFERROR(__xludf.DUMMYFUNCTION("""COMPUTED_VALUE"""),44845.86921832176)</f>
        <v>44845.86922</v>
      </c>
      <c r="B104" s="7"/>
      <c r="C104" s="7" t="str">
        <f>IFERROR(__xludf.DUMMYFUNCTION("""COMPUTED_VALUE"""),"Mahalla x My Kali (Paris)")</f>
        <v>Mahalla x My Kali (Paris)</v>
      </c>
      <c r="D104" s="14">
        <f>IFERROR(__xludf.DUMMYFUNCTION("""COMPUTED_VALUE"""),44715.0)</f>
        <v>44715</v>
      </c>
      <c r="E104" s="7" t="str">
        <f>IFERROR(__xludf.DUMMYFUNCTION("""COMPUTED_VALUE"""),"Medium (Medium Sized Club, Corsica, Fabric etc)")</f>
        <v>Medium (Medium Sized Club, Corsica, Fabric etc)</v>
      </c>
      <c r="F104" s="7">
        <f>IFERROR(__xludf.DUMMYFUNCTION("""COMPUTED_VALUE"""),329.0)</f>
        <v>329</v>
      </c>
      <c r="G104" s="7" t="str">
        <f>IFERROR(__xludf.DUMMYFUNCTION("""COMPUTED_VALUE"""),"Sherwyn")</f>
        <v>Sherwyn</v>
      </c>
      <c r="H104" s="7"/>
      <c r="I104" s="7"/>
      <c r="J104" s="7"/>
      <c r="K104" s="7"/>
      <c r="L104" s="7"/>
      <c r="M104" s="7"/>
    </row>
    <row r="105">
      <c r="A105" s="11">
        <f>IFERROR(__xludf.DUMMYFUNCTION("""COMPUTED_VALUE"""),44845.8695296875)</f>
        <v>44845.86953</v>
      </c>
      <c r="B105" s="7"/>
      <c r="C105" s="7" t="str">
        <f>IFERROR(__xludf.DUMMYFUNCTION("""COMPUTED_VALUE"""),"Mehfil 001")</f>
        <v>Mehfil 001</v>
      </c>
      <c r="D105" s="14">
        <f>IFERROR(__xludf.DUMMYFUNCTION("""COMPUTED_VALUE"""),44651.0)</f>
        <v>44651</v>
      </c>
      <c r="E105" s="7" t="str">
        <f>IFERROR(__xludf.DUMMYFUNCTION("""COMPUTED_VALUE"""),"Medium (Medium Sized Club, Corsica, Fabric etc)")</f>
        <v>Medium (Medium Sized Club, Corsica, Fabric etc)</v>
      </c>
      <c r="F105" s="7">
        <f>IFERROR(__xludf.DUMMYFUNCTION("""COMPUTED_VALUE"""),266.0)</f>
        <v>266</v>
      </c>
      <c r="G105" s="7" t="str">
        <f>IFERROR(__xludf.DUMMYFUNCTION("""COMPUTED_VALUE"""),"Sherwyn")</f>
        <v>Sherwyn</v>
      </c>
      <c r="H105" s="7"/>
      <c r="I105" s="7"/>
      <c r="J105" s="7"/>
      <c r="K105" s="7"/>
      <c r="L105" s="7"/>
      <c r="M105" s="7"/>
    </row>
    <row r="106">
      <c r="A106" s="11">
        <f>IFERROR(__xludf.DUMMYFUNCTION("""COMPUTED_VALUE"""),44845.87009844908)</f>
        <v>44845.8701</v>
      </c>
      <c r="B106" s="7"/>
      <c r="C106" s="7" t="str">
        <f>IFERROR(__xludf.DUMMYFUNCTION("""COMPUTED_VALUE"""),"Mehfil 001")</f>
        <v>Mehfil 001</v>
      </c>
      <c r="D106" s="14">
        <f>IFERROR(__xludf.DUMMYFUNCTION("""COMPUTED_VALUE"""),44651.0)</f>
        <v>44651</v>
      </c>
      <c r="E106" s="7" t="str">
        <f>IFERROR(__xludf.DUMMYFUNCTION("""COMPUTED_VALUE"""),"Medium (Medium Sized Club, Corsica, Fabric etc)")</f>
        <v>Medium (Medium Sized Club, Corsica, Fabric etc)</v>
      </c>
      <c r="F106" s="7">
        <f>IFERROR(__xludf.DUMMYFUNCTION("""COMPUTED_VALUE"""),271.0)</f>
        <v>271</v>
      </c>
      <c r="G106" s="7" t="str">
        <f>IFERROR(__xludf.DUMMYFUNCTION("""COMPUTED_VALUE"""),"Sherwyn")</f>
        <v>Sherwyn</v>
      </c>
      <c r="H106" s="7"/>
      <c r="I106" s="7"/>
      <c r="J106" s="7"/>
      <c r="K106" s="7"/>
      <c r="L106" s="7"/>
      <c r="M106" s="7"/>
    </row>
    <row r="107">
      <c r="A107" s="11">
        <f>IFERROR(__xludf.DUMMYFUNCTION("""COMPUTED_VALUE"""),44845.87035640047)</f>
        <v>44845.87036</v>
      </c>
      <c r="B107" s="7"/>
      <c r="C107" s="7" t="str">
        <f>IFERROR(__xludf.DUMMYFUNCTION("""COMPUTED_VALUE"""),"Mehfil 001")</f>
        <v>Mehfil 001</v>
      </c>
      <c r="D107" s="14">
        <f>IFERROR(__xludf.DUMMYFUNCTION("""COMPUTED_VALUE"""),44651.0)</f>
        <v>44651</v>
      </c>
      <c r="E107" s="7" t="str">
        <f>IFERROR(__xludf.DUMMYFUNCTION("""COMPUTED_VALUE"""),"Medium (Medium Sized Club, Corsica, Fabric etc)")</f>
        <v>Medium (Medium Sized Club, Corsica, Fabric etc)</v>
      </c>
      <c r="F107" s="7">
        <f>IFERROR(__xludf.DUMMYFUNCTION("""COMPUTED_VALUE"""),210.0)</f>
        <v>210</v>
      </c>
      <c r="G107" s="7" t="str">
        <f>IFERROR(__xludf.DUMMYFUNCTION("""COMPUTED_VALUE"""),"Sherwyn")</f>
        <v>Sherwyn</v>
      </c>
      <c r="H107" s="7"/>
      <c r="I107" s="7"/>
      <c r="J107" s="7"/>
      <c r="K107" s="7"/>
      <c r="L107" s="7"/>
      <c r="M107" s="7"/>
    </row>
    <row r="108">
      <c r="A108" s="11">
        <f>IFERROR(__xludf.DUMMYFUNCTION("""COMPUTED_VALUE"""),44845.87056393519)</f>
        <v>44845.87056</v>
      </c>
      <c r="B108" s="7"/>
      <c r="C108" s="7" t="str">
        <f>IFERROR(__xludf.DUMMYFUNCTION("""COMPUTED_VALUE"""),"Mehfil 001")</f>
        <v>Mehfil 001</v>
      </c>
      <c r="D108" s="14">
        <f>IFERROR(__xludf.DUMMYFUNCTION("""COMPUTED_VALUE"""),44651.0)</f>
        <v>44651</v>
      </c>
      <c r="E108" s="7" t="str">
        <f>IFERROR(__xludf.DUMMYFUNCTION("""COMPUTED_VALUE"""),"Medium (Medium Sized Club, Corsica, Fabric etc)")</f>
        <v>Medium (Medium Sized Club, Corsica, Fabric etc)</v>
      </c>
      <c r="F108" s="7">
        <f>IFERROR(__xludf.DUMMYFUNCTION("""COMPUTED_VALUE"""),282.0)</f>
        <v>282</v>
      </c>
      <c r="G108" s="7" t="str">
        <f>IFERROR(__xludf.DUMMYFUNCTION("""COMPUTED_VALUE"""),"Sherwyn")</f>
        <v>Sherwyn</v>
      </c>
      <c r="H108" s="7"/>
      <c r="I108" s="7"/>
      <c r="J108" s="7"/>
      <c r="K108" s="7"/>
      <c r="L108" s="7"/>
      <c r="M108" s="7"/>
    </row>
    <row r="109">
      <c r="A109" s="11">
        <f>IFERROR(__xludf.DUMMYFUNCTION("""COMPUTED_VALUE"""),44845.870785844905)</f>
        <v>44845.87079</v>
      </c>
      <c r="B109" s="7"/>
      <c r="C109" s="7" t="str">
        <f>IFERROR(__xludf.DUMMYFUNCTION("""COMPUTED_VALUE"""),"Mehfil 001")</f>
        <v>Mehfil 001</v>
      </c>
      <c r="D109" s="14">
        <f>IFERROR(__xludf.DUMMYFUNCTION("""COMPUTED_VALUE"""),44651.0)</f>
        <v>44651</v>
      </c>
      <c r="E109" s="7" t="str">
        <f>IFERROR(__xludf.DUMMYFUNCTION("""COMPUTED_VALUE"""),"Medium (Medium Sized Club, Corsica, Fabric etc)")</f>
        <v>Medium (Medium Sized Club, Corsica, Fabric etc)</v>
      </c>
      <c r="F109" s="7">
        <f>IFERROR(__xludf.DUMMYFUNCTION("""COMPUTED_VALUE"""),307.0)</f>
        <v>307</v>
      </c>
      <c r="G109" s="7" t="str">
        <f>IFERROR(__xludf.DUMMYFUNCTION("""COMPUTED_VALUE"""),"Sherwyn")</f>
        <v>Sherwyn</v>
      </c>
      <c r="H109" s="7"/>
      <c r="I109" s="7"/>
      <c r="J109" s="7"/>
      <c r="K109" s="7"/>
      <c r="L109" s="7"/>
      <c r="M109" s="7"/>
    </row>
    <row r="110">
      <c r="A110" s="11">
        <f>IFERROR(__xludf.DUMMYFUNCTION("""COMPUTED_VALUE"""),44845.87102209491)</f>
        <v>44845.87102</v>
      </c>
      <c r="B110" s="7"/>
      <c r="C110" s="7" t="str">
        <f>IFERROR(__xludf.DUMMYFUNCTION("""COMPUTED_VALUE"""),"Mehfil 001")</f>
        <v>Mehfil 001</v>
      </c>
      <c r="D110" s="14">
        <f>IFERROR(__xludf.DUMMYFUNCTION("""COMPUTED_VALUE"""),44651.0)</f>
        <v>44651</v>
      </c>
      <c r="E110" s="7" t="str">
        <f>IFERROR(__xludf.DUMMYFUNCTION("""COMPUTED_VALUE"""),"Medium (Medium Sized Club, Corsica, Fabric etc)")</f>
        <v>Medium (Medium Sized Club, Corsica, Fabric etc)</v>
      </c>
      <c r="F110" s="7">
        <f>IFERROR(__xludf.DUMMYFUNCTION("""COMPUTED_VALUE"""),308.0)</f>
        <v>308</v>
      </c>
      <c r="G110" s="7" t="str">
        <f>IFERROR(__xludf.DUMMYFUNCTION("""COMPUTED_VALUE"""),"Sherwyn")</f>
        <v>Sherwyn</v>
      </c>
      <c r="H110" s="7"/>
      <c r="I110" s="7"/>
      <c r="J110" s="7"/>
      <c r="K110" s="7"/>
      <c r="L110" s="7"/>
      <c r="M110" s="7"/>
    </row>
    <row r="111">
      <c r="A111" s="11">
        <f>IFERROR(__xludf.DUMMYFUNCTION("""COMPUTED_VALUE"""),44845.87123434027)</f>
        <v>44845.87123</v>
      </c>
      <c r="B111" s="7"/>
      <c r="C111" s="7" t="str">
        <f>IFERROR(__xludf.DUMMYFUNCTION("""COMPUTED_VALUE"""),"Mehfil 001")</f>
        <v>Mehfil 001</v>
      </c>
      <c r="D111" s="14">
        <f>IFERROR(__xludf.DUMMYFUNCTION("""COMPUTED_VALUE"""),44651.0)</f>
        <v>44651</v>
      </c>
      <c r="E111" s="7" t="str">
        <f>IFERROR(__xludf.DUMMYFUNCTION("""COMPUTED_VALUE"""),"Medium (Medium Sized Club, Corsica, Fabric etc)")</f>
        <v>Medium (Medium Sized Club, Corsica, Fabric etc)</v>
      </c>
      <c r="F111" s="7">
        <f>IFERROR(__xludf.DUMMYFUNCTION("""COMPUTED_VALUE"""),333.0)</f>
        <v>333</v>
      </c>
      <c r="G111" s="7" t="str">
        <f>IFERROR(__xludf.DUMMYFUNCTION("""COMPUTED_VALUE"""),"Sherwyn")</f>
        <v>Sherwyn</v>
      </c>
      <c r="H111" s="7"/>
      <c r="I111" s="7"/>
      <c r="J111" s="7"/>
      <c r="K111" s="7"/>
      <c r="L111" s="7"/>
      <c r="M111" s="7"/>
    </row>
    <row r="112">
      <c r="A112" s="11">
        <f>IFERROR(__xludf.DUMMYFUNCTION("""COMPUTED_VALUE"""),44845.87141409723)</f>
        <v>44845.87141</v>
      </c>
      <c r="B112" s="7"/>
      <c r="C112" s="7" t="str">
        <f>IFERROR(__xludf.DUMMYFUNCTION("""COMPUTED_VALUE"""),"Mehfil 001")</f>
        <v>Mehfil 001</v>
      </c>
      <c r="D112" s="14">
        <f>IFERROR(__xludf.DUMMYFUNCTION("""COMPUTED_VALUE"""),44651.0)</f>
        <v>44651</v>
      </c>
      <c r="E112" s="7" t="str">
        <f>IFERROR(__xludf.DUMMYFUNCTION("""COMPUTED_VALUE"""),"Medium (Medium Sized Club, Corsica, Fabric etc)")</f>
        <v>Medium (Medium Sized Club, Corsica, Fabric etc)</v>
      </c>
      <c r="F112" s="7">
        <f>IFERROR(__xludf.DUMMYFUNCTION("""COMPUTED_VALUE"""),342.0)</f>
        <v>342</v>
      </c>
      <c r="G112" s="7" t="str">
        <f>IFERROR(__xludf.DUMMYFUNCTION("""COMPUTED_VALUE"""),"Sherwyn")</f>
        <v>Sherwyn</v>
      </c>
      <c r="H112" s="7"/>
      <c r="I112" s="7"/>
      <c r="J112" s="7"/>
      <c r="K112" s="7"/>
      <c r="L112" s="7"/>
      <c r="M112" s="7"/>
    </row>
    <row r="113">
      <c r="A113" s="11">
        <f>IFERROR(__xludf.DUMMYFUNCTION("""COMPUTED_VALUE"""),44845.871686631945)</f>
        <v>44845.87169</v>
      </c>
      <c r="B113" s="7"/>
      <c r="C113" s="7" t="str">
        <f>IFERROR(__xludf.DUMMYFUNCTION("""COMPUTED_VALUE"""),"Mehfil 001")</f>
        <v>Mehfil 001</v>
      </c>
      <c r="D113" s="14">
        <f>IFERROR(__xludf.DUMMYFUNCTION("""COMPUTED_VALUE"""),44651.0)</f>
        <v>44651</v>
      </c>
      <c r="E113" s="7" t="str">
        <f>IFERROR(__xludf.DUMMYFUNCTION("""COMPUTED_VALUE"""),"Medium (Medium Sized Club, Corsica, Fabric etc)")</f>
        <v>Medium (Medium Sized Club, Corsica, Fabric etc)</v>
      </c>
      <c r="F113" s="7">
        <f>IFERROR(__xludf.DUMMYFUNCTION("""COMPUTED_VALUE"""),343.0)</f>
        <v>343</v>
      </c>
      <c r="G113" s="7" t="str">
        <f>IFERROR(__xludf.DUMMYFUNCTION("""COMPUTED_VALUE"""),"Sherwyn")</f>
        <v>Sherwyn</v>
      </c>
      <c r="H113" s="7"/>
      <c r="I113" s="7"/>
      <c r="J113" s="7"/>
      <c r="K113" s="7"/>
      <c r="L113" s="7"/>
      <c r="M113" s="7"/>
    </row>
    <row r="114">
      <c r="A114" s="11">
        <f>IFERROR(__xludf.DUMMYFUNCTION("""COMPUTED_VALUE"""),44845.8752058912)</f>
        <v>44845.87521</v>
      </c>
      <c r="B114" s="7"/>
      <c r="C114" s="7" t="str">
        <f>IFERROR(__xludf.DUMMYFUNCTION("""COMPUTED_VALUE"""),"Nabihah Iqbal Presents: Mixmag LAB Session")</f>
        <v>Nabihah Iqbal Presents: Mixmag LAB Session</v>
      </c>
      <c r="D114" s="14">
        <f>IFERROR(__xludf.DUMMYFUNCTION("""COMPUTED_VALUE"""),44442.0)</f>
        <v>44442</v>
      </c>
      <c r="E114" s="7" t="str">
        <f>IFERROR(__xludf.DUMMYFUNCTION("""COMPUTED_VALUE"""),"Medium (Medium Sized Club, Corsica, Fabric etc)")</f>
        <v>Medium (Medium Sized Club, Corsica, Fabric etc)</v>
      </c>
      <c r="F114" s="7">
        <f>IFERROR(__xludf.DUMMYFUNCTION("""COMPUTED_VALUE"""),244.0)</f>
        <v>244</v>
      </c>
      <c r="G114" s="7" t="str">
        <f>IFERROR(__xludf.DUMMYFUNCTION("""COMPUTED_VALUE"""),"Sherwyn")</f>
        <v>Sherwyn</v>
      </c>
      <c r="H114" s="7"/>
      <c r="I114" s="7"/>
      <c r="J114" s="7"/>
      <c r="K114" s="7"/>
      <c r="L114" s="7"/>
      <c r="M114" s="7"/>
    </row>
    <row r="115">
      <c r="A115" s="11">
        <f>IFERROR(__xludf.DUMMYFUNCTION("""COMPUTED_VALUE"""),44845.87540447917)</f>
        <v>44845.8754</v>
      </c>
      <c r="B115" s="7"/>
      <c r="C115" s="7" t="str">
        <f>IFERROR(__xludf.DUMMYFUNCTION("""COMPUTED_VALUE"""),"Nabihah Iqbal Presents: Mixmag LAB Session")</f>
        <v>Nabihah Iqbal Presents: Mixmag LAB Session</v>
      </c>
      <c r="D115" s="14">
        <f>IFERROR(__xludf.DUMMYFUNCTION("""COMPUTED_VALUE"""),44442.0)</f>
        <v>44442</v>
      </c>
      <c r="E115" s="7" t="str">
        <f>IFERROR(__xludf.DUMMYFUNCTION("""COMPUTED_VALUE"""),"Medium (Medium Sized Club, Corsica, Fabric etc)")</f>
        <v>Medium (Medium Sized Club, Corsica, Fabric etc)</v>
      </c>
      <c r="F115" s="7">
        <f>IFERROR(__xludf.DUMMYFUNCTION("""COMPUTED_VALUE"""),214.0)</f>
        <v>214</v>
      </c>
      <c r="G115" s="7" t="str">
        <f>IFERROR(__xludf.DUMMYFUNCTION("""COMPUTED_VALUE"""),"Sherwyn")</f>
        <v>Sherwyn</v>
      </c>
      <c r="H115" s="7"/>
      <c r="I115" s="7"/>
      <c r="J115" s="7"/>
      <c r="K115" s="7"/>
      <c r="L115" s="7"/>
      <c r="M115" s="7"/>
    </row>
    <row r="116">
      <c r="A116" s="11">
        <f>IFERROR(__xludf.DUMMYFUNCTION("""COMPUTED_VALUE"""),44845.87581709491)</f>
        <v>44845.87582</v>
      </c>
      <c r="B116" s="7"/>
      <c r="C116" s="7" t="str">
        <f>IFERROR(__xludf.DUMMYFUNCTION("""COMPUTED_VALUE"""),"NOWGALLERY: Citizens of Everywhere")</f>
        <v>NOWGALLERY: Citizens of Everywhere</v>
      </c>
      <c r="D116" s="14">
        <f>IFERROR(__xludf.DUMMYFUNCTION("""COMPUTED_VALUE"""),44489.0)</f>
        <v>44489</v>
      </c>
      <c r="E116" s="7" t="str">
        <f>IFERROR(__xludf.DUMMYFUNCTION("""COMPUTED_VALUE"""),"Small (Bar, Exhibitions, Charity Events, Restaurants)")</f>
        <v>Small (Bar, Exhibitions, Charity Events, Restaurants)</v>
      </c>
      <c r="F116" s="7">
        <f>IFERROR(__xludf.DUMMYFUNCTION("""COMPUTED_VALUE"""),265.0)</f>
        <v>265</v>
      </c>
      <c r="G116" s="7" t="str">
        <f>IFERROR(__xludf.DUMMYFUNCTION("""COMPUTED_VALUE"""),"Sherwyn")</f>
        <v>Sherwyn</v>
      </c>
      <c r="H116" s="7"/>
      <c r="I116" s="7"/>
      <c r="J116" s="7"/>
      <c r="K116" s="7"/>
      <c r="L116" s="7"/>
      <c r="M116" s="7"/>
    </row>
    <row r="117">
      <c r="A117" s="11">
        <f>IFERROR(__xludf.DUMMYFUNCTION("""COMPUTED_VALUE"""),44845.876020972224)</f>
        <v>44845.87602</v>
      </c>
      <c r="B117" s="7"/>
      <c r="C117" s="7" t="str">
        <f>IFERROR(__xludf.DUMMYFUNCTION("""COMPUTED_VALUE"""),"NOWGALLERY: Citizens of Everywhere")</f>
        <v>NOWGALLERY: Citizens of Everywhere</v>
      </c>
      <c r="D117" s="14">
        <f>IFERROR(__xludf.DUMMYFUNCTION("""COMPUTED_VALUE"""),44489.0)</f>
        <v>44489</v>
      </c>
      <c r="E117" s="7" t="str">
        <f>IFERROR(__xludf.DUMMYFUNCTION("""COMPUTED_VALUE"""),"Small (Bar, Exhibitions, Charity Events, Restaurants)")</f>
        <v>Small (Bar, Exhibitions, Charity Events, Restaurants)</v>
      </c>
      <c r="F117" s="7">
        <f>IFERROR(__xludf.DUMMYFUNCTION("""COMPUTED_VALUE"""),258.0)</f>
        <v>258</v>
      </c>
      <c r="G117" s="7" t="str">
        <f>IFERROR(__xludf.DUMMYFUNCTION("""COMPUTED_VALUE"""),"Sherwyn")</f>
        <v>Sherwyn</v>
      </c>
      <c r="H117" s="7"/>
      <c r="I117" s="7"/>
      <c r="J117" s="7"/>
      <c r="K117" s="7"/>
      <c r="L117" s="7"/>
      <c r="M117" s="7"/>
    </row>
    <row r="118">
      <c r="A118" s="11">
        <f>IFERROR(__xludf.DUMMYFUNCTION("""COMPUTED_VALUE"""),44845.876232048606)</f>
        <v>44845.87623</v>
      </c>
      <c r="B118" s="7"/>
      <c r="C118" s="7" t="str">
        <f>IFERROR(__xludf.DUMMYFUNCTION("""COMPUTED_VALUE"""),"NOWGALLERY: Citizens of Everywhere")</f>
        <v>NOWGALLERY: Citizens of Everywhere</v>
      </c>
      <c r="D118" s="14">
        <f>IFERROR(__xludf.DUMMYFUNCTION("""COMPUTED_VALUE"""),44489.0)</f>
        <v>44489</v>
      </c>
      <c r="E118" s="7" t="str">
        <f>IFERROR(__xludf.DUMMYFUNCTION("""COMPUTED_VALUE"""),"Small (Bar, Exhibitions, Charity Events, Restaurants)")</f>
        <v>Small (Bar, Exhibitions, Charity Events, Restaurants)</v>
      </c>
      <c r="F118" s="7">
        <f>IFERROR(__xludf.DUMMYFUNCTION("""COMPUTED_VALUE"""),216.0)</f>
        <v>216</v>
      </c>
      <c r="G118" s="7" t="str">
        <f>IFERROR(__xludf.DUMMYFUNCTION("""COMPUTED_VALUE"""),"Sherwyn")</f>
        <v>Sherwyn</v>
      </c>
      <c r="H118" s="7"/>
      <c r="I118" s="7"/>
      <c r="J118" s="7"/>
      <c r="K118" s="7"/>
      <c r="L118" s="7"/>
      <c r="M118" s="7"/>
    </row>
    <row r="119">
      <c r="A119" s="11">
        <f>IFERROR(__xludf.DUMMYFUNCTION("""COMPUTED_VALUE"""),44845.876984490744)</f>
        <v>44845.87698</v>
      </c>
      <c r="B119" s="7"/>
      <c r="C119" s="7" t="str">
        <f>IFERROR(__xludf.DUMMYFUNCTION("""COMPUTED_VALUE"""),"Ravekjavik 2022")</f>
        <v>Ravekjavik 2022</v>
      </c>
      <c r="D119" s="14">
        <f>IFERROR(__xludf.DUMMYFUNCTION("""COMPUTED_VALUE"""),44736.0)</f>
        <v>44736</v>
      </c>
      <c r="E119" s="7" t="str">
        <f>IFERROR(__xludf.DUMMYFUNCTION("""COMPUTED_VALUE"""),"Medium (Medium Sized Club, Corsica, Fabric etc)")</f>
        <v>Medium (Medium Sized Club, Corsica, Fabric etc)</v>
      </c>
      <c r="F119" s="7">
        <f>IFERROR(__xludf.DUMMYFUNCTION("""COMPUTED_VALUE"""),287.0)</f>
        <v>287</v>
      </c>
      <c r="G119" s="7" t="str">
        <f>IFERROR(__xludf.DUMMYFUNCTION("""COMPUTED_VALUE"""),"Sherwyn")</f>
        <v>Sherwyn</v>
      </c>
      <c r="H119" s="7"/>
      <c r="I119" s="7"/>
      <c r="J119" s="7"/>
      <c r="K119" s="7"/>
      <c r="L119" s="7"/>
      <c r="M119" s="7"/>
    </row>
    <row r="120">
      <c r="A120" s="11">
        <f>IFERROR(__xludf.DUMMYFUNCTION("""COMPUTED_VALUE"""),44845.87735188658)</f>
        <v>44845.87735</v>
      </c>
      <c r="B120" s="7"/>
      <c r="C120" s="7" t="str">
        <f>IFERROR(__xludf.DUMMYFUNCTION("""COMPUTED_VALUE"""),"Ravekjavik 2022")</f>
        <v>Ravekjavik 2022</v>
      </c>
      <c r="D120" s="14">
        <f>IFERROR(__xludf.DUMMYFUNCTION("""COMPUTED_VALUE"""),44736.0)</f>
        <v>44736</v>
      </c>
      <c r="E120" s="7" t="str">
        <f>IFERROR(__xludf.DUMMYFUNCTION("""COMPUTED_VALUE"""),"Medium (Medium Sized Club, Corsica, Fabric etc)")</f>
        <v>Medium (Medium Sized Club, Corsica, Fabric etc)</v>
      </c>
      <c r="F120" s="7">
        <f>IFERROR(__xludf.DUMMYFUNCTION("""COMPUTED_VALUE"""),202.0)</f>
        <v>202</v>
      </c>
      <c r="G120" s="7" t="str">
        <f>IFERROR(__xludf.DUMMYFUNCTION("""COMPUTED_VALUE"""),"Sherwyn")</f>
        <v>Sherwyn</v>
      </c>
      <c r="H120" s="7"/>
      <c r="I120" s="7"/>
      <c r="J120" s="7"/>
      <c r="K120" s="7"/>
      <c r="L120" s="7"/>
      <c r="M120" s="7"/>
    </row>
    <row r="121">
      <c r="A121" s="11">
        <f>IFERROR(__xludf.DUMMYFUNCTION("""COMPUTED_VALUE"""),44845.87765296296)</f>
        <v>44845.87765</v>
      </c>
      <c r="B121" s="7"/>
      <c r="C121" s="7" t="str">
        <f>IFERROR(__xludf.DUMMYFUNCTION("""COMPUTED_VALUE"""),"Renate (Berlin)")</f>
        <v>Renate (Berlin)</v>
      </c>
      <c r="D121" s="14">
        <f>IFERROR(__xludf.DUMMYFUNCTION("""COMPUTED_VALUE"""),44519.0)</f>
        <v>44519</v>
      </c>
      <c r="E121" s="7" t="str">
        <f>IFERROR(__xludf.DUMMYFUNCTION("""COMPUTED_VALUE"""),"Medium (Medium Sized Club, Corsica, Fabric etc)")</f>
        <v>Medium (Medium Sized Club, Corsica, Fabric etc)</v>
      </c>
      <c r="F121" s="7">
        <f>IFERROR(__xludf.DUMMYFUNCTION("""COMPUTED_VALUE"""),269.0)</f>
        <v>269</v>
      </c>
      <c r="G121" s="7" t="str">
        <f>IFERROR(__xludf.DUMMYFUNCTION("""COMPUTED_VALUE"""),"Sherwyn")</f>
        <v>Sherwyn</v>
      </c>
      <c r="H121" s="7"/>
      <c r="I121" s="7"/>
      <c r="J121" s="7"/>
      <c r="K121" s="7"/>
      <c r="L121" s="7"/>
      <c r="M121" s="7"/>
    </row>
    <row r="122">
      <c r="A122" s="11">
        <f>IFERROR(__xludf.DUMMYFUNCTION("""COMPUTED_VALUE"""),44845.87783636574)</f>
        <v>44845.87784</v>
      </c>
      <c r="B122" s="7"/>
      <c r="C122" s="7" t="str">
        <f>IFERROR(__xludf.DUMMYFUNCTION("""COMPUTED_VALUE"""),"Renate (Berlin)")</f>
        <v>Renate (Berlin)</v>
      </c>
      <c r="D122" s="14">
        <f>IFERROR(__xludf.DUMMYFUNCTION("""COMPUTED_VALUE"""),44519.0)</f>
        <v>44519</v>
      </c>
      <c r="E122" s="7" t="str">
        <f>IFERROR(__xludf.DUMMYFUNCTION("""COMPUTED_VALUE"""),"Medium (Medium Sized Club, Corsica, Fabric etc)")</f>
        <v>Medium (Medium Sized Club, Corsica, Fabric etc)</v>
      </c>
      <c r="F122" s="7">
        <f>IFERROR(__xludf.DUMMYFUNCTION("""COMPUTED_VALUE"""),318.0)</f>
        <v>318</v>
      </c>
      <c r="G122" s="7" t="str">
        <f>IFERROR(__xludf.DUMMYFUNCTION("""COMPUTED_VALUE"""),"Sherwyn")</f>
        <v>Sherwyn</v>
      </c>
      <c r="H122" s="7"/>
      <c r="I122" s="7"/>
      <c r="J122" s="7"/>
      <c r="K122" s="7"/>
      <c r="L122" s="7"/>
      <c r="M122" s="7"/>
    </row>
    <row r="123">
      <c r="A123" s="11">
        <f>IFERROR(__xludf.DUMMYFUNCTION("""COMPUTED_VALUE"""),44845.878160335655)</f>
        <v>44845.87816</v>
      </c>
      <c r="B123" s="7"/>
      <c r="C123" s="7" t="str">
        <f>IFERROR(__xludf.DUMMYFUNCTION("""COMPUTED_VALUE"""),"Rich Mix: London Remixed Festival")</f>
        <v>Rich Mix: London Remixed Festival</v>
      </c>
      <c r="D123" s="14">
        <f>IFERROR(__xludf.DUMMYFUNCTION("""COMPUTED_VALUE"""),44646.0)</f>
        <v>44646</v>
      </c>
      <c r="E123" s="7" t="str">
        <f>IFERROR(__xludf.DUMMYFUNCTION("""COMPUTED_VALUE"""),"Medium (Medium Sized Club, Corsica, Fabric etc)")</f>
        <v>Medium (Medium Sized Club, Corsica, Fabric etc)</v>
      </c>
      <c r="F123" s="7">
        <f>IFERROR(__xludf.DUMMYFUNCTION("""COMPUTED_VALUE"""),272.0)</f>
        <v>272</v>
      </c>
      <c r="G123" s="7" t="str">
        <f>IFERROR(__xludf.DUMMYFUNCTION("""COMPUTED_VALUE"""),"Sherwyn")</f>
        <v>Sherwyn</v>
      </c>
      <c r="H123" s="7"/>
      <c r="I123" s="7"/>
      <c r="J123" s="7"/>
      <c r="K123" s="7"/>
      <c r="L123" s="7"/>
      <c r="M123" s="7"/>
    </row>
    <row r="124">
      <c r="A124" s="11">
        <f>IFERROR(__xludf.DUMMYFUNCTION("""COMPUTED_VALUE"""),44845.87838857639)</f>
        <v>44845.87839</v>
      </c>
      <c r="B124" s="7"/>
      <c r="C124" s="7" t="str">
        <f>IFERROR(__xludf.DUMMYFUNCTION("""COMPUTED_VALUE"""),"Rich Mix: London Remixed Festival")</f>
        <v>Rich Mix: London Remixed Festival</v>
      </c>
      <c r="D124" s="14">
        <f>IFERROR(__xludf.DUMMYFUNCTION("""COMPUTED_VALUE"""),44646.0)</f>
        <v>44646</v>
      </c>
      <c r="E124" s="7" t="str">
        <f>IFERROR(__xludf.DUMMYFUNCTION("""COMPUTED_VALUE"""),"Medium (Medium Sized Club, Corsica, Fabric etc)")</f>
        <v>Medium (Medium Sized Club, Corsica, Fabric etc)</v>
      </c>
      <c r="F124" s="7">
        <f>IFERROR(__xludf.DUMMYFUNCTION("""COMPUTED_VALUE"""),274.0)</f>
        <v>274</v>
      </c>
      <c r="G124" s="7" t="str">
        <f>IFERROR(__xludf.DUMMYFUNCTION("""COMPUTED_VALUE"""),"Sherwyn")</f>
        <v>Sherwyn</v>
      </c>
      <c r="H124" s="7"/>
      <c r="I124" s="7"/>
      <c r="J124" s="7"/>
      <c r="K124" s="7"/>
      <c r="L124" s="7"/>
      <c r="M124" s="7"/>
    </row>
    <row r="125">
      <c r="A125" s="11">
        <f>IFERROR(__xludf.DUMMYFUNCTION("""COMPUTED_VALUE"""),44845.8785967824)</f>
        <v>44845.8786</v>
      </c>
      <c r="B125" s="7"/>
      <c r="C125" s="7" t="str">
        <f>IFERROR(__xludf.DUMMYFUNCTION("""COMPUTED_VALUE"""),"Rich Mix: London Remixed Festival")</f>
        <v>Rich Mix: London Remixed Festival</v>
      </c>
      <c r="D125" s="14">
        <f>IFERROR(__xludf.DUMMYFUNCTION("""COMPUTED_VALUE"""),44646.0)</f>
        <v>44646</v>
      </c>
      <c r="E125" s="7" t="str">
        <f>IFERROR(__xludf.DUMMYFUNCTION("""COMPUTED_VALUE"""),"Medium (Medium Sized Club, Corsica, Fabric etc)")</f>
        <v>Medium (Medium Sized Club, Corsica, Fabric etc)</v>
      </c>
      <c r="F125" s="7">
        <f>IFERROR(__xludf.DUMMYFUNCTION("""COMPUTED_VALUE"""),214.0)</f>
        <v>214</v>
      </c>
      <c r="G125" s="7" t="str">
        <f>IFERROR(__xludf.DUMMYFUNCTION("""COMPUTED_VALUE"""),"Sherwyn")</f>
        <v>Sherwyn</v>
      </c>
      <c r="H125" s="7"/>
      <c r="I125" s="7"/>
      <c r="J125" s="7"/>
      <c r="K125" s="7"/>
      <c r="L125" s="7"/>
      <c r="M125" s="7"/>
    </row>
    <row r="126">
      <c r="A126" s="11">
        <f>IFERROR(__xludf.DUMMYFUNCTION("""COMPUTED_VALUE"""),44845.87877472222)</f>
        <v>44845.87877</v>
      </c>
      <c r="B126" s="7"/>
      <c r="C126" s="7" t="str">
        <f>IFERROR(__xludf.DUMMYFUNCTION("""COMPUTED_VALUE"""),"Rich Mix: London Remixed Festival")</f>
        <v>Rich Mix: London Remixed Festival</v>
      </c>
      <c r="D126" s="14">
        <f>IFERROR(__xludf.DUMMYFUNCTION("""COMPUTED_VALUE"""),44646.0)</f>
        <v>44646</v>
      </c>
      <c r="E126" s="7" t="str">
        <f>IFERROR(__xludf.DUMMYFUNCTION("""COMPUTED_VALUE"""),"Medium (Medium Sized Club, Corsica, Fabric etc)")</f>
        <v>Medium (Medium Sized Club, Corsica, Fabric etc)</v>
      </c>
      <c r="F126" s="7">
        <f>IFERROR(__xludf.DUMMYFUNCTION("""COMPUTED_VALUE"""),255.0)</f>
        <v>255</v>
      </c>
      <c r="G126" s="7" t="str">
        <f>IFERROR(__xludf.DUMMYFUNCTION("""COMPUTED_VALUE"""),"Sherwyn")</f>
        <v>Sherwyn</v>
      </c>
      <c r="H126" s="7"/>
      <c r="I126" s="7"/>
      <c r="J126" s="7"/>
      <c r="K126" s="7"/>
      <c r="L126" s="7"/>
      <c r="M126" s="7"/>
    </row>
    <row r="127">
      <c r="A127" s="11">
        <f>IFERROR(__xludf.DUMMYFUNCTION("""COMPUTED_VALUE"""),44845.87908423611)</f>
        <v>44845.87908</v>
      </c>
      <c r="B127" s="7"/>
      <c r="C127" s="7" t="str">
        <f>IFERROR(__xludf.DUMMYFUNCTION("""COMPUTED_VALUE"""),"Roundhouse (Daytimers Presents): Nayana IZ, Nikhil Beats &amp; Natanya")</f>
        <v>Roundhouse (Daytimers Presents): Nayana IZ, Nikhil Beats &amp; Natanya</v>
      </c>
      <c r="D127" s="14">
        <f>IFERROR(__xludf.DUMMYFUNCTION("""COMPUTED_VALUE"""),44482.0)</f>
        <v>44482</v>
      </c>
      <c r="E127" s="7" t="str">
        <f>IFERROR(__xludf.DUMMYFUNCTION("""COMPUTED_VALUE"""),"Small (Bar, Exhibitions, Charity Events, Restaurants)")</f>
        <v>Small (Bar, Exhibitions, Charity Events, Restaurants)</v>
      </c>
      <c r="F127" s="7">
        <f>IFERROR(__xludf.DUMMYFUNCTION("""COMPUTED_VALUE"""),265.0)</f>
        <v>265</v>
      </c>
      <c r="G127" s="7" t="str">
        <f>IFERROR(__xludf.DUMMYFUNCTION("""COMPUTED_VALUE"""),"Sherwyn")</f>
        <v>Sherwyn</v>
      </c>
      <c r="H127" s="7"/>
      <c r="I127" s="7"/>
      <c r="J127" s="7"/>
      <c r="K127" s="7"/>
      <c r="L127" s="7"/>
      <c r="M127" s="7"/>
    </row>
    <row r="128">
      <c r="A128" s="11">
        <f>IFERROR(__xludf.DUMMYFUNCTION("""COMPUTED_VALUE"""),44845.87926685185)</f>
        <v>44845.87927</v>
      </c>
      <c r="B128" s="7"/>
      <c r="C128" s="7" t="str">
        <f>IFERROR(__xludf.DUMMYFUNCTION("""COMPUTED_VALUE"""),"Roundhouse (Daytimers Presents): Nayana IZ, Nikhil Beats &amp; Natanya")</f>
        <v>Roundhouse (Daytimers Presents): Nayana IZ, Nikhil Beats &amp; Natanya</v>
      </c>
      <c r="D128" s="14">
        <f>IFERROR(__xludf.DUMMYFUNCTION("""COMPUTED_VALUE"""),44488.0)</f>
        <v>44488</v>
      </c>
      <c r="E128" s="7" t="str">
        <f>IFERROR(__xludf.DUMMYFUNCTION("""COMPUTED_VALUE"""),"Small (Bar, Exhibitions, Charity Events, Restaurants)")</f>
        <v>Small (Bar, Exhibitions, Charity Events, Restaurants)</v>
      </c>
      <c r="F128" s="7">
        <f>IFERROR(__xludf.DUMMYFUNCTION("""COMPUTED_VALUE"""),258.0)</f>
        <v>258</v>
      </c>
      <c r="G128" s="7" t="str">
        <f>IFERROR(__xludf.DUMMYFUNCTION("""COMPUTED_VALUE"""),"Sherwyn")</f>
        <v>Sherwyn</v>
      </c>
      <c r="H128" s="7"/>
      <c r="I128" s="7"/>
      <c r="J128" s="7"/>
      <c r="K128" s="7"/>
      <c r="L128" s="7"/>
      <c r="M128" s="7"/>
    </row>
    <row r="129">
      <c r="A129" s="11">
        <f>IFERROR(__xludf.DUMMYFUNCTION("""COMPUTED_VALUE"""),44845.87954637731)</f>
        <v>44845.87955</v>
      </c>
      <c r="B129" s="7"/>
      <c r="C129" s="7" t="str">
        <f>IFERROR(__xludf.DUMMYFUNCTION("""COMPUTED_VALUE"""),"Roundhouse (Daytimers Presents): Nayana IZ, Nikhil Beats &amp; Natanya")</f>
        <v>Roundhouse (Daytimers Presents): Nayana IZ, Nikhil Beats &amp; Natanya</v>
      </c>
      <c r="D129" s="14">
        <f>IFERROR(__xludf.DUMMYFUNCTION("""COMPUTED_VALUE"""),44488.0)</f>
        <v>44488</v>
      </c>
      <c r="E129" s="7" t="str">
        <f>IFERROR(__xludf.DUMMYFUNCTION("""COMPUTED_VALUE"""),"Small (Bar, Exhibitions, Charity Events, Restaurants)")</f>
        <v>Small (Bar, Exhibitions, Charity Events, Restaurants)</v>
      </c>
      <c r="F129" s="7">
        <f>IFERROR(__xludf.DUMMYFUNCTION("""COMPUTED_VALUE"""),301.0)</f>
        <v>301</v>
      </c>
      <c r="G129" s="7" t="str">
        <f>IFERROR(__xludf.DUMMYFUNCTION("""COMPUTED_VALUE"""),"Sherwyn")</f>
        <v>Sherwyn</v>
      </c>
      <c r="H129" s="7"/>
      <c r="I129" s="7"/>
      <c r="J129" s="7"/>
      <c r="K129" s="7"/>
      <c r="L129" s="7"/>
      <c r="M129" s="7"/>
    </row>
    <row r="130">
      <c r="A130" s="11">
        <f>IFERROR(__xludf.DUMMYFUNCTION("""COMPUTED_VALUE"""),44845.88043660879)</f>
        <v>44845.88044</v>
      </c>
      <c r="B130" s="7"/>
      <c r="C130" s="7" t="str">
        <f>IFERROR(__xludf.DUMMYFUNCTION("""COMPUTED_VALUE"""),"Roundhouse (Daytimers Presents): Nayana IZ, Nikhil Beats &amp; Natanya")</f>
        <v>Roundhouse (Daytimers Presents): Nayana IZ, Nikhil Beats &amp; Natanya</v>
      </c>
      <c r="D130" s="14">
        <f>IFERROR(__xludf.DUMMYFUNCTION("""COMPUTED_VALUE"""),44488.0)</f>
        <v>44488</v>
      </c>
      <c r="E130" s="7" t="str">
        <f>IFERROR(__xludf.DUMMYFUNCTION("""COMPUTED_VALUE"""),"Small (Bar, Exhibitions, Charity Events, Restaurants)")</f>
        <v>Small (Bar, Exhibitions, Charity Events, Restaurants)</v>
      </c>
      <c r="F130" s="7">
        <f>IFERROR(__xludf.DUMMYFUNCTION("""COMPUTED_VALUE"""),302.0)</f>
        <v>302</v>
      </c>
      <c r="G130" s="7" t="str">
        <f>IFERROR(__xludf.DUMMYFUNCTION("""COMPUTED_VALUE"""),"Sherwyn")</f>
        <v>Sherwyn</v>
      </c>
      <c r="H130" s="7"/>
      <c r="I130" s="7"/>
      <c r="J130" s="7"/>
      <c r="K130" s="7"/>
      <c r="L130" s="7"/>
      <c r="M130" s="7"/>
    </row>
    <row r="131">
      <c r="A131" s="11">
        <f>IFERROR(__xludf.DUMMYFUNCTION("""COMPUTED_VALUE"""),44845.88066422453)</f>
        <v>44845.88066</v>
      </c>
      <c r="B131" s="7"/>
      <c r="C131" s="7" t="str">
        <f>IFERROR(__xludf.DUMMYFUNCTION("""COMPUTED_VALUE"""),"Roundhouse (Daytimers Presents): Nayana IZ, Nikhil Beats &amp; Natanya")</f>
        <v>Roundhouse (Daytimers Presents): Nayana IZ, Nikhil Beats &amp; Natanya</v>
      </c>
      <c r="D131" s="14">
        <f>IFERROR(__xludf.DUMMYFUNCTION("""COMPUTED_VALUE"""),44488.0)</f>
        <v>44488</v>
      </c>
      <c r="E131" s="7" t="str">
        <f>IFERROR(__xludf.DUMMYFUNCTION("""COMPUTED_VALUE"""),"Small (Bar, Exhibitions, Charity Events, Restaurants)")</f>
        <v>Small (Bar, Exhibitions, Charity Events, Restaurants)</v>
      </c>
      <c r="F131" s="7">
        <f>IFERROR(__xludf.DUMMYFUNCTION("""COMPUTED_VALUE"""),304.0)</f>
        <v>304</v>
      </c>
      <c r="G131" s="7" t="str">
        <f>IFERROR(__xludf.DUMMYFUNCTION("""COMPUTED_VALUE"""),"Sherwyn")</f>
        <v>Sherwyn</v>
      </c>
      <c r="H131" s="7"/>
      <c r="I131" s="7"/>
      <c r="J131" s="7"/>
      <c r="K131" s="7"/>
      <c r="L131" s="7"/>
      <c r="M131" s="7"/>
    </row>
    <row r="132">
      <c r="A132" s="11">
        <f>IFERROR(__xludf.DUMMYFUNCTION("""COMPUTED_VALUE"""),44845.882434467596)</f>
        <v>44845.88243</v>
      </c>
      <c r="B132" s="7"/>
      <c r="C132" s="7" t="str">
        <f>IFERROR(__xludf.DUMMYFUNCTION("""COMPUTED_VALUE"""),"Sounds from the Other City 2022: Daytimers")</f>
        <v>Sounds from the Other City 2022: Daytimers</v>
      </c>
      <c r="D132" s="14">
        <f>IFERROR(__xludf.DUMMYFUNCTION("""COMPUTED_VALUE"""),44682.0)</f>
        <v>44682</v>
      </c>
      <c r="E132" s="7" t="str">
        <f>IFERROR(__xludf.DUMMYFUNCTION("""COMPUTED_VALUE"""),"Medium (Medium Sized Club, Corsica, Fabric etc)")</f>
        <v>Medium (Medium Sized Club, Corsica, Fabric etc)</v>
      </c>
      <c r="F132" s="7">
        <f>IFERROR(__xludf.DUMMYFUNCTION("""COMPUTED_VALUE"""),264.0)</f>
        <v>264</v>
      </c>
      <c r="G132" s="7" t="str">
        <f>IFERROR(__xludf.DUMMYFUNCTION("""COMPUTED_VALUE"""),"Sherwyn")</f>
        <v>Sherwyn</v>
      </c>
      <c r="H132" s="7"/>
      <c r="I132" s="7"/>
      <c r="J132" s="7"/>
      <c r="K132" s="7"/>
      <c r="L132" s="7"/>
      <c r="M132" s="7"/>
    </row>
    <row r="133">
      <c r="A133" s="11">
        <f>IFERROR(__xludf.DUMMYFUNCTION("""COMPUTED_VALUE"""),44845.88259637731)</f>
        <v>44845.8826</v>
      </c>
      <c r="B133" s="7"/>
      <c r="C133" s="7" t="str">
        <f>IFERROR(__xludf.DUMMYFUNCTION("""COMPUTED_VALUE"""),"Sounds from the Other City 2022: Daytimers")</f>
        <v>Sounds from the Other City 2022: Daytimers</v>
      </c>
      <c r="D133" s="14">
        <f>IFERROR(__xludf.DUMMYFUNCTION("""COMPUTED_VALUE"""),44682.0)</f>
        <v>44682</v>
      </c>
      <c r="E133" s="7" t="str">
        <f>IFERROR(__xludf.DUMMYFUNCTION("""COMPUTED_VALUE"""),"Medium (Medium Sized Club, Corsica, Fabric etc)")</f>
        <v>Medium (Medium Sized Club, Corsica, Fabric etc)</v>
      </c>
      <c r="F133" s="7">
        <f>IFERROR(__xludf.DUMMYFUNCTION("""COMPUTED_VALUE"""),231.0)</f>
        <v>231</v>
      </c>
      <c r="G133" s="7" t="str">
        <f>IFERROR(__xludf.DUMMYFUNCTION("""COMPUTED_VALUE"""),"Sherwyn")</f>
        <v>Sherwyn</v>
      </c>
      <c r="H133" s="7"/>
      <c r="I133" s="7"/>
      <c r="J133" s="7"/>
      <c r="K133" s="7"/>
      <c r="L133" s="7"/>
      <c r="M133" s="7"/>
    </row>
    <row r="134">
      <c r="A134" s="11">
        <f>IFERROR(__xludf.DUMMYFUNCTION("""COMPUTED_VALUE"""),44845.8827527199)</f>
        <v>44845.88275</v>
      </c>
      <c r="B134" s="7"/>
      <c r="C134" s="7" t="str">
        <f>IFERROR(__xludf.DUMMYFUNCTION("""COMPUTED_VALUE"""),"Sounds from the Other City 2022: Daytimers")</f>
        <v>Sounds from the Other City 2022: Daytimers</v>
      </c>
      <c r="D134" s="14">
        <f>IFERROR(__xludf.DUMMYFUNCTION("""COMPUTED_VALUE"""),44682.0)</f>
        <v>44682</v>
      </c>
      <c r="E134" s="7" t="str">
        <f>IFERROR(__xludf.DUMMYFUNCTION("""COMPUTED_VALUE"""),"Medium (Medium Sized Club, Corsica, Fabric etc)")</f>
        <v>Medium (Medium Sized Club, Corsica, Fabric etc)</v>
      </c>
      <c r="F134" s="7">
        <f>IFERROR(__xludf.DUMMYFUNCTION("""COMPUTED_VALUE"""),305.0)</f>
        <v>305</v>
      </c>
      <c r="G134" s="7" t="str">
        <f>IFERROR(__xludf.DUMMYFUNCTION("""COMPUTED_VALUE"""),"Sherwyn")</f>
        <v>Sherwyn</v>
      </c>
      <c r="H134" s="7"/>
      <c r="I134" s="7"/>
      <c r="J134" s="7"/>
      <c r="K134" s="7"/>
      <c r="L134" s="7"/>
      <c r="M134" s="7"/>
    </row>
    <row r="135">
      <c r="A135" s="11">
        <f>IFERROR(__xludf.DUMMYFUNCTION("""COMPUTED_VALUE"""),44845.882914525464)</f>
        <v>44845.88291</v>
      </c>
      <c r="B135" s="7"/>
      <c r="C135" s="7" t="str">
        <f>IFERROR(__xludf.DUMMYFUNCTION("""COMPUTED_VALUE"""),"Sounds from the Other City 2022: Daytimers")</f>
        <v>Sounds from the Other City 2022: Daytimers</v>
      </c>
      <c r="D135" s="14">
        <f>IFERROR(__xludf.DUMMYFUNCTION("""COMPUTED_VALUE"""),44682.0)</f>
        <v>44682</v>
      </c>
      <c r="E135" s="7" t="str">
        <f>IFERROR(__xludf.DUMMYFUNCTION("""COMPUTED_VALUE"""),"Medium (Medium Sized Club, Corsica, Fabric etc)")</f>
        <v>Medium (Medium Sized Club, Corsica, Fabric etc)</v>
      </c>
      <c r="F135" s="7">
        <f>IFERROR(__xludf.DUMMYFUNCTION("""COMPUTED_VALUE"""),320.0)</f>
        <v>320</v>
      </c>
      <c r="G135" s="7" t="str">
        <f>IFERROR(__xludf.DUMMYFUNCTION("""COMPUTED_VALUE"""),"Sherwyn")</f>
        <v>Sherwyn</v>
      </c>
      <c r="H135" s="7"/>
      <c r="I135" s="7"/>
      <c r="J135" s="7"/>
      <c r="K135" s="7"/>
      <c r="L135" s="7"/>
      <c r="M135" s="7"/>
    </row>
    <row r="136">
      <c r="A136" s="11">
        <f>IFERROR(__xludf.DUMMYFUNCTION("""COMPUTED_VALUE"""),44845.88312673611)</f>
        <v>44845.88313</v>
      </c>
      <c r="B136" s="7"/>
      <c r="C136" s="7" t="str">
        <f>IFERROR(__xludf.DUMMYFUNCTION("""COMPUTED_VALUE"""),"Sounds from the Other City 2022: Daytimers")</f>
        <v>Sounds from the Other City 2022: Daytimers</v>
      </c>
      <c r="D136" s="14">
        <f>IFERROR(__xludf.DUMMYFUNCTION("""COMPUTED_VALUE"""),44682.0)</f>
        <v>44682</v>
      </c>
      <c r="E136" s="7" t="str">
        <f>IFERROR(__xludf.DUMMYFUNCTION("""COMPUTED_VALUE"""),"Medium (Medium Sized Club, Corsica, Fabric etc)")</f>
        <v>Medium (Medium Sized Club, Corsica, Fabric etc)</v>
      </c>
      <c r="F136" s="7">
        <f>IFERROR(__xludf.DUMMYFUNCTION("""COMPUTED_VALUE"""),321.0)</f>
        <v>321</v>
      </c>
      <c r="G136" s="7" t="str">
        <f>IFERROR(__xludf.DUMMYFUNCTION("""COMPUTED_VALUE"""),"Sherwyn")</f>
        <v>Sherwyn</v>
      </c>
      <c r="H136" s="7"/>
      <c r="I136" s="7"/>
      <c r="J136" s="7"/>
      <c r="K136" s="7"/>
      <c r="L136" s="7"/>
      <c r="M136" s="7"/>
    </row>
    <row r="137">
      <c r="A137" s="11">
        <f>IFERROR(__xludf.DUMMYFUNCTION("""COMPUTED_VALUE"""),44845.88329175926)</f>
        <v>44845.88329</v>
      </c>
      <c r="B137" s="7"/>
      <c r="C137" s="7" t="str">
        <f>IFERROR(__xludf.DUMMYFUNCTION("""COMPUTED_VALUE"""),"Sounds from the Other City 2022: Daytimers")</f>
        <v>Sounds from the Other City 2022: Daytimers</v>
      </c>
      <c r="D137" s="14">
        <f>IFERROR(__xludf.DUMMYFUNCTION("""COMPUTED_VALUE"""),44682.0)</f>
        <v>44682</v>
      </c>
      <c r="E137" s="7" t="str">
        <f>IFERROR(__xludf.DUMMYFUNCTION("""COMPUTED_VALUE"""),"Medium (Medium Sized Club, Corsica, Fabric etc)")</f>
        <v>Medium (Medium Sized Club, Corsica, Fabric etc)</v>
      </c>
      <c r="F137" s="7">
        <f>IFERROR(__xludf.DUMMYFUNCTION("""COMPUTED_VALUE"""),335.0)</f>
        <v>335</v>
      </c>
      <c r="G137" s="7" t="str">
        <f>IFERROR(__xludf.DUMMYFUNCTION("""COMPUTED_VALUE"""),"Sherwyn")</f>
        <v>Sherwyn</v>
      </c>
      <c r="H137" s="7"/>
      <c r="I137" s="7"/>
      <c r="J137" s="7"/>
      <c r="K137" s="7"/>
      <c r="L137" s="7"/>
      <c r="M137" s="7"/>
    </row>
    <row r="138">
      <c r="A138" s="11">
        <f>IFERROR(__xludf.DUMMYFUNCTION("""COMPUTED_VALUE"""),44845.883599016204)</f>
        <v>44845.8836</v>
      </c>
      <c r="B138" s="7"/>
      <c r="C138" s="7" t="str">
        <f>IFERROR(__xludf.DUMMYFUNCTION("""COMPUTED_VALUE"""),"Sounds from the Other City 2022: Daytimers")</f>
        <v>Sounds from the Other City 2022: Daytimers</v>
      </c>
      <c r="D138" s="14">
        <f>IFERROR(__xludf.DUMMYFUNCTION("""COMPUTED_VALUE"""),44682.0)</f>
        <v>44682</v>
      </c>
      <c r="E138" s="7" t="str">
        <f>IFERROR(__xludf.DUMMYFUNCTION("""COMPUTED_VALUE"""),"Medium (Medium Sized Club, Corsica, Fabric etc)")</f>
        <v>Medium (Medium Sized Club, Corsica, Fabric etc)</v>
      </c>
      <c r="F138" s="7">
        <f>IFERROR(__xludf.DUMMYFUNCTION("""COMPUTED_VALUE"""),336.0)</f>
        <v>336</v>
      </c>
      <c r="G138" s="7" t="str">
        <f>IFERROR(__xludf.DUMMYFUNCTION("""COMPUTED_VALUE"""),"Sherwyn")</f>
        <v>Sherwyn</v>
      </c>
      <c r="H138" s="7"/>
      <c r="I138" s="7"/>
      <c r="J138" s="7"/>
      <c r="K138" s="7"/>
      <c r="L138" s="7"/>
      <c r="M138" s="7"/>
    </row>
    <row r="139">
      <c r="A139" s="11">
        <f>IFERROR(__xludf.DUMMYFUNCTION("""COMPUTED_VALUE"""),44845.88444133102)</f>
        <v>44845.88444</v>
      </c>
      <c r="B139" s="7"/>
      <c r="C139" s="7" t="str">
        <f>IFERROR(__xludf.DUMMYFUNCTION("""COMPUTED_VALUE"""),"The Carpet Shop (Daytimers Takeover)")</f>
        <v>The Carpet Shop (Daytimers Takeover)</v>
      </c>
      <c r="D139" s="14">
        <f>IFERROR(__xludf.DUMMYFUNCTION("""COMPUTED_VALUE"""),44638.0)</f>
        <v>44638</v>
      </c>
      <c r="E139" s="7" t="str">
        <f>IFERROR(__xludf.DUMMYFUNCTION("""COMPUTED_VALUE"""),"Medium (Medium Sized Club, Corsica, Fabric etc)")</f>
        <v>Medium (Medium Sized Club, Corsica, Fabric etc)</v>
      </c>
      <c r="F139" s="7">
        <f>IFERROR(__xludf.DUMMYFUNCTION("""COMPUTED_VALUE"""),224.0)</f>
        <v>224</v>
      </c>
      <c r="G139" s="7" t="str">
        <f>IFERROR(__xludf.DUMMYFUNCTION("""COMPUTED_VALUE"""),"Sherwyn")</f>
        <v>Sherwyn</v>
      </c>
      <c r="H139" s="7"/>
      <c r="I139" s="7"/>
      <c r="J139" s="7"/>
      <c r="K139" s="7"/>
      <c r="L139" s="7"/>
      <c r="M139" s="7"/>
    </row>
    <row r="140">
      <c r="A140" s="11">
        <f>IFERROR(__xludf.DUMMYFUNCTION("""COMPUTED_VALUE"""),44845.88469802083)</f>
        <v>44845.8847</v>
      </c>
      <c r="B140" s="7"/>
      <c r="C140" s="7" t="str">
        <f>IFERROR(__xludf.DUMMYFUNCTION("""COMPUTED_VALUE"""),"The Carpet Shop (Daytimers Takeover)")</f>
        <v>The Carpet Shop (Daytimers Takeover)</v>
      </c>
      <c r="D140" s="14">
        <f>IFERROR(__xludf.DUMMYFUNCTION("""COMPUTED_VALUE"""),44638.0)</f>
        <v>44638</v>
      </c>
      <c r="E140" s="7" t="str">
        <f>IFERROR(__xludf.DUMMYFUNCTION("""COMPUTED_VALUE"""),"Medium (Medium Sized Club, Corsica, Fabric etc)")</f>
        <v>Medium (Medium Sized Club, Corsica, Fabric etc)</v>
      </c>
      <c r="F140" s="7">
        <f>IFERROR(__xludf.DUMMYFUNCTION("""COMPUTED_VALUE"""),297.0)</f>
        <v>297</v>
      </c>
      <c r="G140" s="7" t="str">
        <f>IFERROR(__xludf.DUMMYFUNCTION("""COMPUTED_VALUE"""),"Sherwyn")</f>
        <v>Sherwyn</v>
      </c>
      <c r="H140" s="7"/>
      <c r="I140" s="7"/>
      <c r="J140" s="7"/>
      <c r="K140" s="7"/>
      <c r="L140" s="7"/>
      <c r="M140" s="7"/>
    </row>
    <row r="141">
      <c r="A141" s="11">
        <f>IFERROR(__xludf.DUMMYFUNCTION("""COMPUTED_VALUE"""),44845.88489436342)</f>
        <v>44845.88489</v>
      </c>
      <c r="B141" s="7"/>
      <c r="C141" s="7" t="str">
        <f>IFERROR(__xludf.DUMMYFUNCTION("""COMPUTED_VALUE"""),"The Carpet Shop (Daytimers Takeover)")</f>
        <v>The Carpet Shop (Daytimers Takeover)</v>
      </c>
      <c r="D141" s="14">
        <f>IFERROR(__xludf.DUMMYFUNCTION("""COMPUTED_VALUE"""),44638.0)</f>
        <v>44638</v>
      </c>
      <c r="E141" s="7" t="str">
        <f>IFERROR(__xludf.DUMMYFUNCTION("""COMPUTED_VALUE"""),"Medium (Medium Sized Club, Corsica, Fabric etc)")</f>
        <v>Medium (Medium Sized Club, Corsica, Fabric etc)</v>
      </c>
      <c r="F141" s="7">
        <f>IFERROR(__xludf.DUMMYFUNCTION("""COMPUTED_VALUE"""),328.0)</f>
        <v>328</v>
      </c>
      <c r="G141" s="7" t="str">
        <f>IFERROR(__xludf.DUMMYFUNCTION("""COMPUTED_VALUE"""),"Sherwyn")</f>
        <v>Sherwyn</v>
      </c>
      <c r="H141" s="7"/>
      <c r="I141" s="7"/>
      <c r="J141" s="7"/>
      <c r="K141" s="7"/>
      <c r="L141" s="7"/>
      <c r="M141" s="7"/>
    </row>
    <row r="142">
      <c r="A142" s="11">
        <f>IFERROR(__xludf.DUMMYFUNCTION("""COMPUTED_VALUE"""),44845.88507266204)</f>
        <v>44845.88507</v>
      </c>
      <c r="B142" s="7"/>
      <c r="C142" s="7" t="str">
        <f>IFERROR(__xludf.DUMMYFUNCTION("""COMPUTED_VALUE"""),"The Carpet Shop (Daytimers Takeover)")</f>
        <v>The Carpet Shop (Daytimers Takeover)</v>
      </c>
      <c r="D142" s="14">
        <f>IFERROR(__xludf.DUMMYFUNCTION("""COMPUTED_VALUE"""),44638.0)</f>
        <v>44638</v>
      </c>
      <c r="E142" s="7" t="str">
        <f>IFERROR(__xludf.DUMMYFUNCTION("""COMPUTED_VALUE"""),"Medium (Medium Sized Club, Corsica, Fabric etc)")</f>
        <v>Medium (Medium Sized Club, Corsica, Fabric etc)</v>
      </c>
      <c r="F142" s="7">
        <f>IFERROR(__xludf.DUMMYFUNCTION("""COMPUTED_VALUE"""),341.0)</f>
        <v>341</v>
      </c>
      <c r="G142" s="7" t="str">
        <f>IFERROR(__xludf.DUMMYFUNCTION("""COMPUTED_VALUE"""),"Sherwyn")</f>
        <v>Sherwyn</v>
      </c>
      <c r="H142" s="7"/>
      <c r="I142" s="7"/>
      <c r="J142" s="7"/>
      <c r="K142" s="7"/>
      <c r="L142" s="7"/>
      <c r="M142" s="7"/>
    </row>
    <row r="143">
      <c r="A143" s="11">
        <f>IFERROR(__xludf.DUMMYFUNCTION("""COMPUTED_VALUE"""),44845.885383472225)</f>
        <v>44845.88538</v>
      </c>
      <c r="B143" s="7"/>
      <c r="C143" s="7" t="str">
        <f>IFERROR(__xludf.DUMMYFUNCTION("""COMPUTED_VALUE"""),"Thehalleyspace: DJ Workshops")</f>
        <v>Thehalleyspace: DJ Workshops</v>
      </c>
      <c r="D143" s="14">
        <f>IFERROR(__xludf.DUMMYFUNCTION("""COMPUTED_VALUE"""),44653.0)</f>
        <v>44653</v>
      </c>
      <c r="E143" s="7" t="str">
        <f>IFERROR(__xludf.DUMMYFUNCTION("""COMPUTED_VALUE"""),"Small (Bar, Exhibitions, Charity Events, Restaurants)")</f>
        <v>Small (Bar, Exhibitions, Charity Events, Restaurants)</v>
      </c>
      <c r="F143" s="7">
        <f>IFERROR(__xludf.DUMMYFUNCTION("""COMPUTED_VALUE"""),265.0)</f>
        <v>265</v>
      </c>
      <c r="G143" s="7" t="str">
        <f>IFERROR(__xludf.DUMMYFUNCTION("""COMPUTED_VALUE"""),"Sherwyn")</f>
        <v>Sherwyn</v>
      </c>
      <c r="H143" s="7"/>
      <c r="I143" s="7"/>
      <c r="J143" s="7"/>
      <c r="K143" s="7"/>
      <c r="L143" s="7"/>
      <c r="M143" s="7"/>
    </row>
    <row r="144">
      <c r="A144" s="11">
        <f>IFERROR(__xludf.DUMMYFUNCTION("""COMPUTED_VALUE"""),44845.885595590276)</f>
        <v>44845.8856</v>
      </c>
      <c r="B144" s="7"/>
      <c r="C144" s="7" t="str">
        <f>IFERROR(__xludf.DUMMYFUNCTION("""COMPUTED_VALUE"""),"Thehalleyspace: DJ Workshops")</f>
        <v>Thehalleyspace: DJ Workshops</v>
      </c>
      <c r="D144" s="14">
        <f>IFERROR(__xludf.DUMMYFUNCTION("""COMPUTED_VALUE"""),44653.0)</f>
        <v>44653</v>
      </c>
      <c r="E144" s="7" t="str">
        <f>IFERROR(__xludf.DUMMYFUNCTION("""COMPUTED_VALUE"""),"Small (Bar, Exhibitions, Charity Events, Restaurants)")</f>
        <v>Small (Bar, Exhibitions, Charity Events, Restaurants)</v>
      </c>
      <c r="F144" s="7">
        <f>IFERROR(__xludf.DUMMYFUNCTION("""COMPUTED_VALUE"""),264.0)</f>
        <v>264</v>
      </c>
      <c r="G144" s="7" t="str">
        <f>IFERROR(__xludf.DUMMYFUNCTION("""COMPUTED_VALUE"""),"Sherwyn")</f>
        <v>Sherwyn</v>
      </c>
      <c r="H144" s="7"/>
      <c r="I144" s="7"/>
      <c r="J144" s="7"/>
      <c r="K144" s="7"/>
      <c r="L144" s="7"/>
      <c r="M144" s="7"/>
    </row>
    <row r="145">
      <c r="A145" s="11">
        <f>IFERROR(__xludf.DUMMYFUNCTION("""COMPUTED_VALUE"""),44845.88582729167)</f>
        <v>44845.88583</v>
      </c>
      <c r="B145" s="7"/>
      <c r="C145" s="7" t="str">
        <f>IFERROR(__xludf.DUMMYFUNCTION("""COMPUTED_VALUE"""),"Thehalleyspace: DJ Workshops")</f>
        <v>Thehalleyspace: DJ Workshops</v>
      </c>
      <c r="D145" s="14">
        <f>IFERROR(__xludf.DUMMYFUNCTION("""COMPUTED_VALUE"""),44653.0)</f>
        <v>44653</v>
      </c>
      <c r="E145" s="7" t="str">
        <f>IFERROR(__xludf.DUMMYFUNCTION("""COMPUTED_VALUE"""),"Small (Bar, Exhibitions, Charity Events, Restaurants)")</f>
        <v>Small (Bar, Exhibitions, Charity Events, Restaurants)</v>
      </c>
      <c r="F145" s="7">
        <f>IFERROR(__xludf.DUMMYFUNCTION("""COMPUTED_VALUE"""),218.0)</f>
        <v>218</v>
      </c>
      <c r="G145" s="7" t="str">
        <f>IFERROR(__xludf.DUMMYFUNCTION("""COMPUTED_VALUE"""),"Sherwyn")</f>
        <v>Sherwyn</v>
      </c>
      <c r="H145" s="7"/>
      <c r="I145" s="7"/>
      <c r="J145" s="7"/>
      <c r="K145" s="7"/>
      <c r="L145" s="7"/>
      <c r="M145" s="7"/>
    </row>
    <row r="146">
      <c r="A146" s="11">
        <f>IFERROR(__xludf.DUMMYFUNCTION("""COMPUTED_VALUE"""),44845.885994571756)</f>
        <v>44845.88599</v>
      </c>
      <c r="B146" s="7"/>
      <c r="C146" s="7" t="str">
        <f>IFERROR(__xludf.DUMMYFUNCTION("""COMPUTED_VALUE"""),"Thehalleyspace: DJ Workshops")</f>
        <v>Thehalleyspace: DJ Workshops</v>
      </c>
      <c r="D146" s="14">
        <f>IFERROR(__xludf.DUMMYFUNCTION("""COMPUTED_VALUE"""),44653.0)</f>
        <v>44653</v>
      </c>
      <c r="E146" s="7" t="str">
        <f>IFERROR(__xludf.DUMMYFUNCTION("""COMPUTED_VALUE"""),"Small (Bar, Exhibitions, Charity Events, Restaurants)")</f>
        <v>Small (Bar, Exhibitions, Charity Events, Restaurants)</v>
      </c>
      <c r="F146" s="7">
        <f>IFERROR(__xludf.DUMMYFUNCTION("""COMPUTED_VALUE"""),258.0)</f>
        <v>258</v>
      </c>
      <c r="G146" s="7" t="str">
        <f>IFERROR(__xludf.DUMMYFUNCTION("""COMPUTED_VALUE"""),"Sherwyn")</f>
        <v>Sherwyn</v>
      </c>
      <c r="H146" s="7"/>
      <c r="I146" s="7"/>
      <c r="J146" s="7"/>
      <c r="K146" s="7"/>
      <c r="L146" s="7"/>
      <c r="M146" s="7"/>
    </row>
    <row r="147">
      <c r="A147" s="11">
        <f>IFERROR(__xludf.DUMMYFUNCTION("""COMPUTED_VALUE"""),44845.88634099537)</f>
        <v>44845.88634</v>
      </c>
      <c r="B147" s="7"/>
      <c r="C147" s="7" t="str">
        <f>IFERROR(__xludf.DUMMYFUNCTION("""COMPUTED_VALUE"""),"This Bright Land: Somerset House")</f>
        <v>This Bright Land: Somerset House</v>
      </c>
      <c r="D147" s="14">
        <f>IFERROR(__xludf.DUMMYFUNCTION("""COMPUTED_VALUE"""),44799.0)</f>
        <v>44799</v>
      </c>
      <c r="E147" s="7" t="str">
        <f>IFERROR(__xludf.DUMMYFUNCTION("""COMPUTED_VALUE"""),"Medium (Medium Sized Club, Corsica, Fabric etc)")</f>
        <v>Medium (Medium Sized Club, Corsica, Fabric etc)</v>
      </c>
      <c r="F147" s="7">
        <f>IFERROR(__xludf.DUMMYFUNCTION("""COMPUTED_VALUE"""),274.0)</f>
        <v>274</v>
      </c>
      <c r="G147" s="7" t="str">
        <f>IFERROR(__xludf.DUMMYFUNCTION("""COMPUTED_VALUE"""),"Sherwyn")</f>
        <v>Sherwyn</v>
      </c>
      <c r="H147" s="7"/>
      <c r="I147" s="7"/>
      <c r="J147" s="7"/>
      <c r="K147" s="7"/>
      <c r="L147" s="7"/>
      <c r="M147" s="7"/>
    </row>
    <row r="148">
      <c r="A148" s="11">
        <f>IFERROR(__xludf.DUMMYFUNCTION("""COMPUTED_VALUE"""),44845.88658126157)</f>
        <v>44845.88658</v>
      </c>
      <c r="B148" s="7"/>
      <c r="C148" s="7" t="str">
        <f>IFERROR(__xludf.DUMMYFUNCTION("""COMPUTED_VALUE"""),"This Bright Land: Somerset House")</f>
        <v>This Bright Land: Somerset House</v>
      </c>
      <c r="D148" s="14">
        <f>IFERROR(__xludf.DUMMYFUNCTION("""COMPUTED_VALUE"""),44799.0)</f>
        <v>44799</v>
      </c>
      <c r="E148" s="7" t="str">
        <f>IFERROR(__xludf.DUMMYFUNCTION("""COMPUTED_VALUE"""),"Medium (Medium Sized Club, Corsica, Fabric etc)")</f>
        <v>Medium (Medium Sized Club, Corsica, Fabric etc)</v>
      </c>
      <c r="F148" s="7">
        <f>IFERROR(__xludf.DUMMYFUNCTION("""COMPUTED_VALUE"""),281.0)</f>
        <v>281</v>
      </c>
      <c r="G148" s="7" t="str">
        <f>IFERROR(__xludf.DUMMYFUNCTION("""COMPUTED_VALUE"""),"Sherwyn")</f>
        <v>Sherwyn</v>
      </c>
      <c r="H148" s="7"/>
      <c r="I148" s="7"/>
      <c r="J148" s="7"/>
      <c r="K148" s="7"/>
      <c r="L148" s="7"/>
      <c r="M148" s="7"/>
    </row>
    <row r="149">
      <c r="A149" s="11">
        <f>IFERROR(__xludf.DUMMYFUNCTION("""COMPUTED_VALUE"""),44845.88688173611)</f>
        <v>44845.88688</v>
      </c>
      <c r="B149" s="7"/>
      <c r="C149" s="7" t="str">
        <f>IFERROR(__xludf.DUMMYFUNCTION("""COMPUTED_VALUE"""),"This Bright Land: Somerset House")</f>
        <v>This Bright Land: Somerset House</v>
      </c>
      <c r="D149" s="14">
        <f>IFERROR(__xludf.DUMMYFUNCTION("""COMPUTED_VALUE"""),44799.0)</f>
        <v>44799</v>
      </c>
      <c r="E149" s="7" t="str">
        <f>IFERROR(__xludf.DUMMYFUNCTION("""COMPUTED_VALUE"""),"Medium (Medium Sized Club, Corsica, Fabric etc)")</f>
        <v>Medium (Medium Sized Club, Corsica, Fabric etc)</v>
      </c>
      <c r="F149" s="7">
        <f>IFERROR(__xludf.DUMMYFUNCTION("""COMPUTED_VALUE"""),288.0)</f>
        <v>288</v>
      </c>
      <c r="G149" s="7" t="str">
        <f>IFERROR(__xludf.DUMMYFUNCTION("""COMPUTED_VALUE"""),"Sherwyn")</f>
        <v>Sherwyn</v>
      </c>
      <c r="H149" s="7"/>
      <c r="I149" s="7"/>
      <c r="J149" s="7"/>
      <c r="K149" s="7"/>
      <c r="L149" s="7"/>
      <c r="M149" s="7"/>
    </row>
    <row r="150">
      <c r="A150" s="11">
        <f>IFERROR(__xludf.DUMMYFUNCTION("""COMPUTED_VALUE"""),44845.88716457176)</f>
        <v>44845.88716</v>
      </c>
      <c r="B150" s="7"/>
      <c r="C150" s="7" t="str">
        <f>IFERROR(__xludf.DUMMYFUNCTION("""COMPUTED_VALUE"""),"This Bright Land: Somerset House")</f>
        <v>This Bright Land: Somerset House</v>
      </c>
      <c r="D150" s="14">
        <f>IFERROR(__xludf.DUMMYFUNCTION("""COMPUTED_VALUE"""),44799.0)</f>
        <v>44799</v>
      </c>
      <c r="E150" s="7" t="str">
        <f>IFERROR(__xludf.DUMMYFUNCTION("""COMPUTED_VALUE"""),"Medium (Medium Sized Club, Corsica, Fabric etc)")</f>
        <v>Medium (Medium Sized Club, Corsica, Fabric etc)</v>
      </c>
      <c r="F150" s="7">
        <f>IFERROR(__xludf.DUMMYFUNCTION("""COMPUTED_VALUE"""),276.0)</f>
        <v>276</v>
      </c>
      <c r="G150" s="7" t="str">
        <f>IFERROR(__xludf.DUMMYFUNCTION("""COMPUTED_VALUE"""),"Sherwyn")</f>
        <v>Sherwyn</v>
      </c>
      <c r="H150" s="7"/>
      <c r="I150" s="7"/>
      <c r="J150" s="7"/>
      <c r="K150" s="7"/>
      <c r="L150" s="7"/>
      <c r="M150" s="7"/>
    </row>
    <row r="151">
      <c r="A151" s="11">
        <f>IFERROR(__xludf.DUMMYFUNCTION("""COMPUTED_VALUE"""),44845.88747972222)</f>
        <v>44845.88748</v>
      </c>
      <c r="B151" s="7"/>
      <c r="C151" s="7" t="str">
        <f>IFERROR(__xludf.DUMMYFUNCTION("""COMPUTED_VALUE"""),"Visions x Daytimers Afterparty")</f>
        <v>Visions x Daytimers Afterparty</v>
      </c>
      <c r="D151" s="14">
        <f>IFERROR(__xludf.DUMMYFUNCTION("""COMPUTED_VALUE"""),44765.0)</f>
        <v>44765</v>
      </c>
      <c r="E151" s="7" t="str">
        <f>IFERROR(__xludf.DUMMYFUNCTION("""COMPUTED_VALUE"""),"Medium (Medium Sized Club, Corsica, Fabric etc)")</f>
        <v>Medium (Medium Sized Club, Corsica, Fabric etc)</v>
      </c>
      <c r="F151" s="7">
        <f>IFERROR(__xludf.DUMMYFUNCTION("""COMPUTED_VALUE"""),293.0)</f>
        <v>293</v>
      </c>
      <c r="G151" s="7" t="str">
        <f>IFERROR(__xludf.DUMMYFUNCTION("""COMPUTED_VALUE"""),"Sherwyn")</f>
        <v>Sherwyn</v>
      </c>
      <c r="H151" s="7"/>
      <c r="I151" s="7"/>
      <c r="J151" s="7"/>
      <c r="K151" s="7"/>
      <c r="L151" s="7"/>
      <c r="M151" s="7"/>
    </row>
    <row r="152">
      <c r="A152" s="11">
        <f>IFERROR(__xludf.DUMMYFUNCTION("""COMPUTED_VALUE"""),44845.88764059028)</f>
        <v>44845.88764</v>
      </c>
      <c r="B152" s="7"/>
      <c r="C152" s="7" t="str">
        <f>IFERROR(__xludf.DUMMYFUNCTION("""COMPUTED_VALUE"""),"Visions x Daytimers Afterparty")</f>
        <v>Visions x Daytimers Afterparty</v>
      </c>
      <c r="D152" s="14">
        <f>IFERROR(__xludf.DUMMYFUNCTION("""COMPUTED_VALUE"""),44765.0)</f>
        <v>44765</v>
      </c>
      <c r="E152" s="7" t="str">
        <f>IFERROR(__xludf.DUMMYFUNCTION("""COMPUTED_VALUE"""),"Medium (Medium Sized Club, Corsica, Fabric etc)")</f>
        <v>Medium (Medium Sized Club, Corsica, Fabric etc)</v>
      </c>
      <c r="F152" s="7">
        <f>IFERROR(__xludf.DUMMYFUNCTION("""COMPUTED_VALUE"""),311.0)</f>
        <v>311</v>
      </c>
      <c r="G152" s="7" t="str">
        <f>IFERROR(__xludf.DUMMYFUNCTION("""COMPUTED_VALUE"""),"Sherwyn")</f>
        <v>Sherwyn</v>
      </c>
      <c r="H152" s="7"/>
      <c r="I152" s="7"/>
      <c r="J152" s="7"/>
      <c r="K152" s="7"/>
      <c r="L152" s="7"/>
      <c r="M152" s="7"/>
    </row>
    <row r="153">
      <c r="A153" s="11">
        <f>IFERROR(__xludf.DUMMYFUNCTION("""COMPUTED_VALUE"""),44845.887898368055)</f>
        <v>44845.8879</v>
      </c>
      <c r="B153" s="7"/>
      <c r="C153" s="7" t="str">
        <f>IFERROR(__xludf.DUMMYFUNCTION("""COMPUTED_VALUE"""),"Wigflex Festival")</f>
        <v>Wigflex Festival</v>
      </c>
      <c r="D153" s="14">
        <f>IFERROR(__xludf.DUMMYFUNCTION("""COMPUTED_VALUE"""),44417.0)</f>
        <v>44417</v>
      </c>
      <c r="E153" s="7" t="str">
        <f>IFERROR(__xludf.DUMMYFUNCTION("""COMPUTED_VALUE"""),"Medium (Medium Sized Club, Corsica, Fabric etc)")</f>
        <v>Medium (Medium Sized Club, Corsica, Fabric etc)</v>
      </c>
      <c r="F153" s="7">
        <f>IFERROR(__xludf.DUMMYFUNCTION("""COMPUTED_VALUE"""),300.0)</f>
        <v>300</v>
      </c>
      <c r="G153" s="7" t="str">
        <f>IFERROR(__xludf.DUMMYFUNCTION("""COMPUTED_VALUE"""),"Sherwyn")</f>
        <v>Sherwyn</v>
      </c>
      <c r="H153" s="7"/>
      <c r="I153" s="7"/>
      <c r="J153" s="7"/>
      <c r="K153" s="7"/>
      <c r="L153" s="7"/>
      <c r="M153" s="7"/>
    </row>
    <row r="154">
      <c r="A154" s="11">
        <f>IFERROR(__xludf.DUMMYFUNCTION("""COMPUTED_VALUE"""),44845.88804590278)</f>
        <v>44845.88805</v>
      </c>
      <c r="B154" s="7"/>
      <c r="C154" s="7" t="str">
        <f>IFERROR(__xludf.DUMMYFUNCTION("""COMPUTED_VALUE"""),"Wigflex Festival")</f>
        <v>Wigflex Festival</v>
      </c>
      <c r="D154" s="14">
        <f>IFERROR(__xludf.DUMMYFUNCTION("""COMPUTED_VALUE"""),44417.0)</f>
        <v>44417</v>
      </c>
      <c r="E154" s="7" t="str">
        <f>IFERROR(__xludf.DUMMYFUNCTION("""COMPUTED_VALUE"""),"Medium (Medium Sized Club, Corsica, Fabric etc)")</f>
        <v>Medium (Medium Sized Club, Corsica, Fabric etc)</v>
      </c>
      <c r="F154" s="7">
        <f>IFERROR(__xludf.DUMMYFUNCTION("""COMPUTED_VALUE"""),222.0)</f>
        <v>222</v>
      </c>
      <c r="G154" s="7" t="str">
        <f>IFERROR(__xludf.DUMMYFUNCTION("""COMPUTED_VALUE"""),"Sherwyn")</f>
        <v>Sherwyn</v>
      </c>
      <c r="H154" s="7"/>
      <c r="I154" s="7"/>
      <c r="J154" s="7"/>
      <c r="K154" s="7"/>
      <c r="L154" s="7"/>
      <c r="M154" s="7"/>
    </row>
    <row r="155">
      <c r="A155" s="11">
        <f>IFERROR(__xludf.DUMMYFUNCTION("""COMPUTED_VALUE"""),44845.88827945601)</f>
        <v>44845.88828</v>
      </c>
      <c r="B155" s="7"/>
      <c r="C155" s="7" t="str">
        <f>IFERROR(__xludf.DUMMYFUNCTION("""COMPUTED_VALUE"""),"Wigflex Festival")</f>
        <v>Wigflex Festival</v>
      </c>
      <c r="D155" s="14">
        <f>IFERROR(__xludf.DUMMYFUNCTION("""COMPUTED_VALUE"""),44417.0)</f>
        <v>44417</v>
      </c>
      <c r="E155" s="7" t="str">
        <f>IFERROR(__xludf.DUMMYFUNCTION("""COMPUTED_VALUE"""),"Medium (Medium Sized Club, Corsica, Fabric etc)")</f>
        <v>Medium (Medium Sized Club, Corsica, Fabric etc)</v>
      </c>
      <c r="F155" s="7">
        <f>IFERROR(__xludf.DUMMYFUNCTION("""COMPUTED_VALUE"""),216.0)</f>
        <v>216</v>
      </c>
      <c r="G155" s="7" t="str">
        <f>IFERROR(__xludf.DUMMYFUNCTION("""COMPUTED_VALUE"""),"Sherwyn")</f>
        <v>Sherwyn</v>
      </c>
      <c r="H155" s="7"/>
      <c r="I155" s="7"/>
      <c r="J155" s="7"/>
      <c r="K155" s="7"/>
      <c r="L155" s="7"/>
      <c r="M155" s="7"/>
    </row>
    <row r="156">
      <c r="A156" s="11">
        <f>IFERROR(__xludf.DUMMYFUNCTION("""COMPUTED_VALUE"""),44845.888479444446)</f>
        <v>44845.88848</v>
      </c>
      <c r="B156" s="7"/>
      <c r="C156" s="7" t="str">
        <f>IFERROR(__xludf.DUMMYFUNCTION("""COMPUTED_VALUE"""),"Wigflex Festival")</f>
        <v>Wigflex Festival</v>
      </c>
      <c r="D156" s="14">
        <f>IFERROR(__xludf.DUMMYFUNCTION("""COMPUTED_VALUE"""),44417.0)</f>
        <v>44417</v>
      </c>
      <c r="E156" s="7" t="str">
        <f>IFERROR(__xludf.DUMMYFUNCTION("""COMPUTED_VALUE"""),"Medium (Medium Sized Club, Corsica, Fabric etc)")</f>
        <v>Medium (Medium Sized Club, Corsica, Fabric etc)</v>
      </c>
      <c r="F156" s="7">
        <f>IFERROR(__xludf.DUMMYFUNCTION("""COMPUTED_VALUE"""),339.0)</f>
        <v>339</v>
      </c>
      <c r="G156" s="7" t="str">
        <f>IFERROR(__xludf.DUMMYFUNCTION("""COMPUTED_VALUE"""),"Sherwyn")</f>
        <v>Sherwyn</v>
      </c>
      <c r="H156" s="7"/>
      <c r="I156" s="7"/>
      <c r="J156" s="7"/>
      <c r="K156" s="7"/>
      <c r="L156" s="7"/>
      <c r="M156" s="7"/>
    </row>
    <row r="157">
      <c r="A157" s="11">
        <f>IFERROR(__xludf.DUMMYFUNCTION("""COMPUTED_VALUE"""),44896.561432083334)</f>
        <v>44896.56143</v>
      </c>
      <c r="B157" s="7"/>
      <c r="C157" s="7" t="str">
        <f>IFERROR(__xludf.DUMMYFUNCTION("""COMPUTED_VALUE"""),"Peckham Audio Pakistan Fundraiser")</f>
        <v>Peckham Audio Pakistan Fundraiser</v>
      </c>
      <c r="D157" s="14">
        <f>IFERROR(__xludf.DUMMYFUNCTION("""COMPUTED_VALUE"""),44891.0)</f>
        <v>44891</v>
      </c>
      <c r="E157" s="7" t="str">
        <f>IFERROR(__xludf.DUMMYFUNCTION("""COMPUTED_VALUE"""),"Small (Bar, Exhibitions, Charity Events, Restaurants)")</f>
        <v>Small (Bar, Exhibitions, Charity Events, Restaurants)</v>
      </c>
      <c r="F157" s="7">
        <f>IFERROR(__xludf.DUMMYFUNCTION("""COMPUTED_VALUE"""),145.0)</f>
        <v>145</v>
      </c>
      <c r="G157" s="7" t="str">
        <f>IFERROR(__xludf.DUMMYFUNCTION("""COMPUTED_VALUE"""),"Roop")</f>
        <v>Roop</v>
      </c>
      <c r="H157" s="7"/>
      <c r="I157" s="7"/>
      <c r="J157" s="7"/>
      <c r="K157" s="7"/>
      <c r="L157" s="7"/>
      <c r="M157" s="7"/>
    </row>
    <row r="158">
      <c r="A158" s="11">
        <f>IFERROR(__xludf.DUMMYFUNCTION("""COMPUTED_VALUE"""),44896.561675833334)</f>
        <v>44896.56168</v>
      </c>
      <c r="B158" s="7"/>
      <c r="C158" s="7" t="str">
        <f>IFERROR(__xludf.DUMMYFUNCTION("""COMPUTED_VALUE"""),"Peckham Audio Pakistan Fundraiser")</f>
        <v>Peckham Audio Pakistan Fundraiser</v>
      </c>
      <c r="D158" s="14">
        <f>IFERROR(__xludf.DUMMYFUNCTION("""COMPUTED_VALUE"""),44891.0)</f>
        <v>44891</v>
      </c>
      <c r="E158" s="7" t="str">
        <f>IFERROR(__xludf.DUMMYFUNCTION("""COMPUTED_VALUE"""),"Small (Bar, Exhibitions, Charity Events, Restaurants)")</f>
        <v>Small (Bar, Exhibitions, Charity Events, Restaurants)</v>
      </c>
      <c r="F158" s="7">
        <f>IFERROR(__xludf.DUMMYFUNCTION("""COMPUTED_VALUE"""),145.0)</f>
        <v>145</v>
      </c>
      <c r="G158" s="7" t="str">
        <f>IFERROR(__xludf.DUMMYFUNCTION("""COMPUTED_VALUE"""),"Roop")</f>
        <v>Roop</v>
      </c>
      <c r="H158" s="7"/>
      <c r="I158" s="7"/>
      <c r="J158" s="7"/>
      <c r="K158" s="7"/>
      <c r="L158" s="7"/>
      <c r="M158" s="7"/>
    </row>
    <row r="159">
      <c r="A159" s="11">
        <f>IFERROR(__xludf.DUMMYFUNCTION("""COMPUTED_VALUE"""),44896.5620065625)</f>
        <v>44896.56201</v>
      </c>
      <c r="B159" s="7"/>
      <c r="C159" s="7" t="str">
        <f>IFERROR(__xludf.DUMMYFUNCTION("""COMPUTED_VALUE"""),"Peckham Audio Pakistan Fundraiser")</f>
        <v>Peckham Audio Pakistan Fundraiser</v>
      </c>
      <c r="D159" s="14">
        <f>IFERROR(__xludf.DUMMYFUNCTION("""COMPUTED_VALUE"""),44891.0)</f>
        <v>44891</v>
      </c>
      <c r="E159" s="7" t="str">
        <f>IFERROR(__xludf.DUMMYFUNCTION("""COMPUTED_VALUE"""),"Small (Bar, Exhibitions, Charity Events, Restaurants)")</f>
        <v>Small (Bar, Exhibitions, Charity Events, Restaurants)</v>
      </c>
      <c r="F159" s="7">
        <f>IFERROR(__xludf.DUMMYFUNCTION("""COMPUTED_VALUE"""),145.0)</f>
        <v>145</v>
      </c>
      <c r="G159" s="7" t="str">
        <f>IFERROR(__xludf.DUMMYFUNCTION("""COMPUTED_VALUE"""),"Roop")</f>
        <v>Roop</v>
      </c>
      <c r="H159" s="7"/>
      <c r="I159" s="7"/>
      <c r="J159" s="7"/>
      <c r="K159" s="7"/>
      <c r="L159" s="7"/>
      <c r="M159" s="7"/>
    </row>
    <row r="160">
      <c r="A160" s="11">
        <f>IFERROR(__xludf.DUMMYFUNCTION("""COMPUTED_VALUE"""),44896.56222555556)</f>
        <v>44896.56223</v>
      </c>
      <c r="B160" s="7"/>
      <c r="C160" s="7" t="str">
        <f>IFERROR(__xludf.DUMMYFUNCTION("""COMPUTED_VALUE"""),"Peckham Audio Pakistan Fundraiser")</f>
        <v>Peckham Audio Pakistan Fundraiser</v>
      </c>
      <c r="D160" s="14">
        <f>IFERROR(__xludf.DUMMYFUNCTION("""COMPUTED_VALUE"""),44891.0)</f>
        <v>44891</v>
      </c>
      <c r="E160" s="7" t="str">
        <f>IFERROR(__xludf.DUMMYFUNCTION("""COMPUTED_VALUE"""),"Small (Bar, Exhibitions, Charity Events, Restaurants)")</f>
        <v>Small (Bar, Exhibitions, Charity Events, Restaurants)</v>
      </c>
      <c r="F160" s="7">
        <f>IFERROR(__xludf.DUMMYFUNCTION("""COMPUTED_VALUE"""),145.0)</f>
        <v>145</v>
      </c>
      <c r="G160" s="7" t="str">
        <f>IFERROR(__xludf.DUMMYFUNCTION("""COMPUTED_VALUE"""),"Roop")</f>
        <v>Roop</v>
      </c>
      <c r="H160" s="7"/>
      <c r="I160" s="7"/>
      <c r="J160" s="7"/>
      <c r="K160" s="7"/>
      <c r="L160" s="7"/>
      <c r="M160" s="7"/>
    </row>
    <row r="161">
      <c r="A161" s="11">
        <f>IFERROR(__xludf.DUMMYFUNCTION("""COMPUTED_VALUE"""),45126.82169373842)</f>
        <v>45126.82169</v>
      </c>
      <c r="B161" s="7"/>
      <c r="C161" s="7" t="str">
        <f>IFERROR(__xludf.DUMMYFUNCTION("""COMPUTED_VALUE"""),"Live at the Jazz Cafe")</f>
        <v>Live at the Jazz Cafe</v>
      </c>
      <c r="D161" s="14">
        <f>IFERROR(__xludf.DUMMYFUNCTION("""COMPUTED_VALUE"""),44944.0)</f>
        <v>44944</v>
      </c>
      <c r="E161" s="7" t="str">
        <f>IFERROR(__xludf.DUMMYFUNCTION("""COMPUTED_VALUE"""),"Medium (Medium Sized Club, Corsica, Fabric etc)")</f>
        <v>Medium (Medium Sized Club, Corsica, Fabric etc)</v>
      </c>
      <c r="F161" s="7">
        <f>IFERROR(__xludf.DUMMYFUNCTION("""COMPUTED_VALUE"""),345.0)</f>
        <v>345</v>
      </c>
      <c r="G161" s="7" t="str">
        <f>IFERROR(__xludf.DUMMYFUNCTION("""COMPUTED_VALUE"""),"Darama")</f>
        <v>Darama</v>
      </c>
      <c r="H161" s="7"/>
      <c r="I161" s="7"/>
      <c r="J161" s="7"/>
      <c r="K161" s="7"/>
      <c r="L161" s="7"/>
      <c r="M161" s="7"/>
    </row>
    <row r="162">
      <c r="A162" s="11">
        <f>IFERROR(__xludf.DUMMYFUNCTION("""COMPUTED_VALUE"""),45126.82595748843)</f>
        <v>45126.82596</v>
      </c>
      <c r="B162" s="7"/>
      <c r="C162" s="7" t="str">
        <f>IFERROR(__xludf.DUMMYFUNCTION("""COMPUTED_VALUE"""),"Live at the Jazz Cafe")</f>
        <v>Live at the Jazz Cafe</v>
      </c>
      <c r="D162" s="14">
        <f>IFERROR(__xludf.DUMMYFUNCTION("""COMPUTED_VALUE"""),44944.0)</f>
        <v>44944</v>
      </c>
      <c r="E162" s="7" t="str">
        <f>IFERROR(__xludf.DUMMYFUNCTION("""COMPUTED_VALUE"""),"Medium (Medium Sized Club, Corsica, Fabric etc)")</f>
        <v>Medium (Medium Sized Club, Corsica, Fabric etc)</v>
      </c>
      <c r="F162" s="7">
        <f>IFERROR(__xludf.DUMMYFUNCTION("""COMPUTED_VALUE"""),346.0)</f>
        <v>346</v>
      </c>
      <c r="G162" s="7" t="str">
        <f>IFERROR(__xludf.DUMMYFUNCTION("""COMPUTED_VALUE"""),"Darama")</f>
        <v>Darama</v>
      </c>
      <c r="H162" s="7"/>
      <c r="I162" s="7"/>
      <c r="J162" s="7"/>
      <c r="K162" s="7"/>
      <c r="L162" s="7"/>
      <c r="M162" s="7"/>
    </row>
    <row r="163">
      <c r="A163" s="11">
        <f>IFERROR(__xludf.DUMMYFUNCTION("""COMPUTED_VALUE"""),45126.83012699074)</f>
        <v>45126.83013</v>
      </c>
      <c r="B163" s="7"/>
      <c r="C163" s="7" t="str">
        <f>IFERROR(__xludf.DUMMYFUNCTION("""COMPUTED_VALUE"""),"Live at the Jazz Cafe")</f>
        <v>Live at the Jazz Cafe</v>
      </c>
      <c r="D163" s="14">
        <f>IFERROR(__xludf.DUMMYFUNCTION("""COMPUTED_VALUE"""),44944.0)</f>
        <v>44944</v>
      </c>
      <c r="E163" s="7" t="str">
        <f>IFERROR(__xludf.DUMMYFUNCTION("""COMPUTED_VALUE"""),"Small (Bar, Exhibitions, Charity Events, Restaurants)")</f>
        <v>Small (Bar, Exhibitions, Charity Events, Restaurants)</v>
      </c>
      <c r="F163" s="7">
        <f>IFERROR(__xludf.DUMMYFUNCTION("""COMPUTED_VALUE"""),347.0)</f>
        <v>347</v>
      </c>
      <c r="G163" s="7" t="str">
        <f>IFERROR(__xludf.DUMMYFUNCTION("""COMPUTED_VALUE"""),"Darama")</f>
        <v>Darama</v>
      </c>
      <c r="H163" s="7"/>
      <c r="I163" s="7"/>
      <c r="J163" s="7"/>
      <c r="K163" s="7"/>
      <c r="L163" s="7"/>
      <c r="M163" s="7"/>
    </row>
    <row r="164">
      <c r="A164" s="11">
        <f>IFERROR(__xludf.DUMMYFUNCTION("""COMPUTED_VALUE"""),45126.84202657407)</f>
        <v>45126.84203</v>
      </c>
      <c r="B164" s="7"/>
      <c r="C164" s="7" t="str">
        <f>IFERROR(__xludf.DUMMYFUNCTION("""COMPUTED_VALUE"""),"Live at the Jazz Cafe")</f>
        <v>Live at the Jazz Cafe</v>
      </c>
      <c r="D164" s="14">
        <f>IFERROR(__xludf.DUMMYFUNCTION("""COMPUTED_VALUE"""),44944.0)</f>
        <v>44944</v>
      </c>
      <c r="E164" s="7" t="str">
        <f>IFERROR(__xludf.DUMMYFUNCTION("""COMPUTED_VALUE"""),"Small (Bar, Exhibitions, Charity Events, Restaurants)")</f>
        <v>Small (Bar, Exhibitions, Charity Events, Restaurants)</v>
      </c>
      <c r="F164" s="7">
        <f>IFERROR(__xludf.DUMMYFUNCTION("""COMPUTED_VALUE"""),349.0)</f>
        <v>349</v>
      </c>
      <c r="G164" s="7" t="str">
        <f>IFERROR(__xludf.DUMMYFUNCTION("""COMPUTED_VALUE"""),"Darama")</f>
        <v>Darama</v>
      </c>
      <c r="H164" s="7"/>
      <c r="I164" s="7"/>
      <c r="J164" s="7"/>
      <c r="K164" s="7"/>
      <c r="L164" s="7"/>
      <c r="M164" s="7"/>
    </row>
    <row r="165">
      <c r="A165" s="11">
        <f>IFERROR(__xludf.DUMMYFUNCTION("""COMPUTED_VALUE"""),45126.84312976852)</f>
        <v>45126.84313</v>
      </c>
      <c r="B165" s="7"/>
      <c r="C165" s="7" t="str">
        <f>IFERROR(__xludf.DUMMYFUNCTION("""COMPUTED_VALUE"""),"Woman Life Freedom")</f>
        <v>Woman Life Freedom</v>
      </c>
      <c r="D165" s="14">
        <f>IFERROR(__xludf.DUMMYFUNCTION("""COMPUTED_VALUE"""),44905.0)</f>
        <v>44905</v>
      </c>
      <c r="E165" s="7" t="str">
        <f>IFERROR(__xludf.DUMMYFUNCTION("""COMPUTED_VALUE"""),"Medium (Medium Sized Club, Corsica, Fabric etc)")</f>
        <v>Medium (Medium Sized Club, Corsica, Fabric etc)</v>
      </c>
      <c r="F165" s="7">
        <f>IFERROR(__xludf.DUMMYFUNCTION("""COMPUTED_VALUE"""),141.0)</f>
        <v>141</v>
      </c>
      <c r="G165" s="7" t="str">
        <f>IFERROR(__xludf.DUMMYFUNCTION("""COMPUTED_VALUE"""),"Darama")</f>
        <v>Darama</v>
      </c>
      <c r="H165" s="7"/>
      <c r="I165" s="7"/>
      <c r="J165" s="7"/>
      <c r="K165" s="7"/>
      <c r="L165" s="7"/>
      <c r="M165" s="7"/>
    </row>
    <row r="166">
      <c r="A166" s="11">
        <f>IFERROR(__xludf.DUMMYFUNCTION("""COMPUTED_VALUE"""),45126.84388666667)</f>
        <v>45126.84389</v>
      </c>
      <c r="B166" s="7"/>
      <c r="C166" s="7" t="str">
        <f>IFERROR(__xludf.DUMMYFUNCTION("""COMPUTED_VALUE"""),"Woman Life Freedom")</f>
        <v>Woman Life Freedom</v>
      </c>
      <c r="D166" s="14">
        <f>IFERROR(__xludf.DUMMYFUNCTION("""COMPUTED_VALUE"""),44905.0)</f>
        <v>44905</v>
      </c>
      <c r="E166" s="7" t="str">
        <f>IFERROR(__xludf.DUMMYFUNCTION("""COMPUTED_VALUE"""),"Medium (Medium Sized Club, Corsica, Fabric etc)")</f>
        <v>Medium (Medium Sized Club, Corsica, Fabric etc)</v>
      </c>
      <c r="F166" s="7">
        <f>IFERROR(__xludf.DUMMYFUNCTION("""COMPUTED_VALUE"""),350.0)</f>
        <v>350</v>
      </c>
      <c r="G166" s="7" t="str">
        <f>IFERROR(__xludf.DUMMYFUNCTION("""COMPUTED_VALUE"""),"Darama")</f>
        <v>Darama</v>
      </c>
      <c r="H166" s="7"/>
      <c r="I166" s="7"/>
      <c r="J166" s="7"/>
      <c r="K166" s="7"/>
      <c r="L166" s="7"/>
      <c r="M166" s="7"/>
    </row>
    <row r="167">
      <c r="A167" s="11">
        <f>IFERROR(__xludf.DUMMYFUNCTION("""COMPUTED_VALUE"""),45126.8444646412)</f>
        <v>45126.84446</v>
      </c>
      <c r="B167" s="7"/>
      <c r="C167" s="7" t="str">
        <f>IFERROR(__xludf.DUMMYFUNCTION("""COMPUTED_VALUE"""),"Woman Life Freedom")</f>
        <v>Woman Life Freedom</v>
      </c>
      <c r="D167" s="14">
        <f>IFERROR(__xludf.DUMMYFUNCTION("""COMPUTED_VALUE"""),44905.0)</f>
        <v>44905</v>
      </c>
      <c r="E167" s="7" t="str">
        <f>IFERROR(__xludf.DUMMYFUNCTION("""COMPUTED_VALUE"""),"Medium (Medium Sized Club, Corsica, Fabric etc)")</f>
        <v>Medium (Medium Sized Club, Corsica, Fabric etc)</v>
      </c>
      <c r="F167" s="7">
        <f>IFERROR(__xludf.DUMMYFUNCTION("""COMPUTED_VALUE"""),336.0)</f>
        <v>336</v>
      </c>
      <c r="G167" s="7" t="str">
        <f>IFERROR(__xludf.DUMMYFUNCTION("""COMPUTED_VALUE"""),"Darama")</f>
        <v>Darama</v>
      </c>
      <c r="H167" s="7"/>
      <c r="I167" s="7"/>
      <c r="J167" s="7"/>
      <c r="K167" s="7"/>
      <c r="L167" s="7"/>
      <c r="M167" s="7"/>
    </row>
    <row r="168">
      <c r="A168" s="11">
        <f>IFERROR(__xludf.DUMMYFUNCTION("""COMPUTED_VALUE"""),45126.84500888889)</f>
        <v>45126.84501</v>
      </c>
      <c r="B168" s="7"/>
      <c r="C168" s="7" t="str">
        <f>IFERROR(__xludf.DUMMYFUNCTION("""COMPUTED_VALUE"""),"Woman Life Freedom")</f>
        <v>Woman Life Freedom</v>
      </c>
      <c r="D168" s="14">
        <f>IFERROR(__xludf.DUMMYFUNCTION("""COMPUTED_VALUE"""),44905.0)</f>
        <v>44905</v>
      </c>
      <c r="E168" s="7" t="str">
        <f>IFERROR(__xludf.DUMMYFUNCTION("""COMPUTED_VALUE"""),"Medium (Medium Sized Club, Corsica, Fabric etc)")</f>
        <v>Medium (Medium Sized Club, Corsica, Fabric etc)</v>
      </c>
      <c r="F168" s="7">
        <f>IFERROR(__xludf.DUMMYFUNCTION("""COMPUTED_VALUE"""),206.0)</f>
        <v>206</v>
      </c>
      <c r="G168" s="7" t="str">
        <f>IFERROR(__xludf.DUMMYFUNCTION("""COMPUTED_VALUE"""),"Darama")</f>
        <v>Darama</v>
      </c>
      <c r="H168" s="7"/>
      <c r="I168" s="7"/>
      <c r="J168" s="7"/>
      <c r="K168" s="7"/>
      <c r="L168" s="7"/>
      <c r="M168" s="7"/>
    </row>
    <row r="169">
      <c r="A169" s="11">
        <f>IFERROR(__xludf.DUMMYFUNCTION("""COMPUTED_VALUE"""),45126.84614971065)</f>
        <v>45126.84615</v>
      </c>
      <c r="B169" s="7"/>
      <c r="C169" s="7" t="str">
        <f>IFERROR(__xludf.DUMMYFUNCTION("""COMPUTED_VALUE"""),"Watch the Drop ")</f>
        <v>Watch the Drop </v>
      </c>
      <c r="D169" s="14">
        <f>IFERROR(__xludf.DUMMYFUNCTION("""COMPUTED_VALUE"""),44953.0)</f>
        <v>44953</v>
      </c>
      <c r="E169" s="7" t="str">
        <f>IFERROR(__xludf.DUMMYFUNCTION("""COMPUTED_VALUE"""),"Medium (Medium Sized Club, Corsica, Fabric etc)")</f>
        <v>Medium (Medium Sized Club, Corsica, Fabric etc)</v>
      </c>
      <c r="F169" s="7">
        <f>IFERROR(__xludf.DUMMYFUNCTION("""COMPUTED_VALUE"""),268.0)</f>
        <v>268</v>
      </c>
      <c r="G169" s="7" t="str">
        <f>IFERROR(__xludf.DUMMYFUNCTION("""COMPUTED_VALUE"""),"Darama")</f>
        <v>Darama</v>
      </c>
      <c r="H169" s="7"/>
      <c r="I169" s="7"/>
      <c r="J169" s="7"/>
      <c r="K169" s="7"/>
      <c r="L169" s="7"/>
      <c r="M169" s="7"/>
    </row>
    <row r="170">
      <c r="A170" s="11">
        <f>IFERROR(__xludf.DUMMYFUNCTION("""COMPUTED_VALUE"""),45126.846665289355)</f>
        <v>45126.84667</v>
      </c>
      <c r="B170" s="7"/>
      <c r="C170" s="7" t="str">
        <f>IFERROR(__xludf.DUMMYFUNCTION("""COMPUTED_VALUE"""),"Watch the Drop ")</f>
        <v>Watch the Drop </v>
      </c>
      <c r="D170" s="14">
        <f>IFERROR(__xludf.DUMMYFUNCTION("""COMPUTED_VALUE"""),44953.0)</f>
        <v>44953</v>
      </c>
      <c r="E170" s="7" t="str">
        <f>IFERROR(__xludf.DUMMYFUNCTION("""COMPUTED_VALUE"""),"Medium (Medium Sized Club, Corsica, Fabric etc)")</f>
        <v>Medium (Medium Sized Club, Corsica, Fabric etc)</v>
      </c>
      <c r="F170" s="7">
        <f>IFERROR(__xludf.DUMMYFUNCTION("""COMPUTED_VALUE"""),231.0)</f>
        <v>231</v>
      </c>
      <c r="G170" s="7" t="str">
        <f>IFERROR(__xludf.DUMMYFUNCTION("""COMPUTED_VALUE"""),"Darama")</f>
        <v>Darama</v>
      </c>
      <c r="H170" s="7"/>
      <c r="I170" s="7"/>
      <c r="J170" s="7"/>
      <c r="K170" s="7"/>
      <c r="L170" s="7"/>
      <c r="M170" s="7"/>
    </row>
    <row r="171">
      <c r="A171" s="11">
        <f>IFERROR(__xludf.DUMMYFUNCTION("""COMPUTED_VALUE"""),45126.8472253125)</f>
        <v>45126.84723</v>
      </c>
      <c r="B171" s="7"/>
      <c r="C171" s="7" t="str">
        <f>IFERROR(__xludf.DUMMYFUNCTION("""COMPUTED_VALUE"""),"Watch the Drop")</f>
        <v>Watch the Drop</v>
      </c>
      <c r="D171" s="14">
        <f>IFERROR(__xludf.DUMMYFUNCTION("""COMPUTED_VALUE"""),44953.0)</f>
        <v>44953</v>
      </c>
      <c r="E171" s="7" t="str">
        <f>IFERROR(__xludf.DUMMYFUNCTION("""COMPUTED_VALUE"""),"Medium (Medium Sized Club, Corsica, Fabric etc)")</f>
        <v>Medium (Medium Sized Club, Corsica, Fabric etc)</v>
      </c>
      <c r="F171" s="7">
        <f>IFERROR(__xludf.DUMMYFUNCTION("""COMPUTED_VALUE"""),284.0)</f>
        <v>284</v>
      </c>
      <c r="G171" s="7" t="str">
        <f>IFERROR(__xludf.DUMMYFUNCTION("""COMPUTED_VALUE"""),"Darama")</f>
        <v>Darama</v>
      </c>
      <c r="H171" s="7"/>
      <c r="I171" s="7"/>
      <c r="J171" s="7"/>
      <c r="K171" s="7"/>
      <c r="L171" s="7"/>
      <c r="M171" s="7"/>
    </row>
    <row r="172">
      <c r="A172" s="11">
        <f>IFERROR(__xludf.DUMMYFUNCTION("""COMPUTED_VALUE"""),45126.84972131945)</f>
        <v>45126.84972</v>
      </c>
      <c r="B172" s="7"/>
      <c r="C172" s="7" t="str">
        <f>IFERROR(__xludf.DUMMYFUNCTION("""COMPUTED_VALUE"""),"Watch the Drop")</f>
        <v>Watch the Drop</v>
      </c>
      <c r="D172" s="14">
        <f>IFERROR(__xludf.DUMMYFUNCTION("""COMPUTED_VALUE"""),44953.0)</f>
        <v>44953</v>
      </c>
      <c r="E172" s="7" t="str">
        <f>IFERROR(__xludf.DUMMYFUNCTION("""COMPUTED_VALUE"""),"Medium (Medium Sized Club, Corsica, Fabric etc)")</f>
        <v>Medium (Medium Sized Club, Corsica, Fabric etc)</v>
      </c>
      <c r="F172" s="7">
        <f>IFERROR(__xludf.DUMMYFUNCTION("""COMPUTED_VALUE"""),352.0)</f>
        <v>352</v>
      </c>
      <c r="G172" s="7" t="str">
        <f>IFERROR(__xludf.DUMMYFUNCTION("""COMPUTED_VALUE"""),"Darama")</f>
        <v>Darama</v>
      </c>
      <c r="H172" s="7"/>
      <c r="I172" s="7"/>
      <c r="J172" s="7"/>
      <c r="K172" s="7"/>
      <c r="L172" s="7"/>
      <c r="M172" s="7"/>
    </row>
    <row r="173">
      <c r="A173" s="11">
        <f>IFERROR(__xludf.DUMMYFUNCTION("""COMPUTED_VALUE"""),45126.8501885301)</f>
        <v>45126.85019</v>
      </c>
      <c r="B173" s="7"/>
      <c r="C173" s="7" t="str">
        <f>IFERROR(__xludf.DUMMYFUNCTION("""COMPUTED_VALUE"""),"Watch the Drop")</f>
        <v>Watch the Drop</v>
      </c>
      <c r="D173" s="14">
        <f>IFERROR(__xludf.DUMMYFUNCTION("""COMPUTED_VALUE"""),44953.0)</f>
        <v>44953</v>
      </c>
      <c r="E173" s="7" t="str">
        <f>IFERROR(__xludf.DUMMYFUNCTION("""COMPUTED_VALUE"""),"Medium (Medium Sized Club, Corsica, Fabric etc)")</f>
        <v>Medium (Medium Sized Club, Corsica, Fabric etc)</v>
      </c>
      <c r="F173" s="7">
        <f>IFERROR(__xludf.DUMMYFUNCTION("""COMPUTED_VALUE"""),353.0)</f>
        <v>353</v>
      </c>
      <c r="G173" s="7" t="str">
        <f>IFERROR(__xludf.DUMMYFUNCTION("""COMPUTED_VALUE"""),"Darama")</f>
        <v>Darama</v>
      </c>
      <c r="H173" s="7"/>
      <c r="I173" s="7"/>
      <c r="J173" s="7"/>
      <c r="K173" s="7"/>
      <c r="L173" s="7"/>
      <c r="M173" s="7"/>
    </row>
    <row r="174">
      <c r="A174" s="11">
        <f>IFERROR(__xludf.DUMMYFUNCTION("""COMPUTED_VALUE"""),45126.85707802083)</f>
        <v>45126.85708</v>
      </c>
      <c r="B174" s="7"/>
      <c r="C174" s="7" t="str">
        <f>IFERROR(__xludf.DUMMYFUNCTION("""COMPUTED_VALUE"""),"Peckham Audio")</f>
        <v>Peckham Audio</v>
      </c>
      <c r="D174" s="14">
        <f>IFERROR(__xludf.DUMMYFUNCTION("""COMPUTED_VALUE"""),44961.0)</f>
        <v>44961</v>
      </c>
      <c r="E174" s="7" t="str">
        <f>IFERROR(__xludf.DUMMYFUNCTION("""COMPUTED_VALUE"""),"Medium (Medium Sized Club, Corsica, Fabric etc)")</f>
        <v>Medium (Medium Sized Club, Corsica, Fabric etc)</v>
      </c>
      <c r="F174" s="7">
        <f>IFERROR(__xludf.DUMMYFUNCTION("""COMPUTED_VALUE"""),354.0)</f>
        <v>354</v>
      </c>
      <c r="G174" s="7" t="str">
        <f>IFERROR(__xludf.DUMMYFUNCTION("""COMPUTED_VALUE"""),"Darama")</f>
        <v>Darama</v>
      </c>
      <c r="H174" s="7"/>
      <c r="I174" s="7"/>
      <c r="J174" s="7"/>
      <c r="K174" s="7"/>
      <c r="L174" s="7"/>
      <c r="M174" s="7"/>
    </row>
    <row r="175">
      <c r="A175" s="11">
        <f>IFERROR(__xludf.DUMMYFUNCTION("""COMPUTED_VALUE"""),45126.85732002315)</f>
        <v>45126.85732</v>
      </c>
      <c r="B175" s="7"/>
      <c r="C175" s="7" t="str">
        <f>IFERROR(__xludf.DUMMYFUNCTION("""COMPUTED_VALUE"""),"Peckham Audio")</f>
        <v>Peckham Audio</v>
      </c>
      <c r="D175" s="14">
        <f>IFERROR(__xludf.DUMMYFUNCTION("""COMPUTED_VALUE"""),44961.0)</f>
        <v>44961</v>
      </c>
      <c r="E175" s="7" t="str">
        <f>IFERROR(__xludf.DUMMYFUNCTION("""COMPUTED_VALUE"""),"Medium (Medium Sized Club, Corsica, Fabric etc)")</f>
        <v>Medium (Medium Sized Club, Corsica, Fabric etc)</v>
      </c>
      <c r="F175" s="7">
        <f>IFERROR(__xludf.DUMMYFUNCTION("""COMPUTED_VALUE"""),355.0)</f>
        <v>355</v>
      </c>
      <c r="G175" s="7" t="str">
        <f>IFERROR(__xludf.DUMMYFUNCTION("""COMPUTED_VALUE"""),"Darama")</f>
        <v>Darama</v>
      </c>
      <c r="H175" s="7"/>
      <c r="I175" s="7"/>
      <c r="J175" s="7"/>
      <c r="K175" s="7"/>
      <c r="L175" s="7"/>
      <c r="M175" s="7"/>
    </row>
    <row r="176">
      <c r="A176" s="11">
        <f>IFERROR(__xludf.DUMMYFUNCTION("""COMPUTED_VALUE"""),45126.85760141204)</f>
        <v>45126.8576</v>
      </c>
      <c r="B176" s="7"/>
      <c r="C176" s="7" t="str">
        <f>IFERROR(__xludf.DUMMYFUNCTION("""COMPUTED_VALUE"""),"Peckham Audio")</f>
        <v>Peckham Audio</v>
      </c>
      <c r="D176" s="14">
        <f>IFERROR(__xludf.DUMMYFUNCTION("""COMPUTED_VALUE"""),44961.0)</f>
        <v>44961</v>
      </c>
      <c r="E176" s="7" t="str">
        <f>IFERROR(__xludf.DUMMYFUNCTION("""COMPUTED_VALUE"""),"Medium (Medium Sized Club, Corsica, Fabric etc)")</f>
        <v>Medium (Medium Sized Club, Corsica, Fabric etc)</v>
      </c>
      <c r="F176" s="7">
        <f>IFERROR(__xludf.DUMMYFUNCTION("""COMPUTED_VALUE"""),356.0)</f>
        <v>356</v>
      </c>
      <c r="G176" s="7" t="str">
        <f>IFERROR(__xludf.DUMMYFUNCTION("""COMPUTED_VALUE"""),"Darama")</f>
        <v>Darama</v>
      </c>
      <c r="H176" s="7"/>
      <c r="I176" s="7"/>
      <c r="J176" s="7"/>
      <c r="K176" s="7"/>
      <c r="L176" s="7"/>
      <c r="M176" s="7"/>
    </row>
    <row r="177">
      <c r="A177" s="11">
        <f>IFERROR(__xludf.DUMMYFUNCTION("""COMPUTED_VALUE"""),45126.85787712963)</f>
        <v>45126.85788</v>
      </c>
      <c r="B177" s="7"/>
      <c r="C177" s="7" t="str">
        <f>IFERROR(__xludf.DUMMYFUNCTION("""COMPUTED_VALUE"""),"Peckham Audio")</f>
        <v>Peckham Audio</v>
      </c>
      <c r="D177" s="14">
        <f>IFERROR(__xludf.DUMMYFUNCTION("""COMPUTED_VALUE"""),44961.0)</f>
        <v>44961</v>
      </c>
      <c r="E177" s="7" t="str">
        <f>IFERROR(__xludf.DUMMYFUNCTION("""COMPUTED_VALUE"""),"Medium (Medium Sized Club, Corsica, Fabric etc)")</f>
        <v>Medium (Medium Sized Club, Corsica, Fabric etc)</v>
      </c>
      <c r="F177" s="7">
        <f>IFERROR(__xludf.DUMMYFUNCTION("""COMPUTED_VALUE"""),357.0)</f>
        <v>357</v>
      </c>
      <c r="G177" s="7" t="str">
        <f>IFERROR(__xludf.DUMMYFUNCTION("""COMPUTED_VALUE"""),"Darama")</f>
        <v>Darama</v>
      </c>
      <c r="H177" s="7"/>
      <c r="I177" s="7"/>
      <c r="J177" s="7"/>
      <c r="K177" s="7"/>
      <c r="L177" s="7"/>
      <c r="M177" s="7"/>
    </row>
    <row r="178">
      <c r="A178" s="11">
        <f>IFERROR(__xludf.DUMMYFUNCTION("""COMPUTED_VALUE"""),45126.85849074074)</f>
        <v>45126.85849</v>
      </c>
      <c r="B178" s="7"/>
      <c r="C178" s="7" t="str">
        <f>IFERROR(__xludf.DUMMYFUNCTION("""COMPUTED_VALUE"""),"Peckham Audio")</f>
        <v>Peckham Audio</v>
      </c>
      <c r="D178" s="14">
        <f>IFERROR(__xludf.DUMMYFUNCTION("""COMPUTED_VALUE"""),44961.0)</f>
        <v>44961</v>
      </c>
      <c r="E178" s="7" t="str">
        <f>IFERROR(__xludf.DUMMYFUNCTION("""COMPUTED_VALUE"""),"Medium (Medium Sized Club, Corsica, Fabric etc)")</f>
        <v>Medium (Medium Sized Club, Corsica, Fabric etc)</v>
      </c>
      <c r="F178" s="7">
        <f>IFERROR(__xludf.DUMMYFUNCTION("""COMPUTED_VALUE"""),211.0)</f>
        <v>211</v>
      </c>
      <c r="G178" s="7" t="str">
        <f>IFERROR(__xludf.DUMMYFUNCTION("""COMPUTED_VALUE"""),"Darama")</f>
        <v>Darama</v>
      </c>
      <c r="H178" s="7"/>
      <c r="I178" s="7"/>
      <c r="J178" s="7"/>
      <c r="K178" s="7"/>
      <c r="L178" s="7"/>
      <c r="M178" s="7"/>
    </row>
    <row r="179">
      <c r="A179" s="11">
        <f>IFERROR(__xludf.DUMMYFUNCTION("""COMPUTED_VALUE"""),45126.86032206019)</f>
        <v>45126.86032</v>
      </c>
      <c r="B179" s="7"/>
      <c r="C179" s="7" t="str">
        <f>IFERROR(__xludf.DUMMYFUNCTION("""COMPUTED_VALUE"""),"Idle Hands Unit 7")</f>
        <v>Idle Hands Unit 7</v>
      </c>
      <c r="D179" s="14">
        <f>IFERROR(__xludf.DUMMYFUNCTION("""COMPUTED_VALUE"""),45017.0)</f>
        <v>45017</v>
      </c>
      <c r="E179" s="7" t="str">
        <f>IFERROR(__xludf.DUMMYFUNCTION("""COMPUTED_VALUE"""),"Small (Bar, Exhibitions, Charity Events, Restaurants)")</f>
        <v>Small (Bar, Exhibitions, Charity Events, Restaurants)</v>
      </c>
      <c r="F179" s="7">
        <f>IFERROR(__xludf.DUMMYFUNCTION("""COMPUTED_VALUE"""),327.0)</f>
        <v>327</v>
      </c>
      <c r="G179" s="7" t="str">
        <f>IFERROR(__xludf.DUMMYFUNCTION("""COMPUTED_VALUE"""),"Darama")</f>
        <v>Darama</v>
      </c>
      <c r="H179" s="7"/>
      <c r="I179" s="7"/>
      <c r="J179" s="7"/>
      <c r="K179" s="7"/>
      <c r="L179" s="7"/>
      <c r="M179" s="7"/>
    </row>
    <row r="180">
      <c r="A180" s="11">
        <f>IFERROR(__xludf.DUMMYFUNCTION("""COMPUTED_VALUE"""),45126.86136701389)</f>
        <v>45126.86137</v>
      </c>
      <c r="B180" s="7"/>
      <c r="C180" s="7" t="str">
        <f>IFERROR(__xludf.DUMMYFUNCTION("""COMPUTED_VALUE"""),"Idle Hands Unit 7")</f>
        <v>Idle Hands Unit 7</v>
      </c>
      <c r="D180" s="14">
        <f>IFERROR(__xludf.DUMMYFUNCTION("""COMPUTED_VALUE"""),45017.0)</f>
        <v>45017</v>
      </c>
      <c r="E180" s="7" t="str">
        <f>IFERROR(__xludf.DUMMYFUNCTION("""COMPUTED_VALUE"""),"Small (Bar, Exhibitions, Charity Events, Restaurants)")</f>
        <v>Small (Bar, Exhibitions, Charity Events, Restaurants)</v>
      </c>
      <c r="F180" s="7">
        <f>IFERROR(__xludf.DUMMYFUNCTION("""COMPUTED_VALUE"""),358.0)</f>
        <v>358</v>
      </c>
      <c r="G180" s="7" t="str">
        <f>IFERROR(__xludf.DUMMYFUNCTION("""COMPUTED_VALUE"""),"Darama")</f>
        <v>Darama</v>
      </c>
      <c r="H180" s="7"/>
      <c r="I180" s="7"/>
      <c r="J180" s="7"/>
      <c r="K180" s="7"/>
      <c r="L180" s="7"/>
      <c r="M180" s="7"/>
    </row>
    <row r="181">
      <c r="A181" s="11">
        <f>IFERROR(__xludf.DUMMYFUNCTION("""COMPUTED_VALUE"""),45126.86317020834)</f>
        <v>45126.86317</v>
      </c>
      <c r="B181" s="7"/>
      <c r="C181" s="7" t="str">
        <f>IFERROR(__xludf.DUMMYFUNCTION("""COMPUTED_VALUE"""),"Jazz Cafe ")</f>
        <v>Jazz Cafe </v>
      </c>
      <c r="D181" s="14">
        <f>IFERROR(__xludf.DUMMYFUNCTION("""COMPUTED_VALUE"""),45072.0)</f>
        <v>45072</v>
      </c>
      <c r="E181" s="7" t="str">
        <f>IFERROR(__xludf.DUMMYFUNCTION("""COMPUTED_VALUE"""),"Medium (Medium Sized Club, Corsica, Fabric etc)")</f>
        <v>Medium (Medium Sized Club, Corsica, Fabric etc)</v>
      </c>
      <c r="F181" s="7">
        <f>IFERROR(__xludf.DUMMYFUNCTION("""COMPUTED_VALUE"""),270.0)</f>
        <v>270</v>
      </c>
      <c r="G181" s="7" t="str">
        <f>IFERROR(__xludf.DUMMYFUNCTION("""COMPUTED_VALUE"""),"Darama")</f>
        <v>Darama</v>
      </c>
      <c r="H181" s="7"/>
      <c r="I181" s="7"/>
      <c r="J181" s="7"/>
      <c r="K181" s="7"/>
      <c r="L181" s="7"/>
      <c r="M181" s="7"/>
    </row>
    <row r="182">
      <c r="A182" s="11">
        <f>IFERROR(__xludf.DUMMYFUNCTION("""COMPUTED_VALUE"""),45126.863881666664)</f>
        <v>45126.86388</v>
      </c>
      <c r="B182" s="7"/>
      <c r="C182" s="7" t="str">
        <f>IFERROR(__xludf.DUMMYFUNCTION("""COMPUTED_VALUE"""),"Jazz Cafe")</f>
        <v>Jazz Cafe</v>
      </c>
      <c r="D182" s="14">
        <f>IFERROR(__xludf.DUMMYFUNCTION("""COMPUTED_VALUE"""),45072.0)</f>
        <v>45072</v>
      </c>
      <c r="E182" s="7" t="str">
        <f>IFERROR(__xludf.DUMMYFUNCTION("""COMPUTED_VALUE"""),"Medium (Medium Sized Club, Corsica, Fabric etc)")</f>
        <v>Medium (Medium Sized Club, Corsica, Fabric etc)</v>
      </c>
      <c r="F182" s="7">
        <f>IFERROR(__xludf.DUMMYFUNCTION("""COMPUTED_VALUE"""),242.0)</f>
        <v>242</v>
      </c>
      <c r="G182" s="7" t="str">
        <f>IFERROR(__xludf.DUMMYFUNCTION("""COMPUTED_VALUE"""),"Darama")</f>
        <v>Darama</v>
      </c>
      <c r="H182" s="7"/>
      <c r="I182" s="7"/>
      <c r="J182" s="7"/>
      <c r="K182" s="7"/>
      <c r="L182" s="7"/>
      <c r="M182" s="7"/>
    </row>
    <row r="183">
      <c r="A183" s="11">
        <f>IFERROR(__xludf.DUMMYFUNCTION("""COMPUTED_VALUE"""),45126.86427651621)</f>
        <v>45126.86428</v>
      </c>
      <c r="B183" s="7"/>
      <c r="C183" s="7" t="str">
        <f>IFERROR(__xludf.DUMMYFUNCTION("""COMPUTED_VALUE"""),"Jazz Cafe")</f>
        <v>Jazz Cafe</v>
      </c>
      <c r="D183" s="14">
        <f>IFERROR(__xludf.DUMMYFUNCTION("""COMPUTED_VALUE"""),45072.0)</f>
        <v>45072</v>
      </c>
      <c r="E183" s="7" t="str">
        <f>IFERROR(__xludf.DUMMYFUNCTION("""COMPUTED_VALUE"""),"Medium (Medium Sized Club, Corsica, Fabric etc)")</f>
        <v>Medium (Medium Sized Club, Corsica, Fabric etc)</v>
      </c>
      <c r="F183" s="7">
        <f>IFERROR(__xludf.DUMMYFUNCTION("""COMPUTED_VALUE"""),216.0)</f>
        <v>216</v>
      </c>
      <c r="G183" s="7" t="str">
        <f>IFERROR(__xludf.DUMMYFUNCTION("""COMPUTED_VALUE"""),"Darama")</f>
        <v>Darama</v>
      </c>
      <c r="H183" s="7"/>
      <c r="I183" s="7"/>
      <c r="J183" s="7"/>
      <c r="K183" s="7"/>
      <c r="L183" s="7"/>
      <c r="M183" s="7"/>
    </row>
    <row r="184">
      <c r="A184" s="11">
        <f>IFERROR(__xludf.DUMMYFUNCTION("""COMPUTED_VALUE"""),45126.86531789352)</f>
        <v>45126.86532</v>
      </c>
      <c r="B184" s="7"/>
      <c r="C184" s="7" t="str">
        <f>IFERROR(__xludf.DUMMYFUNCTION("""COMPUTED_VALUE"""),"Jazz Cafe")</f>
        <v>Jazz Cafe</v>
      </c>
      <c r="D184" s="14">
        <f>IFERROR(__xludf.DUMMYFUNCTION("""COMPUTED_VALUE"""),45072.0)</f>
        <v>45072</v>
      </c>
      <c r="E184" s="7" t="str">
        <f>IFERROR(__xludf.DUMMYFUNCTION("""COMPUTED_VALUE"""),"Medium (Medium Sized Club, Corsica, Fabric etc)")</f>
        <v>Medium (Medium Sized Club, Corsica, Fabric etc)</v>
      </c>
      <c r="F184" s="7">
        <f>IFERROR(__xludf.DUMMYFUNCTION("""COMPUTED_VALUE"""),359.0)</f>
        <v>359</v>
      </c>
      <c r="G184" s="7" t="str">
        <f>IFERROR(__xludf.DUMMYFUNCTION("""COMPUTED_VALUE"""),"Darama")</f>
        <v>Darama</v>
      </c>
      <c r="H184" s="7"/>
      <c r="I184" s="7"/>
      <c r="J184" s="7"/>
      <c r="K184" s="7"/>
      <c r="L184" s="7"/>
      <c r="M184" s="7"/>
    </row>
    <row r="185">
      <c r="A185" s="11">
        <f>IFERROR(__xludf.DUMMYFUNCTION("""COMPUTED_VALUE"""),45126.86602652777)</f>
        <v>45126.86603</v>
      </c>
      <c r="B185" s="7"/>
      <c r="C185" s="7" t="str">
        <f>IFERROR(__xludf.DUMMYFUNCTION("""COMPUTED_VALUE"""),"Jazz Cafe")</f>
        <v>Jazz Cafe</v>
      </c>
      <c r="D185" s="14">
        <f>IFERROR(__xludf.DUMMYFUNCTION("""COMPUTED_VALUE"""),45072.0)</f>
        <v>45072</v>
      </c>
      <c r="E185" s="7" t="str">
        <f>IFERROR(__xludf.DUMMYFUNCTION("""COMPUTED_VALUE"""),"Medium (Medium Sized Club, Corsica, Fabric etc)")</f>
        <v>Medium (Medium Sized Club, Corsica, Fabric etc)</v>
      </c>
      <c r="F185" s="7">
        <f>IFERROR(__xludf.DUMMYFUNCTION("""COMPUTED_VALUE"""),360.0)</f>
        <v>360</v>
      </c>
      <c r="G185" s="7" t="str">
        <f>IFERROR(__xludf.DUMMYFUNCTION("""COMPUTED_VALUE"""),"Darama")</f>
        <v>Darama</v>
      </c>
      <c r="H185" s="7"/>
      <c r="I185" s="7"/>
      <c r="J185" s="7"/>
      <c r="K185" s="7"/>
      <c r="L185" s="7"/>
      <c r="M185" s="7"/>
    </row>
    <row r="186">
      <c r="A186" s="11">
        <f>IFERROR(__xludf.DUMMYFUNCTION("""COMPUTED_VALUE"""),45126.86706240741)</f>
        <v>45126.86706</v>
      </c>
      <c r="B186" s="7"/>
      <c r="C186" s="7" t="str">
        <f>IFERROR(__xludf.DUMMYFUNCTION("""COMPUTED_VALUE"""),"Cause Free Party")</f>
        <v>Cause Free Party</v>
      </c>
      <c r="D186" s="14">
        <f>IFERROR(__xludf.DUMMYFUNCTION("""COMPUTED_VALUE"""),45044.0)</f>
        <v>45044</v>
      </c>
      <c r="E186" s="7" t="str">
        <f>IFERROR(__xludf.DUMMYFUNCTION("""COMPUTED_VALUE"""),"Medium (Medium Sized Club, Corsica, Fabric etc)")</f>
        <v>Medium (Medium Sized Club, Corsica, Fabric etc)</v>
      </c>
      <c r="F186" s="7">
        <f>IFERROR(__xludf.DUMMYFUNCTION("""COMPUTED_VALUE"""),222.0)</f>
        <v>222</v>
      </c>
      <c r="G186" s="7" t="str">
        <f>IFERROR(__xludf.DUMMYFUNCTION("""COMPUTED_VALUE"""),"Darama")</f>
        <v>Darama</v>
      </c>
      <c r="H186" s="7"/>
      <c r="I186" s="7"/>
      <c r="J186" s="7"/>
      <c r="K186" s="7"/>
      <c r="L186" s="7"/>
      <c r="M186" s="7"/>
    </row>
    <row r="187">
      <c r="A187" s="11">
        <f>IFERROR(__xludf.DUMMYFUNCTION("""COMPUTED_VALUE"""),45126.868911226855)</f>
        <v>45126.86891</v>
      </c>
      <c r="B187" s="7"/>
      <c r="C187" s="7" t="str">
        <f>IFERROR(__xludf.DUMMYFUNCTION("""COMPUTED_VALUE"""),"The Cause Free Party")</f>
        <v>The Cause Free Party</v>
      </c>
      <c r="D187" s="14">
        <f>IFERROR(__xludf.DUMMYFUNCTION("""COMPUTED_VALUE"""),45044.0)</f>
        <v>45044</v>
      </c>
      <c r="E187" s="7" t="str">
        <f>IFERROR(__xludf.DUMMYFUNCTION("""COMPUTED_VALUE"""),"Medium (Medium Sized Club, Corsica, Fabric etc)")</f>
        <v>Medium (Medium Sized Club, Corsica, Fabric etc)</v>
      </c>
      <c r="F187" s="7">
        <f>IFERROR(__xludf.DUMMYFUNCTION("""COMPUTED_VALUE"""),361.0)</f>
        <v>361</v>
      </c>
      <c r="G187" s="7" t="str">
        <f>IFERROR(__xludf.DUMMYFUNCTION("""COMPUTED_VALUE"""),"Darama")</f>
        <v>Darama</v>
      </c>
      <c r="H187" s="7"/>
      <c r="I187" s="7"/>
      <c r="J187" s="7"/>
      <c r="K187" s="7"/>
      <c r="L187" s="7"/>
      <c r="M187" s="7"/>
    </row>
    <row r="188">
      <c r="A188" s="11">
        <f>IFERROR(__xludf.DUMMYFUNCTION("""COMPUTED_VALUE"""),45126.86924407407)</f>
        <v>45126.86924</v>
      </c>
      <c r="B188" s="7"/>
      <c r="C188" s="7" t="str">
        <f>IFERROR(__xludf.DUMMYFUNCTION("""COMPUTED_VALUE"""),"The Cause Free Party")</f>
        <v>The Cause Free Party</v>
      </c>
      <c r="D188" s="14">
        <f>IFERROR(__xludf.DUMMYFUNCTION("""COMPUTED_VALUE"""),45044.0)</f>
        <v>45044</v>
      </c>
      <c r="E188" s="7" t="str">
        <f>IFERROR(__xludf.DUMMYFUNCTION("""COMPUTED_VALUE"""),"Medium (Medium Sized Club, Corsica, Fabric etc)")</f>
        <v>Medium (Medium Sized Club, Corsica, Fabric etc)</v>
      </c>
      <c r="F188" s="7">
        <f>IFERROR(__xludf.DUMMYFUNCTION("""COMPUTED_VALUE"""),362.0)</f>
        <v>362</v>
      </c>
      <c r="G188" s="7" t="str">
        <f>IFERROR(__xludf.DUMMYFUNCTION("""COMPUTED_VALUE"""),"Darama")</f>
        <v>Darama</v>
      </c>
      <c r="H188" s="7"/>
      <c r="I188" s="7"/>
      <c r="J188" s="7"/>
      <c r="K188" s="7"/>
      <c r="L188" s="7"/>
      <c r="M188" s="7"/>
    </row>
    <row r="189">
      <c r="A189" s="11">
        <f>IFERROR(__xludf.DUMMYFUNCTION("""COMPUTED_VALUE"""),45126.86959746527)</f>
        <v>45126.8696</v>
      </c>
      <c r="B189" s="7"/>
      <c r="C189" s="7" t="str">
        <f>IFERROR(__xludf.DUMMYFUNCTION("""COMPUTED_VALUE"""),"The Cause Free Party")</f>
        <v>The Cause Free Party</v>
      </c>
      <c r="D189" s="14">
        <f>IFERROR(__xludf.DUMMYFUNCTION("""COMPUTED_VALUE"""),45044.0)</f>
        <v>45044</v>
      </c>
      <c r="E189" s="7" t="str">
        <f>IFERROR(__xludf.DUMMYFUNCTION("""COMPUTED_VALUE"""),"Medium (Medium Sized Club, Corsica, Fabric etc)")</f>
        <v>Medium (Medium Sized Club, Corsica, Fabric etc)</v>
      </c>
      <c r="F189" s="7">
        <f>IFERROR(__xludf.DUMMYFUNCTION("""COMPUTED_VALUE"""),287.0)</f>
        <v>287</v>
      </c>
      <c r="G189" s="7" t="str">
        <f>IFERROR(__xludf.DUMMYFUNCTION("""COMPUTED_VALUE"""),"Darama")</f>
        <v>Darama</v>
      </c>
      <c r="H189" s="7"/>
      <c r="I189" s="7"/>
      <c r="J189" s="7"/>
      <c r="K189" s="7"/>
      <c r="L189" s="7"/>
      <c r="M189" s="7"/>
    </row>
    <row r="190">
      <c r="A190" s="11">
        <f>IFERROR(__xludf.DUMMYFUNCTION("""COMPUTED_VALUE"""),45126.87017579861)</f>
        <v>45126.87018</v>
      </c>
      <c r="B190" s="7"/>
      <c r="C190" s="7" t="str">
        <f>IFERROR(__xludf.DUMMYFUNCTION("""COMPUTED_VALUE"""),"The Cause Free Party")</f>
        <v>The Cause Free Party</v>
      </c>
      <c r="D190" s="14">
        <f>IFERROR(__xludf.DUMMYFUNCTION("""COMPUTED_VALUE"""),45044.0)</f>
        <v>45044</v>
      </c>
      <c r="E190" s="7" t="str">
        <f>IFERROR(__xludf.DUMMYFUNCTION("""COMPUTED_VALUE"""),"Medium (Medium Sized Club, Corsica, Fabric etc)")</f>
        <v>Medium (Medium Sized Club, Corsica, Fabric etc)</v>
      </c>
      <c r="F190" s="7">
        <f>IFERROR(__xludf.DUMMYFUNCTION("""COMPUTED_VALUE"""),312.0)</f>
        <v>312</v>
      </c>
      <c r="G190" s="7" t="str">
        <f>IFERROR(__xludf.DUMMYFUNCTION("""COMPUTED_VALUE"""),"Darama")</f>
        <v>Darama</v>
      </c>
      <c r="H190" s="7"/>
      <c r="I190" s="7"/>
      <c r="J190" s="7"/>
      <c r="K190" s="7"/>
      <c r="L190" s="7"/>
      <c r="M190" s="7"/>
    </row>
    <row r="191">
      <c r="A191" s="11">
        <f>IFERROR(__xludf.DUMMYFUNCTION("""COMPUTED_VALUE"""),45126.87084790509)</f>
        <v>45126.87085</v>
      </c>
      <c r="B191" s="7"/>
      <c r="C191" s="7" t="str">
        <f>IFERROR(__xludf.DUMMYFUNCTION("""COMPUTED_VALUE"""),"The Cause Free Party")</f>
        <v>The Cause Free Party</v>
      </c>
      <c r="D191" s="14">
        <f>IFERROR(__xludf.DUMMYFUNCTION("""COMPUTED_VALUE"""),45044.0)</f>
        <v>45044</v>
      </c>
      <c r="E191" s="7" t="str">
        <f>IFERROR(__xludf.DUMMYFUNCTION("""COMPUTED_VALUE"""),"Medium (Medium Sized Club, Corsica, Fabric etc)")</f>
        <v>Medium (Medium Sized Club, Corsica, Fabric etc)</v>
      </c>
      <c r="F191" s="7">
        <f>IFERROR(__xludf.DUMMYFUNCTION("""COMPUTED_VALUE"""),203.0)</f>
        <v>203</v>
      </c>
      <c r="G191" s="7" t="str">
        <f>IFERROR(__xludf.DUMMYFUNCTION("""COMPUTED_VALUE"""),"Darama")</f>
        <v>Darama</v>
      </c>
      <c r="H191" s="7"/>
      <c r="I191" s="7"/>
      <c r="J191" s="7"/>
      <c r="K191" s="7"/>
      <c r="L191" s="7"/>
      <c r="M191" s="7"/>
    </row>
    <row r="192">
      <c r="A192" s="11">
        <f>IFERROR(__xludf.DUMMYFUNCTION("""COMPUTED_VALUE"""),45126.87122804398)</f>
        <v>45126.87123</v>
      </c>
      <c r="B192" s="7"/>
      <c r="C192" s="7" t="str">
        <f>IFERROR(__xludf.DUMMYFUNCTION("""COMPUTED_VALUE"""),"The Cause Free Party")</f>
        <v>The Cause Free Party</v>
      </c>
      <c r="D192" s="14">
        <f>IFERROR(__xludf.DUMMYFUNCTION("""COMPUTED_VALUE"""),45044.0)</f>
        <v>45044</v>
      </c>
      <c r="E192" s="7" t="str">
        <f>IFERROR(__xludf.DUMMYFUNCTION("""COMPUTED_VALUE"""),"Medium (Medium Sized Club, Corsica, Fabric etc)")</f>
        <v>Medium (Medium Sized Club, Corsica, Fabric etc)</v>
      </c>
      <c r="F192" s="7">
        <f>IFERROR(__xludf.DUMMYFUNCTION("""COMPUTED_VALUE"""),208.0)</f>
        <v>208</v>
      </c>
      <c r="G192" s="7" t="str">
        <f>IFERROR(__xludf.DUMMYFUNCTION("""COMPUTED_VALUE"""),"Darama")</f>
        <v>Darama</v>
      </c>
      <c r="H192" s="7"/>
      <c r="I192" s="7"/>
      <c r="J192" s="7"/>
      <c r="K192" s="7"/>
      <c r="L192" s="7"/>
      <c r="M192" s="7"/>
    </row>
    <row r="193">
      <c r="A193" s="11">
        <f>IFERROR(__xludf.DUMMYFUNCTION("""COMPUTED_VALUE"""),45126.87155969907)</f>
        <v>45126.87156</v>
      </c>
      <c r="B193" s="7"/>
      <c r="C193" s="7" t="str">
        <f>IFERROR(__xludf.DUMMYFUNCTION("""COMPUTED_VALUE"""),"The Cause Free Party")</f>
        <v>The Cause Free Party</v>
      </c>
      <c r="D193" s="14">
        <f>IFERROR(__xludf.DUMMYFUNCTION("""COMPUTED_VALUE"""),45044.0)</f>
        <v>45044</v>
      </c>
      <c r="E193" s="7" t="str">
        <f>IFERROR(__xludf.DUMMYFUNCTION("""COMPUTED_VALUE"""),"Medium (Medium Sized Club, Corsica, Fabric etc)")</f>
        <v>Medium (Medium Sized Club, Corsica, Fabric etc)</v>
      </c>
      <c r="F193" s="7">
        <f>IFERROR(__xludf.DUMMYFUNCTION("""COMPUTED_VALUE"""),211.0)</f>
        <v>211</v>
      </c>
      <c r="G193" s="7" t="str">
        <f>IFERROR(__xludf.DUMMYFUNCTION("""COMPUTED_VALUE"""),"Darama")</f>
        <v>Darama</v>
      </c>
      <c r="H193" s="7"/>
      <c r="I193" s="7"/>
      <c r="J193" s="7"/>
      <c r="K193" s="7"/>
      <c r="L193" s="7"/>
      <c r="M193" s="7"/>
    </row>
    <row r="194">
      <c r="A194" s="11">
        <f>IFERROR(__xludf.DUMMYFUNCTION("""COMPUTED_VALUE"""),45126.87285917824)</f>
        <v>45126.87286</v>
      </c>
      <c r="B194" s="7"/>
      <c r="C194" s="7" t="str">
        <f>IFERROR(__xludf.DUMMYFUNCTION("""COMPUTED_VALUE"""),"Glasto 2023")</f>
        <v>Glasto 2023</v>
      </c>
      <c r="D194" s="14">
        <f>IFERROR(__xludf.DUMMYFUNCTION("""COMPUTED_VALUE"""),45098.0)</f>
        <v>45098</v>
      </c>
      <c r="E194" s="7" t="str">
        <f>IFERROR(__xludf.DUMMYFUNCTION("""COMPUTED_VALUE"""),"Large (Open Air Festival, Boiler Room Streaming)")</f>
        <v>Large (Open Air Festival, Boiler Room Streaming)</v>
      </c>
      <c r="F194" s="7">
        <f>IFERROR(__xludf.DUMMYFUNCTION("""COMPUTED_VALUE"""),258.0)</f>
        <v>258</v>
      </c>
      <c r="G194" s="7" t="str">
        <f>IFERROR(__xludf.DUMMYFUNCTION("""COMPUTED_VALUE"""),"Darama")</f>
        <v>Darama</v>
      </c>
      <c r="H194" s="7"/>
      <c r="I194" s="7"/>
      <c r="J194" s="7"/>
      <c r="K194" s="7"/>
      <c r="L194" s="7"/>
      <c r="M194" s="7"/>
    </row>
    <row r="195">
      <c r="A195" s="11">
        <f>IFERROR(__xludf.DUMMYFUNCTION("""COMPUTED_VALUE"""),45126.87323171296)</f>
        <v>45126.87323</v>
      </c>
      <c r="B195" s="7"/>
      <c r="C195" s="7" t="str">
        <f>IFERROR(__xludf.DUMMYFUNCTION("""COMPUTED_VALUE"""),"Glasto 2023")</f>
        <v>Glasto 2023</v>
      </c>
      <c r="D195" s="14">
        <f>IFERROR(__xludf.DUMMYFUNCTION("""COMPUTED_VALUE"""),45098.0)</f>
        <v>45098</v>
      </c>
      <c r="E195" s="7" t="str">
        <f>IFERROR(__xludf.DUMMYFUNCTION("""COMPUTED_VALUE"""),"Large (Open Air Festival, Boiler Room Streaming)")</f>
        <v>Large (Open Air Festival, Boiler Room Streaming)</v>
      </c>
      <c r="F195" s="7">
        <f>IFERROR(__xludf.DUMMYFUNCTION("""COMPUTED_VALUE"""),209.0)</f>
        <v>209</v>
      </c>
      <c r="G195" s="7" t="str">
        <f>IFERROR(__xludf.DUMMYFUNCTION("""COMPUTED_VALUE"""),"Darama")</f>
        <v>Darama</v>
      </c>
      <c r="H195" s="7"/>
      <c r="I195" s="7"/>
      <c r="J195" s="7"/>
      <c r="K195" s="7"/>
      <c r="L195" s="7"/>
      <c r="M195" s="7"/>
    </row>
    <row r="196">
      <c r="A196" s="11">
        <f>IFERROR(__xludf.DUMMYFUNCTION("""COMPUTED_VALUE"""),45126.87371196759)</f>
        <v>45126.87371</v>
      </c>
      <c r="B196" s="7"/>
      <c r="C196" s="7" t="str">
        <f>IFERROR(__xludf.DUMMYFUNCTION("""COMPUTED_VALUE"""),"Glasto 2023")</f>
        <v>Glasto 2023</v>
      </c>
      <c r="D196" s="14">
        <f>IFERROR(__xludf.DUMMYFUNCTION("""COMPUTED_VALUE"""),45098.0)</f>
        <v>45098</v>
      </c>
      <c r="E196" s="7" t="str">
        <f>IFERROR(__xludf.DUMMYFUNCTION("""COMPUTED_VALUE"""),"Large (Open Air Festival, Boiler Room Streaming)")</f>
        <v>Large (Open Air Festival, Boiler Room Streaming)</v>
      </c>
      <c r="F196" s="7">
        <f>IFERROR(__xludf.DUMMYFUNCTION("""COMPUTED_VALUE"""),331.0)</f>
        <v>331</v>
      </c>
      <c r="G196" s="7" t="str">
        <f>IFERROR(__xludf.DUMMYFUNCTION("""COMPUTED_VALUE"""),"Darama")</f>
        <v>Darama</v>
      </c>
      <c r="H196" s="7"/>
      <c r="I196" s="7"/>
      <c r="J196" s="7"/>
      <c r="K196" s="7"/>
      <c r="L196" s="7"/>
      <c r="M196" s="7"/>
    </row>
    <row r="197">
      <c r="A197" s="11">
        <f>IFERROR(__xludf.DUMMYFUNCTION("""COMPUTED_VALUE"""),45126.87442313657)</f>
        <v>45126.87442</v>
      </c>
      <c r="B197" s="7"/>
      <c r="C197" s="7" t="str">
        <f>IFERROR(__xludf.DUMMYFUNCTION("""COMPUTED_VALUE"""),"Glasto 2023")</f>
        <v>Glasto 2023</v>
      </c>
      <c r="D197" s="14">
        <f>IFERROR(__xludf.DUMMYFUNCTION("""COMPUTED_VALUE"""),45098.0)</f>
        <v>45098</v>
      </c>
      <c r="E197" s="7" t="str">
        <f>IFERROR(__xludf.DUMMYFUNCTION("""COMPUTED_VALUE"""),"Large (Open Air Festival, Boiler Room Streaming)")</f>
        <v>Large (Open Air Festival, Boiler Room Streaming)</v>
      </c>
      <c r="F197" s="7">
        <f>IFERROR(__xludf.DUMMYFUNCTION("""COMPUTED_VALUE"""),263.0)</f>
        <v>263</v>
      </c>
      <c r="G197" s="7" t="str">
        <f>IFERROR(__xludf.DUMMYFUNCTION("""COMPUTED_VALUE"""),"Darama")</f>
        <v>Darama</v>
      </c>
      <c r="H197" s="7"/>
      <c r="I197" s="7"/>
      <c r="J197" s="7"/>
      <c r="K197" s="7"/>
      <c r="L197" s="7"/>
      <c r="M197" s="7"/>
    </row>
    <row r="198">
      <c r="A198" s="11">
        <f>IFERROR(__xludf.DUMMYFUNCTION("""COMPUTED_VALUE"""),45126.87763956018)</f>
        <v>45126.87764</v>
      </c>
      <c r="B198" s="7"/>
      <c r="C198" s="7" t="str">
        <f>IFERROR(__xludf.DUMMYFUNCTION("""COMPUTED_VALUE"""),"MIF")</f>
        <v>MIF</v>
      </c>
      <c r="D198" s="14">
        <f>IFERROR(__xludf.DUMMYFUNCTION("""COMPUTED_VALUE"""),45106.0)</f>
        <v>45106</v>
      </c>
      <c r="E198" s="7" t="str">
        <f>IFERROR(__xludf.DUMMYFUNCTION("""COMPUTED_VALUE"""),"Large (Open Air Festival, Boiler Room Streaming)")</f>
        <v>Large (Open Air Festival, Boiler Room Streaming)</v>
      </c>
      <c r="F198" s="7">
        <f>IFERROR(__xludf.DUMMYFUNCTION("""COMPUTED_VALUE"""),363.0)</f>
        <v>363</v>
      </c>
      <c r="G198" s="7" t="str">
        <f>IFERROR(__xludf.DUMMYFUNCTION("""COMPUTED_VALUE"""),"Darama")</f>
        <v>Darama</v>
      </c>
      <c r="H198" s="7"/>
      <c r="I198" s="7"/>
      <c r="J198" s="7"/>
      <c r="K198" s="7"/>
      <c r="L198" s="7"/>
      <c r="M198" s="7"/>
    </row>
    <row r="199">
      <c r="A199" s="11">
        <f>IFERROR(__xludf.DUMMYFUNCTION("""COMPUTED_VALUE"""),45126.87814965278)</f>
        <v>45126.87815</v>
      </c>
      <c r="B199" s="7"/>
      <c r="C199" s="7" t="str">
        <f>IFERROR(__xludf.DUMMYFUNCTION("""COMPUTED_VALUE"""),"MIF")</f>
        <v>MIF</v>
      </c>
      <c r="D199" s="14">
        <f>IFERROR(__xludf.DUMMYFUNCTION("""COMPUTED_VALUE"""),45106.0)</f>
        <v>45106</v>
      </c>
      <c r="E199" s="7" t="str">
        <f>IFERROR(__xludf.DUMMYFUNCTION("""COMPUTED_VALUE"""),"Large (Open Air Festival, Boiler Room Streaming)")</f>
        <v>Large (Open Air Festival, Boiler Room Streaming)</v>
      </c>
      <c r="F199" s="7">
        <f>IFERROR(__xludf.DUMMYFUNCTION("""COMPUTED_VALUE"""),336.0)</f>
        <v>336</v>
      </c>
      <c r="G199" s="7" t="str">
        <f>IFERROR(__xludf.DUMMYFUNCTION("""COMPUTED_VALUE"""),"Darama")</f>
        <v>Darama</v>
      </c>
      <c r="H199" s="7"/>
      <c r="I199" s="7"/>
      <c r="J199" s="7"/>
      <c r="K199" s="7"/>
      <c r="L199" s="7"/>
      <c r="M199" s="7"/>
    </row>
    <row r="200">
      <c r="A200" s="11">
        <f>IFERROR(__xludf.DUMMYFUNCTION("""COMPUTED_VALUE"""),45126.87850407408)</f>
        <v>45126.8785</v>
      </c>
      <c r="B200" s="7"/>
      <c r="C200" s="7" t="str">
        <f>IFERROR(__xludf.DUMMYFUNCTION("""COMPUTED_VALUE"""),"MIF")</f>
        <v>MIF</v>
      </c>
      <c r="D200" s="14">
        <f>IFERROR(__xludf.DUMMYFUNCTION("""COMPUTED_VALUE"""),45106.0)</f>
        <v>45106</v>
      </c>
      <c r="E200" s="7" t="str">
        <f>IFERROR(__xludf.DUMMYFUNCTION("""COMPUTED_VALUE"""),"Large (Open Air Festival, Boiler Room Streaming)")</f>
        <v>Large (Open Air Festival, Boiler Room Streaming)</v>
      </c>
      <c r="F200" s="7">
        <f>IFERROR(__xludf.DUMMYFUNCTION("""COMPUTED_VALUE"""),364.0)</f>
        <v>364</v>
      </c>
      <c r="G200" s="7" t="str">
        <f>IFERROR(__xludf.DUMMYFUNCTION("""COMPUTED_VALUE"""),"Darama")</f>
        <v>Darama</v>
      </c>
      <c r="H200" s="7"/>
      <c r="I200" s="7"/>
      <c r="J200" s="7"/>
      <c r="K200" s="7"/>
      <c r="L200" s="7"/>
      <c r="M200" s="7"/>
    </row>
    <row r="201">
      <c r="A201" s="11">
        <f>IFERROR(__xludf.DUMMYFUNCTION("""COMPUTED_VALUE"""),45126.87882593751)</f>
        <v>45126.87883</v>
      </c>
      <c r="B201" s="7"/>
      <c r="C201" s="7" t="str">
        <f>IFERROR(__xludf.DUMMYFUNCTION("""COMPUTED_VALUE"""),"MIF")</f>
        <v>MIF</v>
      </c>
      <c r="D201" s="14">
        <f>IFERROR(__xludf.DUMMYFUNCTION("""COMPUTED_VALUE"""),45106.0)</f>
        <v>45106</v>
      </c>
      <c r="E201" s="7" t="str">
        <f>IFERROR(__xludf.DUMMYFUNCTION("""COMPUTED_VALUE"""),"Large (Open Air Festival, Boiler Room Streaming)")</f>
        <v>Large (Open Air Festival, Boiler Room Streaming)</v>
      </c>
      <c r="F201" s="7">
        <f>IFERROR(__xludf.DUMMYFUNCTION("""COMPUTED_VALUE"""),365.0)</f>
        <v>365</v>
      </c>
      <c r="G201" s="7" t="str">
        <f>IFERROR(__xludf.DUMMYFUNCTION("""COMPUTED_VALUE"""),"Darama")</f>
        <v>Darama</v>
      </c>
      <c r="H201" s="7"/>
      <c r="I201" s="7"/>
      <c r="J201" s="7"/>
      <c r="K201" s="7"/>
      <c r="L201" s="7"/>
      <c r="M201" s="7"/>
    </row>
    <row r="202">
      <c r="A202" s="11">
        <f>IFERROR(__xludf.DUMMYFUNCTION("""COMPUTED_VALUE"""),45126.87928804398)</f>
        <v>45126.87929</v>
      </c>
      <c r="B202" s="7"/>
      <c r="C202" s="7" t="str">
        <f>IFERROR(__xludf.DUMMYFUNCTION("""COMPUTED_VALUE"""),"MIF")</f>
        <v>MIF</v>
      </c>
      <c r="D202" s="14">
        <f>IFERROR(__xludf.DUMMYFUNCTION("""COMPUTED_VALUE"""),45106.0)</f>
        <v>45106</v>
      </c>
      <c r="E202" s="7" t="str">
        <f>IFERROR(__xludf.DUMMYFUNCTION("""COMPUTED_VALUE"""),"Large (Open Air Festival, Boiler Room Streaming)")</f>
        <v>Large (Open Air Festival, Boiler Room Streaming)</v>
      </c>
      <c r="F202" s="7">
        <f>IFERROR(__xludf.DUMMYFUNCTION("""COMPUTED_VALUE"""),335.0)</f>
        <v>335</v>
      </c>
      <c r="G202" s="7" t="str">
        <f>IFERROR(__xludf.DUMMYFUNCTION("""COMPUTED_VALUE"""),"Darama")</f>
        <v>Darama</v>
      </c>
      <c r="H202" s="7"/>
      <c r="I202" s="7"/>
      <c r="J202" s="7"/>
      <c r="K202" s="7"/>
      <c r="L202" s="7"/>
      <c r="M202" s="7"/>
    </row>
    <row r="203">
      <c r="A203" s="11">
        <f>IFERROR(__xludf.DUMMYFUNCTION("""COMPUTED_VALUE"""),45126.87960150463)</f>
        <v>45126.8796</v>
      </c>
      <c r="B203" s="7"/>
      <c r="C203" s="7" t="str">
        <f>IFERROR(__xludf.DUMMYFUNCTION("""COMPUTED_VALUE"""),"MIF")</f>
        <v>MIF</v>
      </c>
      <c r="D203" s="14">
        <f>IFERROR(__xludf.DUMMYFUNCTION("""COMPUTED_VALUE"""),45106.0)</f>
        <v>45106</v>
      </c>
      <c r="E203" s="7" t="str">
        <f>IFERROR(__xludf.DUMMYFUNCTION("""COMPUTED_VALUE"""),"Large (Open Air Festival, Boiler Room Streaming)")</f>
        <v>Large (Open Air Festival, Boiler Room Streaming)</v>
      </c>
      <c r="F203" s="7">
        <f>IFERROR(__xludf.DUMMYFUNCTION("""COMPUTED_VALUE"""),231.0)</f>
        <v>231</v>
      </c>
      <c r="G203" s="7" t="str">
        <f>IFERROR(__xludf.DUMMYFUNCTION("""COMPUTED_VALUE"""),"Darama")</f>
        <v>Darama</v>
      </c>
      <c r="H203" s="7"/>
      <c r="I203" s="7"/>
      <c r="J203" s="7"/>
      <c r="K203" s="7"/>
      <c r="L203" s="7"/>
      <c r="M203" s="7"/>
    </row>
    <row r="204">
      <c r="A204" s="11">
        <f>IFERROR(__xludf.DUMMYFUNCTION("""COMPUTED_VALUE"""),45126.880108020836)</f>
        <v>45126.88011</v>
      </c>
      <c r="B204" s="7"/>
      <c r="C204" s="7" t="str">
        <f>IFERROR(__xludf.DUMMYFUNCTION("""COMPUTED_VALUE"""),"MIF")</f>
        <v>MIF</v>
      </c>
      <c r="D204" s="14">
        <f>IFERROR(__xludf.DUMMYFUNCTION("""COMPUTED_VALUE"""),45106.0)</f>
        <v>45106</v>
      </c>
      <c r="E204" s="7" t="str">
        <f>IFERROR(__xludf.DUMMYFUNCTION("""COMPUTED_VALUE"""),"Large (Open Air Festival, Boiler Room Streaming)")</f>
        <v>Large (Open Air Festival, Boiler Room Streaming)</v>
      </c>
      <c r="F204" s="7">
        <f>IFERROR(__xludf.DUMMYFUNCTION("""COMPUTED_VALUE"""),264.0)</f>
        <v>264</v>
      </c>
      <c r="G204" s="7" t="str">
        <f>IFERROR(__xludf.DUMMYFUNCTION("""COMPUTED_VALUE"""),"Darama")</f>
        <v>Darama</v>
      </c>
      <c r="H204" s="7"/>
      <c r="I204" s="7"/>
      <c r="J204" s="7"/>
      <c r="K204" s="7"/>
      <c r="L204" s="7"/>
      <c r="M204" s="7"/>
    </row>
    <row r="205">
      <c r="A205" s="11">
        <f>IFERROR(__xludf.DUMMYFUNCTION("""COMPUTED_VALUE"""),45126.88042228009)</f>
        <v>45126.88042</v>
      </c>
      <c r="B205" s="7"/>
      <c r="C205" s="7" t="str">
        <f>IFERROR(__xludf.DUMMYFUNCTION("""COMPUTED_VALUE"""),"MIF")</f>
        <v>MIF</v>
      </c>
      <c r="D205" s="14">
        <f>IFERROR(__xludf.DUMMYFUNCTION("""COMPUTED_VALUE"""),45106.0)</f>
        <v>45106</v>
      </c>
      <c r="E205" s="7" t="str">
        <f>IFERROR(__xludf.DUMMYFUNCTION("""COMPUTED_VALUE"""),"Large (Open Air Festival, Boiler Room Streaming)")</f>
        <v>Large (Open Air Festival, Boiler Room Streaming)</v>
      </c>
      <c r="F205" s="7">
        <f>IFERROR(__xludf.DUMMYFUNCTION("""COMPUTED_VALUE"""),319.0)</f>
        <v>319</v>
      </c>
      <c r="G205" s="7" t="str">
        <f>IFERROR(__xludf.DUMMYFUNCTION("""COMPUTED_VALUE"""),"Darama")</f>
        <v>Darama</v>
      </c>
      <c r="H205" s="7"/>
      <c r="I205" s="7"/>
      <c r="J205" s="7"/>
      <c r="K205" s="7"/>
      <c r="L205" s="7"/>
      <c r="M205" s="7"/>
    </row>
    <row r="206">
      <c r="A206" s="11">
        <f>IFERROR(__xludf.DUMMYFUNCTION("""COMPUTED_VALUE"""),45126.881227881946)</f>
        <v>45126.88123</v>
      </c>
      <c r="B206" s="7"/>
      <c r="C206" s="7" t="str">
        <f>IFERROR(__xludf.DUMMYFUNCTION("""COMPUTED_VALUE"""),"Dour Fest")</f>
        <v>Dour Fest</v>
      </c>
      <c r="D206" s="14">
        <f>IFERROR(__xludf.DUMMYFUNCTION("""COMPUTED_VALUE"""),45120.0)</f>
        <v>45120</v>
      </c>
      <c r="E206" s="7" t="str">
        <f>IFERROR(__xludf.DUMMYFUNCTION("""COMPUTED_VALUE"""),"Large (Open Air Festival, Boiler Room Streaming)")</f>
        <v>Large (Open Air Festival, Boiler Room Streaming)</v>
      </c>
      <c r="F206" s="7">
        <f>IFERROR(__xludf.DUMMYFUNCTION("""COMPUTED_VALUE"""),293.0)</f>
        <v>293</v>
      </c>
      <c r="G206" s="7" t="str">
        <f>IFERROR(__xludf.DUMMYFUNCTION("""COMPUTED_VALUE"""),"Darama")</f>
        <v>Darama</v>
      </c>
      <c r="H206" s="7"/>
      <c r="I206" s="7"/>
      <c r="J206" s="7"/>
      <c r="K206" s="7"/>
      <c r="L206" s="7"/>
      <c r="M206" s="7"/>
    </row>
    <row r="207">
      <c r="A207" s="11">
        <f>IFERROR(__xludf.DUMMYFUNCTION("""COMPUTED_VALUE"""),45126.88184628472)</f>
        <v>45126.88185</v>
      </c>
      <c r="B207" s="7"/>
      <c r="C207" s="7" t="str">
        <f>IFERROR(__xludf.DUMMYFUNCTION("""COMPUTED_VALUE"""),"Dour Festival")</f>
        <v>Dour Festival</v>
      </c>
      <c r="D207" s="14">
        <f>IFERROR(__xludf.DUMMYFUNCTION("""COMPUTED_VALUE"""),45120.0)</f>
        <v>45120</v>
      </c>
      <c r="E207" s="7" t="str">
        <f>IFERROR(__xludf.DUMMYFUNCTION("""COMPUTED_VALUE"""),"Large (Open Air Festival, Boiler Room Streaming)")</f>
        <v>Large (Open Air Festival, Boiler Room Streaming)</v>
      </c>
      <c r="F207" s="7">
        <f>IFERROR(__xludf.DUMMYFUNCTION("""COMPUTED_VALUE"""),327.0)</f>
        <v>327</v>
      </c>
      <c r="G207" s="7" t="str">
        <f>IFERROR(__xludf.DUMMYFUNCTION("""COMPUTED_VALUE"""),"Darama")</f>
        <v>Darama</v>
      </c>
      <c r="H207" s="7"/>
      <c r="I207" s="7"/>
      <c r="J207" s="7"/>
      <c r="K207" s="7"/>
      <c r="L207" s="7"/>
      <c r="M207" s="7"/>
    </row>
    <row r="208">
      <c r="A208" s="11">
        <f>IFERROR(__xludf.DUMMYFUNCTION("""COMPUTED_VALUE"""),45126.882191770834)</f>
        <v>45126.88219</v>
      </c>
      <c r="B208" s="7"/>
      <c r="C208" s="7" t="str">
        <f>IFERROR(__xludf.DUMMYFUNCTION("""COMPUTED_VALUE"""),"Dour Fest")</f>
        <v>Dour Fest</v>
      </c>
      <c r="D208" s="14">
        <f>IFERROR(__xludf.DUMMYFUNCTION("""COMPUTED_VALUE"""),45120.0)</f>
        <v>45120</v>
      </c>
      <c r="E208" s="7" t="str">
        <f>IFERROR(__xludf.DUMMYFUNCTION("""COMPUTED_VALUE"""),"Large (Open Air Festival, Boiler Room Streaming)")</f>
        <v>Large (Open Air Festival, Boiler Room Streaming)</v>
      </c>
      <c r="F208" s="7">
        <f>IFERROR(__xludf.DUMMYFUNCTION("""COMPUTED_VALUE"""),350.0)</f>
        <v>350</v>
      </c>
      <c r="G208" s="7" t="str">
        <f>IFERROR(__xludf.DUMMYFUNCTION("""COMPUTED_VALUE"""),"Darama")</f>
        <v>Darama</v>
      </c>
      <c r="H208" s="7"/>
      <c r="I208" s="7"/>
      <c r="J208" s="7"/>
      <c r="K208" s="7"/>
      <c r="L208" s="7"/>
      <c r="M208" s="7"/>
    </row>
    <row r="209">
      <c r="A209" s="11">
        <f>IFERROR(__xludf.DUMMYFUNCTION("""COMPUTED_VALUE"""),45127.47863653935)</f>
        <v>45127.47864</v>
      </c>
      <c r="B209" s="7"/>
      <c r="C209" s="7" t="str">
        <f>IFERROR(__xludf.DUMMYFUNCTION("""COMPUTED_VALUE"""),"HOR")</f>
        <v>HOR</v>
      </c>
      <c r="D209" s="14">
        <f>IFERROR(__xludf.DUMMYFUNCTION("""COMPUTED_VALUE"""),44972.0)</f>
        <v>44972</v>
      </c>
      <c r="E209" s="7" t="str">
        <f>IFERROR(__xludf.DUMMYFUNCTION("""COMPUTED_VALUE"""),"Large (Open Air Festival, Boiler Room Streaming)")</f>
        <v>Large (Open Air Festival, Boiler Room Streaming)</v>
      </c>
      <c r="F209" s="7">
        <f>IFERROR(__xludf.DUMMYFUNCTION("""COMPUTED_VALUE"""),316.0)</f>
        <v>316</v>
      </c>
      <c r="G209" s="7" t="str">
        <f>IFERROR(__xludf.DUMMYFUNCTION("""COMPUTED_VALUE"""),"Darama")</f>
        <v>Darama</v>
      </c>
      <c r="H209" s="7"/>
      <c r="I209" s="7"/>
      <c r="J209" s="7"/>
      <c r="K209" s="7"/>
      <c r="L209" s="7"/>
      <c r="M209" s="7"/>
    </row>
    <row r="210">
      <c r="A210" s="11">
        <f>IFERROR(__xludf.DUMMYFUNCTION("""COMPUTED_VALUE"""),45127.4790817824)</f>
        <v>45127.47908</v>
      </c>
      <c r="B210" s="7"/>
      <c r="C210" s="7" t="str">
        <f>IFERROR(__xludf.DUMMYFUNCTION("""COMPUTED_VALUE"""),"HOR")</f>
        <v>HOR</v>
      </c>
      <c r="D210" s="14">
        <f>IFERROR(__xludf.DUMMYFUNCTION("""COMPUTED_VALUE"""),44972.0)</f>
        <v>44972</v>
      </c>
      <c r="E210" s="7" t="str">
        <f>IFERROR(__xludf.DUMMYFUNCTION("""COMPUTED_VALUE"""),"Large (Open Air Festival, Boiler Room Streaming)")</f>
        <v>Large (Open Air Festival, Boiler Room Streaming)</v>
      </c>
      <c r="F210" s="7">
        <f>IFERROR(__xludf.DUMMYFUNCTION("""COMPUTED_VALUE"""),258.0)</f>
        <v>258</v>
      </c>
      <c r="G210" s="7" t="str">
        <f>IFERROR(__xludf.DUMMYFUNCTION("""COMPUTED_VALUE"""),"Darama")</f>
        <v>Darama</v>
      </c>
      <c r="H210" s="7"/>
      <c r="I210" s="7"/>
      <c r="J210" s="7"/>
      <c r="K210" s="7"/>
      <c r="L210" s="7"/>
      <c r="M210" s="7"/>
    </row>
    <row r="211">
      <c r="A211" s="11">
        <f>IFERROR(__xludf.DUMMYFUNCTION("""COMPUTED_VALUE"""),45127.4794193287)</f>
        <v>45127.47942</v>
      </c>
      <c r="B211" s="7"/>
      <c r="C211" s="7" t="str">
        <f>IFERROR(__xludf.DUMMYFUNCTION("""COMPUTED_VALUE"""),"HOR")</f>
        <v>HOR</v>
      </c>
      <c r="D211" s="14">
        <f>IFERROR(__xludf.DUMMYFUNCTION("""COMPUTED_VALUE"""),44972.0)</f>
        <v>44972</v>
      </c>
      <c r="E211" s="7" t="str">
        <f>IFERROR(__xludf.DUMMYFUNCTION("""COMPUTED_VALUE"""),"Large (Open Air Festival, Boiler Room Streaming)")</f>
        <v>Large (Open Air Festival, Boiler Room Streaming)</v>
      </c>
      <c r="F211" s="7">
        <f>IFERROR(__xludf.DUMMYFUNCTION("""COMPUTED_VALUE"""),344.0)</f>
        <v>344</v>
      </c>
      <c r="G211" s="7" t="str">
        <f>IFERROR(__xludf.DUMMYFUNCTION("""COMPUTED_VALUE"""),"Darama")</f>
        <v>Darama</v>
      </c>
      <c r="H211" s="7"/>
      <c r="I211" s="7"/>
      <c r="J211" s="7"/>
      <c r="K211" s="7"/>
      <c r="L211" s="7"/>
      <c r="M211" s="7"/>
    </row>
    <row r="212">
      <c r="A212" s="11">
        <f>IFERROR(__xludf.DUMMYFUNCTION("""COMPUTED_VALUE"""),45127.47979614584)</f>
        <v>45127.4798</v>
      </c>
      <c r="B212" s="7"/>
      <c r="C212" s="7" t="str">
        <f>IFERROR(__xludf.DUMMYFUNCTION("""COMPUTED_VALUE"""),"HOR")</f>
        <v>HOR</v>
      </c>
      <c r="D212" s="14">
        <f>IFERROR(__xludf.DUMMYFUNCTION("""COMPUTED_VALUE"""),44972.0)</f>
        <v>44972</v>
      </c>
      <c r="E212" s="7" t="str">
        <f>IFERROR(__xludf.DUMMYFUNCTION("""COMPUTED_VALUE"""),"Large (Open Air Festival, Boiler Room Streaming)")</f>
        <v>Large (Open Air Festival, Boiler Room Streaming)</v>
      </c>
      <c r="F212" s="7">
        <f>IFERROR(__xludf.DUMMYFUNCTION("""COMPUTED_VALUE"""),350.0)</f>
        <v>350</v>
      </c>
      <c r="G212" s="7" t="str">
        <f>IFERROR(__xludf.DUMMYFUNCTION("""COMPUTED_VALUE"""),"Darama")</f>
        <v>Darama</v>
      </c>
      <c r="H212" s="7"/>
      <c r="I212" s="7"/>
      <c r="J212" s="7"/>
      <c r="K212" s="7"/>
      <c r="L212" s="7"/>
      <c r="M212" s="7"/>
    </row>
    <row r="213">
      <c r="A213" s="11">
        <f>IFERROR(__xludf.DUMMYFUNCTION("""COMPUTED_VALUE"""),45127.698703761576)</f>
        <v>45127.6987</v>
      </c>
      <c r="B213" s="7"/>
      <c r="C213" s="7" t="str">
        <f>IFERROR(__xludf.DUMMYFUNCTION("""COMPUTED_VALUE"""),"Secret Garden Party")</f>
        <v>Secret Garden Party</v>
      </c>
      <c r="D213" s="14">
        <f>IFERROR(__xludf.DUMMYFUNCTION("""COMPUTED_VALUE"""),44763.0)</f>
        <v>44763</v>
      </c>
      <c r="E213" s="7" t="str">
        <f>IFERROR(__xludf.DUMMYFUNCTION("""COMPUTED_VALUE"""),"Large (Open Air Festival, Boiler Room Streaming)")</f>
        <v>Large (Open Air Festival, Boiler Room Streaming)</v>
      </c>
      <c r="F213" s="7">
        <f>IFERROR(__xludf.DUMMYFUNCTION("""COMPUTED_VALUE"""),265.0)</f>
        <v>265</v>
      </c>
      <c r="G213" s="7" t="str">
        <f>IFERROR(__xludf.DUMMYFUNCTION("""COMPUTED_VALUE"""),"Darama")</f>
        <v>Darama</v>
      </c>
      <c r="H213" s="7"/>
      <c r="I213" s="7"/>
      <c r="J213" s="7"/>
      <c r="K213" s="7"/>
      <c r="L213" s="7"/>
      <c r="M213" s="7"/>
    </row>
    <row r="214">
      <c r="A214" s="11">
        <f>IFERROR(__xludf.DUMMYFUNCTION("""COMPUTED_VALUE"""),45127.699080879625)</f>
        <v>45127.69908</v>
      </c>
      <c r="B214" s="7"/>
      <c r="C214" s="7" t="str">
        <f>IFERROR(__xludf.DUMMYFUNCTION("""COMPUTED_VALUE"""),"Secret Garden Party")</f>
        <v>Secret Garden Party</v>
      </c>
      <c r="D214" s="14">
        <f>IFERROR(__xludf.DUMMYFUNCTION("""COMPUTED_VALUE"""),44763.0)</f>
        <v>44763</v>
      </c>
      <c r="E214" s="7" t="str">
        <f>IFERROR(__xludf.DUMMYFUNCTION("""COMPUTED_VALUE"""),"Large (Open Air Festival, Boiler Room Streaming)")</f>
        <v>Large (Open Air Festival, Boiler Room Streaming)</v>
      </c>
      <c r="F214" s="7">
        <f>IFERROR(__xludf.DUMMYFUNCTION("""COMPUTED_VALUE"""),217.0)</f>
        <v>217</v>
      </c>
      <c r="G214" s="7" t="str">
        <f>IFERROR(__xludf.DUMMYFUNCTION("""COMPUTED_VALUE"""),"Darama")</f>
        <v>Darama</v>
      </c>
      <c r="H214" s="7"/>
      <c r="I214" s="7"/>
      <c r="J214" s="7"/>
      <c r="K214" s="7"/>
      <c r="L214" s="7"/>
      <c r="M214" s="7"/>
    </row>
    <row r="215">
      <c r="A215" s="11">
        <f>IFERROR(__xludf.DUMMYFUNCTION("""COMPUTED_VALUE"""),45127.699496608795)</f>
        <v>45127.6995</v>
      </c>
      <c r="B215" s="7"/>
      <c r="C215" s="7" t="str">
        <f>IFERROR(__xludf.DUMMYFUNCTION("""COMPUTED_VALUE"""),"Secret Garden Party")</f>
        <v>Secret Garden Party</v>
      </c>
      <c r="D215" s="14">
        <f>IFERROR(__xludf.DUMMYFUNCTION("""COMPUTED_VALUE"""),44763.0)</f>
        <v>44763</v>
      </c>
      <c r="E215" s="7" t="str">
        <f>IFERROR(__xludf.DUMMYFUNCTION("""COMPUTED_VALUE"""),"Large (Open Air Festival, Boiler Room Streaming)")</f>
        <v>Large (Open Air Festival, Boiler Room Streaming)</v>
      </c>
      <c r="F215" s="7">
        <f>IFERROR(__xludf.DUMMYFUNCTION("""COMPUTED_VALUE"""),278.0)</f>
        <v>278</v>
      </c>
      <c r="G215" s="7" t="str">
        <f>IFERROR(__xludf.DUMMYFUNCTION("""COMPUTED_VALUE"""),"Darama")</f>
        <v>Darama</v>
      </c>
      <c r="H215" s="7"/>
      <c r="I215" s="7"/>
      <c r="J215" s="7"/>
      <c r="K215" s="7"/>
      <c r="L215" s="7"/>
      <c r="M215" s="7"/>
    </row>
    <row r="216">
      <c r="A216" s="11">
        <f>IFERROR(__xludf.DUMMYFUNCTION("""COMPUTED_VALUE"""),45127.70055759259)</f>
        <v>45127.70056</v>
      </c>
      <c r="B216" s="7"/>
      <c r="C216" s="7" t="str">
        <f>IFERROR(__xludf.DUMMYFUNCTION("""COMPUTED_VALUE"""),"Secret Garden Party")</f>
        <v>Secret Garden Party</v>
      </c>
      <c r="D216" s="14">
        <f>IFERROR(__xludf.DUMMYFUNCTION("""COMPUTED_VALUE"""),44763.0)</f>
        <v>44763</v>
      </c>
      <c r="E216" s="7" t="str">
        <f>IFERROR(__xludf.DUMMYFUNCTION("""COMPUTED_VALUE"""),"Large (Open Air Festival, Boiler Room Streaming)")</f>
        <v>Large (Open Air Festival, Boiler Room Streaming)</v>
      </c>
      <c r="F216" s="7">
        <f>IFERROR(__xludf.DUMMYFUNCTION("""COMPUTED_VALUE"""),366.0)</f>
        <v>366</v>
      </c>
      <c r="G216" s="7" t="str">
        <f>IFERROR(__xludf.DUMMYFUNCTION("""COMPUTED_VALUE"""),"Darama")</f>
        <v>Darama</v>
      </c>
      <c r="H216" s="7"/>
      <c r="I216" s="7"/>
      <c r="J216" s="7"/>
      <c r="K216" s="7"/>
      <c r="L216" s="7"/>
      <c r="M216" s="7"/>
    </row>
    <row r="217">
      <c r="A217" s="11">
        <f>IFERROR(__xludf.DUMMYFUNCTION("""COMPUTED_VALUE"""),45128.69512083334)</f>
        <v>45128.69512</v>
      </c>
      <c r="B217" s="7"/>
      <c r="C217" s="7" t="str">
        <f>IFERROR(__xludf.DUMMYFUNCTION("""COMPUTED_VALUE"""),"Spotify Launch Party 2023")</f>
        <v>Spotify Launch Party 2023</v>
      </c>
      <c r="D217" s="14">
        <f>IFERROR(__xludf.DUMMYFUNCTION("""COMPUTED_VALUE"""),45017.0)</f>
        <v>45017</v>
      </c>
      <c r="E217" s="7" t="str">
        <f>IFERROR(__xludf.DUMMYFUNCTION("""COMPUTED_VALUE"""),"Small (Bar, Exhibitions, Charity Events, Restaurants)")</f>
        <v>Small (Bar, Exhibitions, Charity Events, Restaurants)</v>
      </c>
      <c r="F217" s="7">
        <f>IFERROR(__xludf.DUMMYFUNCTION("""COMPUTED_VALUE"""),257.0)</f>
        <v>257</v>
      </c>
      <c r="G217" s="7" t="str">
        <f>IFERROR(__xludf.DUMMYFUNCTION("""COMPUTED_VALUE"""),"Arun")</f>
        <v>Arun</v>
      </c>
      <c r="H217" s="7"/>
      <c r="I217" s="7"/>
      <c r="J217" s="7"/>
      <c r="K217" s="7"/>
      <c r="L217" s="7"/>
      <c r="M217" s="7"/>
    </row>
    <row r="218">
      <c r="A218" s="11">
        <f>IFERROR(__xludf.DUMMYFUNCTION("""COMPUTED_VALUE"""),45128.69561368055)</f>
        <v>45128.69561</v>
      </c>
      <c r="B218" s="7"/>
      <c r="C218" s="7" t="str">
        <f>IFERROR(__xludf.DUMMYFUNCTION("""COMPUTED_VALUE"""),"Spotify Launch Party 2023")</f>
        <v>Spotify Launch Party 2023</v>
      </c>
      <c r="D218" s="14">
        <f>IFERROR(__xludf.DUMMYFUNCTION("""COMPUTED_VALUE"""),45017.0)</f>
        <v>45017</v>
      </c>
      <c r="E218" s="7" t="str">
        <f>IFERROR(__xludf.DUMMYFUNCTION("""COMPUTED_VALUE"""),"Small (Bar, Exhibitions, Charity Events, Restaurants)")</f>
        <v>Small (Bar, Exhibitions, Charity Events, Restaurants)</v>
      </c>
      <c r="F218" s="7">
        <f>IFERROR(__xludf.DUMMYFUNCTION("""COMPUTED_VALUE"""),367.0)</f>
        <v>367</v>
      </c>
      <c r="G218" s="7" t="str">
        <f>IFERROR(__xludf.DUMMYFUNCTION("""COMPUTED_VALUE"""),"Arun")</f>
        <v>Arun</v>
      </c>
      <c r="H218" s="7"/>
      <c r="I218" s="7"/>
      <c r="J218" s="7"/>
      <c r="K218" s="7"/>
      <c r="L218" s="7"/>
      <c r="M218" s="7"/>
    </row>
    <row r="219">
      <c r="A219" s="11">
        <f>IFERROR(__xludf.DUMMYFUNCTION("""COMPUTED_VALUE"""),45128.697804386575)</f>
        <v>45128.6978</v>
      </c>
      <c r="B219" s="7"/>
      <c r="C219" s="7" t="str">
        <f>IFERROR(__xludf.DUMMYFUNCTION("""COMPUTED_VALUE"""),"Phonox March 2023")</f>
        <v>Phonox March 2023</v>
      </c>
      <c r="D219" s="14">
        <f>IFERROR(__xludf.DUMMYFUNCTION("""COMPUTED_VALUE"""),44986.0)</f>
        <v>44986</v>
      </c>
      <c r="E219" s="7" t="str">
        <f>IFERROR(__xludf.DUMMYFUNCTION("""COMPUTED_VALUE"""),"Medium (Medium Sized Club, Corsica, Fabric etc)")</f>
        <v>Medium (Medium Sized Club, Corsica, Fabric etc)</v>
      </c>
      <c r="F219" s="7">
        <f>IFERROR(__xludf.DUMMYFUNCTION("""COMPUTED_VALUE"""),341.0)</f>
        <v>341</v>
      </c>
      <c r="G219" s="7" t="str">
        <f>IFERROR(__xludf.DUMMYFUNCTION("""COMPUTED_VALUE"""),"Arun")</f>
        <v>Arun</v>
      </c>
      <c r="H219" s="7"/>
      <c r="I219" s="7"/>
      <c r="J219" s="7"/>
      <c r="K219" s="7"/>
      <c r="L219" s="7"/>
      <c r="M219" s="7"/>
    </row>
    <row r="220">
      <c r="A220" s="11">
        <f>IFERROR(__xludf.DUMMYFUNCTION("""COMPUTED_VALUE"""),45128.6987080787)</f>
        <v>45128.69871</v>
      </c>
      <c r="B220" s="7"/>
      <c r="C220" s="7" t="str">
        <f>IFERROR(__xludf.DUMMYFUNCTION("""COMPUTED_VALUE"""),"Phonox March 2023")</f>
        <v>Phonox March 2023</v>
      </c>
      <c r="D220" s="14">
        <f>IFERROR(__xludf.DUMMYFUNCTION("""COMPUTED_VALUE"""),44986.0)</f>
        <v>44986</v>
      </c>
      <c r="E220" s="7" t="str">
        <f>IFERROR(__xludf.DUMMYFUNCTION("""COMPUTED_VALUE"""),"Medium (Medium Sized Club, Corsica, Fabric etc)")</f>
        <v>Medium (Medium Sized Club, Corsica, Fabric etc)</v>
      </c>
      <c r="F220" s="7">
        <f>IFERROR(__xludf.DUMMYFUNCTION("""COMPUTED_VALUE"""),368.0)</f>
        <v>368</v>
      </c>
      <c r="G220" s="7" t="str">
        <f>IFERROR(__xludf.DUMMYFUNCTION("""COMPUTED_VALUE"""),"Arun")</f>
        <v>Arun</v>
      </c>
      <c r="H220" s="7"/>
      <c r="I220" s="7"/>
      <c r="J220" s="7"/>
      <c r="K220" s="7"/>
      <c r="L220" s="7"/>
      <c r="M220" s="7"/>
    </row>
    <row r="221">
      <c r="A221" s="11">
        <f>IFERROR(__xludf.DUMMYFUNCTION("""COMPUTED_VALUE"""),45128.69949651621)</f>
        <v>45128.6995</v>
      </c>
      <c r="B221" s="7"/>
      <c r="C221" s="7" t="str">
        <f>IFERROR(__xludf.DUMMYFUNCTION("""COMPUTED_VALUE"""),"Dhaga Arts 2023")</f>
        <v>Dhaga Arts 2023</v>
      </c>
      <c r="D221" s="14">
        <f>IFERROR(__xludf.DUMMYFUNCTION("""COMPUTED_VALUE"""),45149.0)</f>
        <v>45149</v>
      </c>
      <c r="E221" s="7" t="str">
        <f>IFERROR(__xludf.DUMMYFUNCTION("""COMPUTED_VALUE"""),"Small (Bar, Exhibitions, Charity Events, Restaurants)")</f>
        <v>Small (Bar, Exhibitions, Charity Events, Restaurants)</v>
      </c>
      <c r="F221" s="7">
        <f>IFERROR(__xludf.DUMMYFUNCTION("""COMPUTED_VALUE"""),368.0)</f>
        <v>368</v>
      </c>
      <c r="G221" s="7" t="str">
        <f>IFERROR(__xludf.DUMMYFUNCTION("""COMPUTED_VALUE"""),"Arun")</f>
        <v>Arun</v>
      </c>
      <c r="H221" s="7"/>
      <c r="I221" s="7"/>
      <c r="J221" s="7"/>
      <c r="K221" s="7"/>
      <c r="L221" s="7"/>
      <c r="M221" s="7"/>
    </row>
    <row r="222">
      <c r="A222" s="11">
        <f>IFERROR(__xludf.DUMMYFUNCTION("""COMPUTED_VALUE"""),45128.701936111116)</f>
        <v>45128.70194</v>
      </c>
      <c r="B222" s="7"/>
      <c r="C222" s="7" t="str">
        <f>IFERROR(__xludf.DUMMYFUNCTION("""COMPUTED_VALUE"""),"Phonox March 2023")</f>
        <v>Phonox March 2023</v>
      </c>
      <c r="D222" s="14">
        <f>IFERROR(__xludf.DUMMYFUNCTION("""COMPUTED_VALUE"""),44986.0)</f>
        <v>44986</v>
      </c>
      <c r="E222" s="7" t="str">
        <f>IFERROR(__xludf.DUMMYFUNCTION("""COMPUTED_VALUE"""),"Medium (Medium Sized Club, Corsica, Fabric etc)")</f>
        <v>Medium (Medium Sized Club, Corsica, Fabric etc)</v>
      </c>
      <c r="F222" s="7">
        <f>IFERROR(__xludf.DUMMYFUNCTION("""COMPUTED_VALUE"""),369.0)</f>
        <v>369</v>
      </c>
      <c r="G222" s="7" t="str">
        <f>IFERROR(__xludf.DUMMYFUNCTION("""COMPUTED_VALUE"""),"Arun")</f>
        <v>Arun</v>
      </c>
      <c r="H222" s="7"/>
      <c r="I222" s="7"/>
      <c r="J222" s="7"/>
      <c r="K222" s="7"/>
      <c r="L222" s="7"/>
      <c r="M222" s="7"/>
    </row>
    <row r="223">
      <c r="A223" s="11">
        <f>IFERROR(__xludf.DUMMYFUNCTION("""COMPUTED_VALUE"""),45128.70371162037)</f>
        <v>45128.70371</v>
      </c>
      <c r="B223" s="7"/>
      <c r="C223" s="7" t="str">
        <f>IFERROR(__xludf.DUMMYFUNCTION("""COMPUTED_VALUE"""),"Phonox March 2023")</f>
        <v>Phonox March 2023</v>
      </c>
      <c r="D223" s="14">
        <f>IFERROR(__xludf.DUMMYFUNCTION("""COMPUTED_VALUE"""),44986.0)</f>
        <v>44986</v>
      </c>
      <c r="E223" s="7" t="str">
        <f>IFERROR(__xludf.DUMMYFUNCTION("""COMPUTED_VALUE"""),"Medium (Medium Sized Club, Corsica, Fabric etc)")</f>
        <v>Medium (Medium Sized Club, Corsica, Fabric etc)</v>
      </c>
      <c r="F223" s="7">
        <f>IFERROR(__xludf.DUMMYFUNCTION("""COMPUTED_VALUE"""),370.0)</f>
        <v>370</v>
      </c>
      <c r="G223" s="7" t="str">
        <f>IFERROR(__xludf.DUMMYFUNCTION("""COMPUTED_VALUE"""),"Arun")</f>
        <v>Arun</v>
      </c>
      <c r="H223" s="7"/>
      <c r="I223" s="7"/>
      <c r="J223" s="7"/>
      <c r="K223" s="7"/>
      <c r="L223" s="7"/>
      <c r="M223" s="7"/>
    </row>
    <row r="224">
      <c r="A224" s="11">
        <f>IFERROR(__xludf.DUMMYFUNCTION("""COMPUTED_VALUE"""),45128.70693666666)</f>
        <v>45128.70694</v>
      </c>
      <c r="B224" s="7"/>
      <c r="C224" s="7" t="str">
        <f>IFERROR(__xludf.DUMMYFUNCTION("""COMPUTED_VALUE"""),"Phonox March 2023")</f>
        <v>Phonox March 2023</v>
      </c>
      <c r="D224" s="14">
        <f>IFERROR(__xludf.DUMMYFUNCTION("""COMPUTED_VALUE"""),44986.0)</f>
        <v>44986</v>
      </c>
      <c r="E224" s="7" t="str">
        <f>IFERROR(__xludf.DUMMYFUNCTION("""COMPUTED_VALUE"""),"Medium (Medium Sized Club, Corsica, Fabric etc)")</f>
        <v>Medium (Medium Sized Club, Corsica, Fabric etc)</v>
      </c>
      <c r="F224" s="7">
        <f>IFERROR(__xludf.DUMMYFUNCTION("""COMPUTED_VALUE"""),371.0)</f>
        <v>371</v>
      </c>
      <c r="G224" s="7" t="str">
        <f>IFERROR(__xludf.DUMMYFUNCTION("""COMPUTED_VALUE"""),"Arun")</f>
        <v>Arun</v>
      </c>
      <c r="H224" s="7"/>
      <c r="I224" s="7"/>
      <c r="J224" s="7"/>
      <c r="K224" s="7"/>
      <c r="L224" s="7"/>
      <c r="M224" s="7"/>
    </row>
    <row r="225">
      <c r="A225" s="11">
        <f>IFERROR(__xludf.DUMMYFUNCTION("""COMPUTED_VALUE"""),45128.708593344905)</f>
        <v>45128.70859</v>
      </c>
      <c r="B225" s="7"/>
      <c r="C225" s="7" t="str">
        <f>IFERROR(__xludf.DUMMYFUNCTION("""COMPUTED_VALUE"""),"Dhaga Arts 2023")</f>
        <v>Dhaga Arts 2023</v>
      </c>
      <c r="D225" s="14">
        <f>IFERROR(__xludf.DUMMYFUNCTION("""COMPUTED_VALUE"""),45149.0)</f>
        <v>45149</v>
      </c>
      <c r="E225" s="7" t="str">
        <f>IFERROR(__xludf.DUMMYFUNCTION("""COMPUTED_VALUE"""),"Small (Bar, Exhibitions, Charity Events, Restaurants)")</f>
        <v>Small (Bar, Exhibitions, Charity Events, Restaurants)</v>
      </c>
      <c r="F225" s="7">
        <f>IFERROR(__xludf.DUMMYFUNCTION("""COMPUTED_VALUE"""),210.0)</f>
        <v>210</v>
      </c>
      <c r="G225" s="7" t="str">
        <f>IFERROR(__xludf.DUMMYFUNCTION("""COMPUTED_VALUE"""),"Arun")</f>
        <v>Arun</v>
      </c>
      <c r="H225" s="7"/>
      <c r="I225" s="7"/>
      <c r="J225" s="7"/>
      <c r="K225" s="7"/>
      <c r="L225" s="7"/>
      <c r="M225" s="7"/>
    </row>
    <row r="226">
      <c r="A226" s="11">
        <f>IFERROR(__xludf.DUMMYFUNCTION("""COMPUTED_VALUE"""),45128.714145983795)</f>
        <v>45128.71415</v>
      </c>
      <c r="B226" s="7"/>
      <c r="C226" s="7" t="str">
        <f>IFERROR(__xludf.DUMMYFUNCTION("""COMPUTED_VALUE"""),"Ministry of Sound 2022")</f>
        <v>Ministry of Sound 2022</v>
      </c>
      <c r="D226" s="14">
        <f>IFERROR(__xludf.DUMMYFUNCTION("""COMPUTED_VALUE"""),44805.0)</f>
        <v>44805</v>
      </c>
      <c r="E226" s="7" t="str">
        <f>IFERROR(__xludf.DUMMYFUNCTION("""COMPUTED_VALUE"""),"Medium (Medium Sized Club, Corsica, Fabric etc)")</f>
        <v>Medium (Medium Sized Club, Corsica, Fabric etc)</v>
      </c>
      <c r="F226" s="7">
        <f>IFERROR(__xludf.DUMMYFUNCTION("""COMPUTED_VALUE"""),372.0)</f>
        <v>372</v>
      </c>
      <c r="G226" s="7" t="str">
        <f>IFERROR(__xludf.DUMMYFUNCTION("""COMPUTED_VALUE"""),"Arun")</f>
        <v>Arun</v>
      </c>
      <c r="H226" s="7"/>
      <c r="I226" s="7"/>
      <c r="J226" s="7"/>
      <c r="K226" s="7"/>
      <c r="L226" s="7"/>
      <c r="M226" s="7"/>
    </row>
    <row r="227">
      <c r="A227" s="11">
        <f>IFERROR(__xludf.DUMMYFUNCTION("""COMPUTED_VALUE"""),45128.71465023148)</f>
        <v>45128.71465</v>
      </c>
      <c r="B227" s="7"/>
      <c r="C227" s="7" t="str">
        <f>IFERROR(__xludf.DUMMYFUNCTION("""COMPUTED_VALUE"""),"Ministry of Sound")</f>
        <v>Ministry of Sound</v>
      </c>
      <c r="D227" s="14">
        <f>IFERROR(__xludf.DUMMYFUNCTION("""COMPUTED_VALUE"""),44805.0)</f>
        <v>44805</v>
      </c>
      <c r="E227" s="7" t="str">
        <f>IFERROR(__xludf.DUMMYFUNCTION("""COMPUTED_VALUE"""),"Medium (Medium Sized Club, Corsica, Fabric etc)")</f>
        <v>Medium (Medium Sized Club, Corsica, Fabric etc)</v>
      </c>
      <c r="F227" s="7">
        <f>IFERROR(__xludf.DUMMYFUNCTION("""COMPUTED_VALUE"""),202.0)</f>
        <v>202</v>
      </c>
      <c r="G227" s="7" t="str">
        <f>IFERROR(__xludf.DUMMYFUNCTION("""COMPUTED_VALUE"""),"Arun")</f>
        <v>Arun</v>
      </c>
      <c r="H227" s="7"/>
      <c r="I227" s="7"/>
      <c r="J227" s="7"/>
      <c r="K227" s="7"/>
      <c r="L227" s="7"/>
      <c r="M227" s="7"/>
    </row>
    <row r="228">
      <c r="A228" s="11">
        <f>IFERROR(__xludf.DUMMYFUNCTION("""COMPUTED_VALUE"""),45132.880038738425)</f>
        <v>45132.88004</v>
      </c>
      <c r="B228" s="7"/>
      <c r="C228" s="7" t="str">
        <f>IFERROR(__xludf.DUMMYFUNCTION("""COMPUTED_VALUE"""),"Ministry of Sound 2022")</f>
        <v>Ministry of Sound 2022</v>
      </c>
      <c r="D228" s="14">
        <f>IFERROR(__xludf.DUMMYFUNCTION("""COMPUTED_VALUE"""),44805.0)</f>
        <v>44805</v>
      </c>
      <c r="E228" s="7" t="str">
        <f>IFERROR(__xludf.DUMMYFUNCTION("""COMPUTED_VALUE"""),"Medium (Medium Sized Club, Corsica, Fabric etc)")</f>
        <v>Medium (Medium Sized Club, Corsica, Fabric etc)</v>
      </c>
      <c r="F228" s="7">
        <f>IFERROR(__xludf.DUMMYFUNCTION("""COMPUTED_VALUE"""),258.0)</f>
        <v>258</v>
      </c>
      <c r="G228" s="7" t="str">
        <f>IFERROR(__xludf.DUMMYFUNCTION("""COMPUTED_VALUE"""),"Arun")</f>
        <v>Arun</v>
      </c>
      <c r="H228" s="7"/>
      <c r="I228" s="7"/>
      <c r="J228" s="7"/>
      <c r="K228" s="7"/>
      <c r="L228" s="7"/>
      <c r="M228" s="7"/>
    </row>
    <row r="229">
      <c r="A229" s="11">
        <f>IFERROR(__xludf.DUMMYFUNCTION("""COMPUTED_VALUE"""),45132.88107944444)</f>
        <v>45132.88108</v>
      </c>
      <c r="B229" s="7"/>
      <c r="C229" s="7" t="str">
        <f>IFERROR(__xludf.DUMMYFUNCTION("""COMPUTED_VALUE"""),"Ministry of Sound 2022")</f>
        <v>Ministry of Sound 2022</v>
      </c>
      <c r="D229" s="14">
        <f>IFERROR(__xludf.DUMMYFUNCTION("""COMPUTED_VALUE"""),44805.0)</f>
        <v>44805</v>
      </c>
      <c r="E229" s="7" t="str">
        <f>IFERROR(__xludf.DUMMYFUNCTION("""COMPUTED_VALUE"""),"Medium (Medium Sized Club, Corsica, Fabric etc)")</f>
        <v>Medium (Medium Sized Club, Corsica, Fabric etc)</v>
      </c>
      <c r="F229" s="7">
        <f>IFERROR(__xludf.DUMMYFUNCTION("""COMPUTED_VALUE"""),255.0)</f>
        <v>255</v>
      </c>
      <c r="G229" s="7" t="str">
        <f>IFERROR(__xludf.DUMMYFUNCTION("""COMPUTED_VALUE"""),"Arun")</f>
        <v>Arun</v>
      </c>
      <c r="H229" s="7"/>
      <c r="I229" s="7"/>
      <c r="J229" s="7"/>
      <c r="K229" s="7"/>
      <c r="L229" s="7"/>
      <c r="M229" s="7"/>
    </row>
    <row r="230">
      <c r="A230" s="11">
        <f>IFERROR(__xludf.DUMMYFUNCTION("""COMPUTED_VALUE"""),45132.88221224538)</f>
        <v>45132.88221</v>
      </c>
      <c r="B230" s="7"/>
      <c r="C230" s="7" t="str">
        <f>IFERROR(__xludf.DUMMYFUNCTION("""COMPUTED_VALUE"""),"Ministry of Sound 2022")</f>
        <v>Ministry of Sound 2022</v>
      </c>
      <c r="D230" s="14">
        <f>IFERROR(__xludf.DUMMYFUNCTION("""COMPUTED_VALUE"""),44805.0)</f>
        <v>44805</v>
      </c>
      <c r="E230" s="7" t="str">
        <f>IFERROR(__xludf.DUMMYFUNCTION("""COMPUTED_VALUE"""),"Medium (Medium Sized Club, Corsica, Fabric etc)")</f>
        <v>Medium (Medium Sized Club, Corsica, Fabric etc)</v>
      </c>
      <c r="F230" s="7">
        <f>IFERROR(__xludf.DUMMYFUNCTION("""COMPUTED_VALUE"""),215.0)</f>
        <v>215</v>
      </c>
      <c r="G230" s="7" t="str">
        <f>IFERROR(__xludf.DUMMYFUNCTION("""COMPUTED_VALUE"""),"Arun")</f>
        <v>Arun</v>
      </c>
      <c r="H230" s="7"/>
      <c r="I230" s="7"/>
      <c r="J230" s="7"/>
      <c r="K230" s="7"/>
      <c r="L230" s="7"/>
      <c r="M230" s="7"/>
    </row>
    <row r="231">
      <c r="A231" s="11">
        <f>IFERROR(__xludf.DUMMYFUNCTION("""COMPUTED_VALUE"""),45132.88330168981)</f>
        <v>45132.8833</v>
      </c>
      <c r="B231" s="7"/>
      <c r="C231" s="7" t="str">
        <f>IFERROR(__xludf.DUMMYFUNCTION("""COMPUTED_VALUE"""),"Ministry of Sound 2022")</f>
        <v>Ministry of Sound 2022</v>
      </c>
      <c r="D231" s="14">
        <f>IFERROR(__xludf.DUMMYFUNCTION("""COMPUTED_VALUE"""),44805.0)</f>
        <v>44805</v>
      </c>
      <c r="E231" s="7" t="str">
        <f>IFERROR(__xludf.DUMMYFUNCTION("""COMPUTED_VALUE"""),"Medium (Medium Sized Club, Corsica, Fabric etc)")</f>
        <v>Medium (Medium Sized Club, Corsica, Fabric etc)</v>
      </c>
      <c r="F231" s="7">
        <f>IFERROR(__xludf.DUMMYFUNCTION("""COMPUTED_VALUE"""),373.0)</f>
        <v>373</v>
      </c>
      <c r="G231" s="7" t="str">
        <f>IFERROR(__xludf.DUMMYFUNCTION("""COMPUTED_VALUE"""),"Arun")</f>
        <v>Arun</v>
      </c>
      <c r="H231" s="7"/>
      <c r="I231" s="7"/>
      <c r="J231" s="7"/>
      <c r="K231" s="7"/>
      <c r="L231" s="7"/>
      <c r="M231" s="7"/>
    </row>
    <row r="232">
      <c r="A232" s="11">
        <f>IFERROR(__xludf.DUMMYFUNCTION("""COMPUTED_VALUE"""),45132.884429710655)</f>
        <v>45132.88443</v>
      </c>
      <c r="B232" s="7"/>
      <c r="C232" s="7" t="str">
        <f>IFERROR(__xludf.DUMMYFUNCTION("""COMPUTED_VALUE"""),"HKW Berlin 2023")</f>
        <v>HKW Berlin 2023</v>
      </c>
      <c r="D232" s="14">
        <f>IFERROR(__xludf.DUMMYFUNCTION("""COMPUTED_VALUE"""),45122.0)</f>
        <v>45122</v>
      </c>
      <c r="E232" s="7" t="str">
        <f>IFERROR(__xludf.DUMMYFUNCTION("""COMPUTED_VALUE"""),"Medium (Medium Sized Club, Corsica, Fabric etc)")</f>
        <v>Medium (Medium Sized Club, Corsica, Fabric etc)</v>
      </c>
      <c r="F232" s="7">
        <f>IFERROR(__xludf.DUMMYFUNCTION("""COMPUTED_VALUE"""),264.0)</f>
        <v>264</v>
      </c>
      <c r="G232" s="7" t="str">
        <f>IFERROR(__xludf.DUMMYFUNCTION("""COMPUTED_VALUE"""),"Arun")</f>
        <v>Arun</v>
      </c>
      <c r="H232" s="7"/>
      <c r="I232" s="7"/>
      <c r="J232" s="7"/>
      <c r="K232" s="7"/>
      <c r="L232" s="7"/>
      <c r="M232" s="7"/>
    </row>
    <row r="233">
      <c r="A233" s="11">
        <f>IFERROR(__xludf.DUMMYFUNCTION("""COMPUTED_VALUE"""),45132.88513908564)</f>
        <v>45132.88514</v>
      </c>
      <c r="B233" s="7"/>
      <c r="C233" s="7" t="str">
        <f>IFERROR(__xludf.DUMMYFUNCTION("""COMPUTED_VALUE"""),"HKW Berlin 2023")</f>
        <v>HKW Berlin 2023</v>
      </c>
      <c r="D233" s="14">
        <f>IFERROR(__xludf.DUMMYFUNCTION("""COMPUTED_VALUE"""),45122.0)</f>
        <v>45122</v>
      </c>
      <c r="E233" s="7" t="str">
        <f>IFERROR(__xludf.DUMMYFUNCTION("""COMPUTED_VALUE"""),"Medium (Medium Sized Club, Corsica, Fabric etc)")</f>
        <v>Medium (Medium Sized Club, Corsica, Fabric etc)</v>
      </c>
      <c r="F233" s="7">
        <f>IFERROR(__xludf.DUMMYFUNCTION("""COMPUTED_VALUE"""),316.0)</f>
        <v>316</v>
      </c>
      <c r="G233" s="7" t="str">
        <f>IFERROR(__xludf.DUMMYFUNCTION("""COMPUTED_VALUE"""),"Arun")</f>
        <v>Arun</v>
      </c>
      <c r="H233" s="7"/>
      <c r="I233" s="7"/>
      <c r="J233" s="7"/>
      <c r="K233" s="7"/>
      <c r="L233" s="7"/>
      <c r="M233" s="7"/>
    </row>
    <row r="234">
      <c r="A234" s="11">
        <f>IFERROR(__xludf.DUMMYFUNCTION("""COMPUTED_VALUE"""),45133.430407719905)</f>
        <v>45133.43041</v>
      </c>
      <c r="B234" s="7"/>
      <c r="C234" s="7" t="str">
        <f>IFERROR(__xludf.DUMMYFUNCTION("""COMPUTED_VALUE"""),"Panjabi MC x Apache Indian: Fox and Firkin 2023")</f>
        <v>Panjabi MC x Apache Indian: Fox and Firkin 2023</v>
      </c>
      <c r="D234" s="14">
        <f>IFERROR(__xludf.DUMMYFUNCTION("""COMPUTED_VALUE"""),45178.0)</f>
        <v>45178</v>
      </c>
      <c r="E234" s="7" t="str">
        <f>IFERROR(__xludf.DUMMYFUNCTION("""COMPUTED_VALUE"""),"Medium (Medium Sized Club, Corsica, Fabric etc)")</f>
        <v>Medium (Medium Sized Club, Corsica, Fabric etc)</v>
      </c>
      <c r="F234" s="7">
        <f>IFERROR(__xludf.DUMMYFUNCTION("""COMPUTED_VALUE"""),208.0)</f>
        <v>208</v>
      </c>
      <c r="G234" s="7" t="str">
        <f>IFERROR(__xludf.DUMMYFUNCTION("""COMPUTED_VALUE"""),"Arun")</f>
        <v>Arun</v>
      </c>
      <c r="H234" s="7"/>
      <c r="I234" s="7"/>
      <c r="J234" s="7"/>
      <c r="K234" s="7"/>
      <c r="L234" s="7"/>
      <c r="M234" s="7"/>
    </row>
    <row r="235">
      <c r="A235" s="11">
        <f>IFERROR(__xludf.DUMMYFUNCTION("""COMPUTED_VALUE"""),45133.430816817134)</f>
        <v>45133.43082</v>
      </c>
      <c r="B235" s="7"/>
      <c r="C235" s="7" t="str">
        <f>IFERROR(__xludf.DUMMYFUNCTION("""COMPUTED_VALUE"""),"Panjabi MC x Apache Indian: Fox and Firkin 2023")</f>
        <v>Panjabi MC x Apache Indian: Fox and Firkin 2023</v>
      </c>
      <c r="D235" s="14">
        <f>IFERROR(__xludf.DUMMYFUNCTION("""COMPUTED_VALUE"""),45178.0)</f>
        <v>45178</v>
      </c>
      <c r="E235" s="7" t="str">
        <f>IFERROR(__xludf.DUMMYFUNCTION("""COMPUTED_VALUE"""),"Medium (Medium Sized Club, Corsica, Fabric etc)")</f>
        <v>Medium (Medium Sized Club, Corsica, Fabric etc)</v>
      </c>
      <c r="F235" s="7">
        <f>IFERROR(__xludf.DUMMYFUNCTION("""COMPUTED_VALUE"""),220.0)</f>
        <v>220</v>
      </c>
      <c r="G235" s="7" t="str">
        <f>IFERROR(__xludf.DUMMYFUNCTION("""COMPUTED_VALUE"""),"Arun")</f>
        <v>Arun</v>
      </c>
      <c r="H235" s="7"/>
      <c r="I235" s="7"/>
      <c r="J235" s="7"/>
      <c r="K235" s="7"/>
      <c r="L235" s="7"/>
      <c r="M235" s="7"/>
    </row>
    <row r="236">
      <c r="A236" s="11">
        <f>IFERROR(__xludf.DUMMYFUNCTION("""COMPUTED_VALUE"""),45133.43248775463)</f>
        <v>45133.43249</v>
      </c>
      <c r="B236" s="7"/>
      <c r="C236" s="7" t="str">
        <f>IFERROR(__xludf.DUMMYFUNCTION("""COMPUTED_VALUE"""),"Lost Village Festival 2023")</f>
        <v>Lost Village Festival 2023</v>
      </c>
      <c r="D236" s="14">
        <f>IFERROR(__xludf.DUMMYFUNCTION("""COMPUTED_VALUE"""),45164.0)</f>
        <v>45164</v>
      </c>
      <c r="E236" s="7" t="str">
        <f>IFERROR(__xludf.DUMMYFUNCTION("""COMPUTED_VALUE"""),"Large (Open Air Festival, Boiler Room Streaming)")</f>
        <v>Large (Open Air Festival, Boiler Room Streaming)</v>
      </c>
      <c r="F236" s="7">
        <f>IFERROR(__xludf.DUMMYFUNCTION("""COMPUTED_VALUE"""),374.0)</f>
        <v>374</v>
      </c>
      <c r="G236" s="7" t="str">
        <f>IFERROR(__xludf.DUMMYFUNCTION("""COMPUTED_VALUE"""),"Arun")</f>
        <v>Arun</v>
      </c>
      <c r="H236" s="7"/>
      <c r="I236" s="7"/>
      <c r="J236" s="7"/>
      <c r="K236" s="7"/>
      <c r="L236" s="7"/>
      <c r="M236" s="7"/>
    </row>
    <row r="237">
      <c r="A237" s="11">
        <f>IFERROR(__xludf.DUMMYFUNCTION("""COMPUTED_VALUE"""),45133.43310005787)</f>
        <v>45133.4331</v>
      </c>
      <c r="B237" s="7"/>
      <c r="C237" s="7" t="str">
        <f>IFERROR(__xludf.DUMMYFUNCTION("""COMPUTED_VALUE"""),"Lost Village Festival 2023")</f>
        <v>Lost Village Festival 2023</v>
      </c>
      <c r="D237" s="14">
        <f>IFERROR(__xludf.DUMMYFUNCTION("""COMPUTED_VALUE"""),45164.0)</f>
        <v>45164</v>
      </c>
      <c r="E237" s="7" t="str">
        <f>IFERROR(__xludf.DUMMYFUNCTION("""COMPUTED_VALUE"""),"Large (Open Air Festival, Boiler Room Streaming)")</f>
        <v>Large (Open Air Festival, Boiler Room Streaming)</v>
      </c>
      <c r="F237" s="7">
        <f>IFERROR(__xludf.DUMMYFUNCTION("""COMPUTED_VALUE"""),255.0)</f>
        <v>255</v>
      </c>
      <c r="G237" s="7" t="str">
        <f>IFERROR(__xludf.DUMMYFUNCTION("""COMPUTED_VALUE"""),"Arun")</f>
        <v>Arun</v>
      </c>
      <c r="H237" s="7"/>
      <c r="I237" s="7"/>
      <c r="J237" s="7"/>
      <c r="K237" s="7"/>
      <c r="L237" s="7"/>
      <c r="M237" s="7"/>
    </row>
    <row r="238">
      <c r="A238" s="11">
        <f>IFERROR(__xludf.DUMMYFUNCTION("""COMPUTED_VALUE"""),45133.43407122685)</f>
        <v>45133.43407</v>
      </c>
      <c r="B238" s="7"/>
      <c r="C238" s="7" t="str">
        <f>IFERROR(__xludf.DUMMYFUNCTION("""COMPUTED_VALUE"""),"Lost Village Festival 2023")</f>
        <v>Lost Village Festival 2023</v>
      </c>
      <c r="D238" s="14">
        <f>IFERROR(__xludf.DUMMYFUNCTION("""COMPUTED_VALUE"""),45164.0)</f>
        <v>45164</v>
      </c>
      <c r="E238" s="7" t="str">
        <f>IFERROR(__xludf.DUMMYFUNCTION("""COMPUTED_VALUE"""),"Large (Open Air Festival, Boiler Room Streaming)")</f>
        <v>Large (Open Air Festival, Boiler Room Streaming)</v>
      </c>
      <c r="F238" s="7">
        <f>IFERROR(__xludf.DUMMYFUNCTION("""COMPUTED_VALUE"""),375.0)</f>
        <v>375</v>
      </c>
      <c r="G238" s="7" t="str">
        <f>IFERROR(__xludf.DUMMYFUNCTION("""COMPUTED_VALUE"""),"Arun")</f>
        <v>Arun</v>
      </c>
      <c r="H238" s="7"/>
      <c r="I238" s="7"/>
      <c r="J238" s="7"/>
      <c r="K238" s="7"/>
      <c r="L238" s="7"/>
      <c r="M238" s="7"/>
    </row>
    <row r="239">
      <c r="A239" s="11">
        <f>IFERROR(__xludf.DUMMYFUNCTION("""COMPUTED_VALUE"""),45133.43509435186)</f>
        <v>45133.43509</v>
      </c>
      <c r="B239" s="7"/>
      <c r="C239" s="7" t="str">
        <f>IFERROR(__xludf.DUMMYFUNCTION("""COMPUTED_VALUE"""),"Lost Village Festival 2023")</f>
        <v>Lost Village Festival 2023</v>
      </c>
      <c r="D239" s="14">
        <f>IFERROR(__xludf.DUMMYFUNCTION("""COMPUTED_VALUE"""),45164.0)</f>
        <v>45164</v>
      </c>
      <c r="E239" s="7" t="str">
        <f>IFERROR(__xludf.DUMMYFUNCTION("""COMPUTED_VALUE"""),"Large (Open Air Festival, Boiler Room Streaming)")</f>
        <v>Large (Open Air Festival, Boiler Room Streaming)</v>
      </c>
      <c r="F239" s="7">
        <f>IFERROR(__xludf.DUMMYFUNCTION("""COMPUTED_VALUE"""),376.0)</f>
        <v>376</v>
      </c>
      <c r="G239" s="7" t="str">
        <f>IFERROR(__xludf.DUMMYFUNCTION("""COMPUTED_VALUE"""),"Arun")</f>
        <v>Arun</v>
      </c>
      <c r="H239" s="7"/>
      <c r="I239" s="7"/>
      <c r="J239" s="7"/>
      <c r="K239" s="7"/>
      <c r="L239" s="7"/>
      <c r="M239" s="7"/>
    </row>
    <row r="240">
      <c r="A240" s="11">
        <f>IFERROR(__xludf.DUMMYFUNCTION("""COMPUTED_VALUE"""),45133.43578090277)</f>
        <v>45133.43578</v>
      </c>
      <c r="B240" s="7"/>
      <c r="C240" s="7" t="str">
        <f>IFERROR(__xludf.DUMMYFUNCTION("""COMPUTED_VALUE"""),"Lost Village Festival 2023")</f>
        <v>Lost Village Festival 2023</v>
      </c>
      <c r="D240" s="14">
        <f>IFERROR(__xludf.DUMMYFUNCTION("""COMPUTED_VALUE"""),45164.0)</f>
        <v>45164</v>
      </c>
      <c r="E240" s="7" t="str">
        <f>IFERROR(__xludf.DUMMYFUNCTION("""COMPUTED_VALUE"""),"Large (Open Air Festival, Boiler Room Streaming)")</f>
        <v>Large (Open Air Festival, Boiler Room Streaming)</v>
      </c>
      <c r="F240" s="7">
        <f>IFERROR(__xludf.DUMMYFUNCTION("""COMPUTED_VALUE"""),287.0)</f>
        <v>287</v>
      </c>
      <c r="G240" s="7" t="str">
        <f>IFERROR(__xludf.DUMMYFUNCTION("""COMPUTED_VALUE"""),"Arun")</f>
        <v>Arun</v>
      </c>
      <c r="H240" s="7"/>
      <c r="I240" s="7"/>
      <c r="J240" s="7"/>
      <c r="K240" s="7"/>
      <c r="L240" s="7"/>
      <c r="M240" s="7"/>
    </row>
    <row r="241">
      <c r="A241" s="11">
        <f>IFERROR(__xludf.DUMMYFUNCTION("""COMPUTED_VALUE"""),45133.43623670139)</f>
        <v>45133.43624</v>
      </c>
      <c r="B241" s="7"/>
      <c r="C241" s="7" t="str">
        <f>IFERROR(__xludf.DUMMYFUNCTION("""COMPUTED_VALUE"""),"Lost Village Festival 2023")</f>
        <v>Lost Village Festival 2023</v>
      </c>
      <c r="D241" s="14">
        <f>IFERROR(__xludf.DUMMYFUNCTION("""COMPUTED_VALUE"""),45164.0)</f>
        <v>45164</v>
      </c>
      <c r="E241" s="7" t="str">
        <f>IFERROR(__xludf.DUMMYFUNCTION("""COMPUTED_VALUE"""),"Large (Open Air Festival, Boiler Room Streaming)")</f>
        <v>Large (Open Air Festival, Boiler Room Streaming)</v>
      </c>
      <c r="F241" s="7">
        <f>IFERROR(__xludf.DUMMYFUNCTION("""COMPUTED_VALUE"""),223.0)</f>
        <v>223</v>
      </c>
      <c r="G241" s="7" t="str">
        <f>IFERROR(__xludf.DUMMYFUNCTION("""COMPUTED_VALUE"""),"Arun")</f>
        <v>Arun</v>
      </c>
      <c r="H241" s="7"/>
      <c r="I241" s="7"/>
      <c r="J241" s="7"/>
      <c r="K241" s="7"/>
      <c r="L241" s="7"/>
      <c r="M241" s="7"/>
    </row>
    <row r="242">
      <c r="A242" s="11">
        <f>IFERROR(__xludf.DUMMYFUNCTION("""COMPUTED_VALUE"""),45133.450696168984)</f>
        <v>45133.4507</v>
      </c>
      <c r="B242" s="7"/>
      <c r="C242" s="7" t="str">
        <f>IFERROR(__xludf.DUMMYFUNCTION("""COMPUTED_VALUE"""),"Queens Yard Summer Party 2022")</f>
        <v>Queens Yard Summer Party 2022</v>
      </c>
      <c r="D242" s="14">
        <f>IFERROR(__xludf.DUMMYFUNCTION("""COMPUTED_VALUE"""),44682.0)</f>
        <v>44682</v>
      </c>
      <c r="E242" s="7" t="str">
        <f>IFERROR(__xludf.DUMMYFUNCTION("""COMPUTED_VALUE"""),"Medium (Medium Sized Club, Corsica, Fabric etc)")</f>
        <v>Medium (Medium Sized Club, Corsica, Fabric etc)</v>
      </c>
      <c r="F242" s="7">
        <f>IFERROR(__xludf.DUMMYFUNCTION("""COMPUTED_VALUE"""),255.0)</f>
        <v>255</v>
      </c>
      <c r="G242" s="7" t="str">
        <f>IFERROR(__xludf.DUMMYFUNCTION("""COMPUTED_VALUE"""),"Arun")</f>
        <v>Arun</v>
      </c>
      <c r="H242" s="7"/>
      <c r="I242" s="7"/>
      <c r="J242" s="7"/>
      <c r="K242" s="7"/>
      <c r="L242" s="7"/>
      <c r="M242" s="7"/>
    </row>
    <row r="243">
      <c r="A243" s="11">
        <f>IFERROR(__xludf.DUMMYFUNCTION("""COMPUTED_VALUE"""),45133.45104494213)</f>
        <v>45133.45104</v>
      </c>
      <c r="B243" s="7"/>
      <c r="C243" s="7" t="str">
        <f>IFERROR(__xludf.DUMMYFUNCTION("""COMPUTED_VALUE"""),"Queens Yard Summer Party 2022")</f>
        <v>Queens Yard Summer Party 2022</v>
      </c>
      <c r="D243" s="14">
        <f>IFERROR(__xludf.DUMMYFUNCTION("""COMPUTED_VALUE"""),44682.0)</f>
        <v>44682</v>
      </c>
      <c r="E243" s="7" t="str">
        <f>IFERROR(__xludf.DUMMYFUNCTION("""COMPUTED_VALUE"""),"Medium (Medium Sized Club, Corsica, Fabric etc)")</f>
        <v>Medium (Medium Sized Club, Corsica, Fabric etc)</v>
      </c>
      <c r="F243" s="7">
        <f>IFERROR(__xludf.DUMMYFUNCTION("""COMPUTED_VALUE"""),258.0)</f>
        <v>258</v>
      </c>
      <c r="G243" s="7" t="str">
        <f>IFERROR(__xludf.DUMMYFUNCTION("""COMPUTED_VALUE"""),"Arun")</f>
        <v>Arun</v>
      </c>
      <c r="H243" s="7"/>
      <c r="I243" s="7"/>
      <c r="J243" s="7"/>
      <c r="K243" s="7"/>
      <c r="L243" s="7"/>
      <c r="M243" s="7"/>
    </row>
    <row r="244">
      <c r="A244" s="11">
        <f>IFERROR(__xludf.DUMMYFUNCTION("""COMPUTED_VALUE"""),45133.45286626158)</f>
        <v>45133.45287</v>
      </c>
      <c r="B244" s="7"/>
      <c r="C244" s="7" t="str">
        <f>IFERROR(__xludf.DUMMYFUNCTION("""COMPUTED_VALUE"""),"Late Night Shopper Stream 2021")</f>
        <v>Late Night Shopper Stream 2021</v>
      </c>
      <c r="D244" s="14">
        <f>IFERROR(__xludf.DUMMYFUNCTION("""COMPUTED_VALUE"""),44317.0)</f>
        <v>44317</v>
      </c>
      <c r="E244" s="7" t="str">
        <f>IFERROR(__xludf.DUMMYFUNCTION("""COMPUTED_VALUE"""),"Medium (Medium Sized Club, Corsica, Fabric etc)")</f>
        <v>Medium (Medium Sized Club, Corsica, Fabric etc)</v>
      </c>
      <c r="F244" s="7">
        <f>IFERROR(__xludf.DUMMYFUNCTION("""COMPUTED_VALUE"""),377.0)</f>
        <v>377</v>
      </c>
      <c r="G244" s="7" t="str">
        <f>IFERROR(__xludf.DUMMYFUNCTION("""COMPUTED_VALUE"""),"Arun")</f>
        <v>Arun</v>
      </c>
      <c r="H244" s="7"/>
      <c r="I244" s="7"/>
      <c r="J244" s="7"/>
      <c r="K244" s="7"/>
      <c r="L244" s="7"/>
      <c r="M244" s="7"/>
    </row>
    <row r="245">
      <c r="A245" s="11">
        <f>IFERROR(__xludf.DUMMYFUNCTION("""COMPUTED_VALUE"""),45133.45348354167)</f>
        <v>45133.45348</v>
      </c>
      <c r="B245" s="7"/>
      <c r="C245" s="7" t="str">
        <f>IFERROR(__xludf.DUMMYFUNCTION("""COMPUTED_VALUE"""),"Late Night Shopper Stream 2021")</f>
        <v>Late Night Shopper Stream 2021</v>
      </c>
      <c r="D245" s="14">
        <f>IFERROR(__xludf.DUMMYFUNCTION("""COMPUTED_VALUE"""),44317.0)</f>
        <v>44317</v>
      </c>
      <c r="E245" s="7" t="str">
        <f>IFERROR(__xludf.DUMMYFUNCTION("""COMPUTED_VALUE"""),"Medium (Medium Sized Club, Corsica, Fabric etc)")</f>
        <v>Medium (Medium Sized Club, Corsica, Fabric etc)</v>
      </c>
      <c r="F245" s="7">
        <f>IFERROR(__xludf.DUMMYFUNCTION("""COMPUTED_VALUE"""),329.0)</f>
        <v>329</v>
      </c>
      <c r="G245" s="7" t="str">
        <f>IFERROR(__xludf.DUMMYFUNCTION("""COMPUTED_VALUE"""),"Arun")</f>
        <v>Arun</v>
      </c>
      <c r="H245" s="7"/>
      <c r="I245" s="7"/>
      <c r="J245" s="7"/>
      <c r="K245" s="7"/>
      <c r="L245" s="7"/>
      <c r="M245" s="7"/>
    </row>
    <row r="246">
      <c r="A246" s="11">
        <f>IFERROR(__xludf.DUMMYFUNCTION("""COMPUTED_VALUE"""),45133.45382270833)</f>
        <v>45133.45382</v>
      </c>
      <c r="B246" s="7"/>
      <c r="C246" s="7" t="str">
        <f>IFERROR(__xludf.DUMMYFUNCTION("""COMPUTED_VALUE"""),"Late Night Shopper Stream 2021")</f>
        <v>Late Night Shopper Stream 2021</v>
      </c>
      <c r="D246" s="14">
        <f>IFERROR(__xludf.DUMMYFUNCTION("""COMPUTED_VALUE"""),44317.0)</f>
        <v>44317</v>
      </c>
      <c r="E246" s="7" t="str">
        <f>IFERROR(__xludf.DUMMYFUNCTION("""COMPUTED_VALUE"""),"Medium (Medium Sized Club, Corsica, Fabric etc)")</f>
        <v>Medium (Medium Sized Club, Corsica, Fabric etc)</v>
      </c>
      <c r="F246" s="7">
        <f>IFERROR(__xludf.DUMMYFUNCTION("""COMPUTED_VALUE"""),206.0)</f>
        <v>206</v>
      </c>
      <c r="G246" s="7" t="str">
        <f>IFERROR(__xludf.DUMMYFUNCTION("""COMPUTED_VALUE"""),"Arun")</f>
        <v>Arun</v>
      </c>
      <c r="H246" s="7"/>
      <c r="I246" s="7"/>
      <c r="J246" s="7"/>
      <c r="K246" s="7"/>
      <c r="L246" s="7"/>
      <c r="M246" s="7"/>
    </row>
    <row r="247">
      <c r="A247" s="11">
        <f>IFERROR(__xludf.DUMMYFUNCTION("""COMPUTED_VALUE"""),45133.45419131945)</f>
        <v>45133.45419</v>
      </c>
      <c r="B247" s="7"/>
      <c r="C247" s="7" t="str">
        <f>IFERROR(__xludf.DUMMYFUNCTION("""COMPUTED_VALUE"""),"Late Night Shopper Stream 2021")</f>
        <v>Late Night Shopper Stream 2021</v>
      </c>
      <c r="D247" s="14">
        <f>IFERROR(__xludf.DUMMYFUNCTION("""COMPUTED_VALUE"""),44317.0)</f>
        <v>44317</v>
      </c>
      <c r="E247" s="7" t="str">
        <f>IFERROR(__xludf.DUMMYFUNCTION("""COMPUTED_VALUE"""),"Medium (Medium Sized Club, Corsica, Fabric etc)")</f>
        <v>Medium (Medium Sized Club, Corsica, Fabric etc)</v>
      </c>
      <c r="F247" s="7">
        <f>IFERROR(__xludf.DUMMYFUNCTION("""COMPUTED_VALUE"""),254.0)</f>
        <v>254</v>
      </c>
      <c r="G247" s="7" t="str">
        <f>IFERROR(__xludf.DUMMYFUNCTION("""COMPUTED_VALUE"""),"Arun")</f>
        <v>Arun</v>
      </c>
      <c r="H247" s="7"/>
      <c r="I247" s="7"/>
      <c r="J247" s="7"/>
      <c r="K247" s="7"/>
      <c r="L247" s="7"/>
      <c r="M247" s="7"/>
    </row>
    <row r="248">
      <c r="A248" s="11">
        <f>IFERROR(__xludf.DUMMYFUNCTION("""COMPUTED_VALUE"""),45133.454642743054)</f>
        <v>45133.45464</v>
      </c>
      <c r="B248" s="7"/>
      <c r="C248" s="7" t="str">
        <f>IFERROR(__xludf.DUMMYFUNCTION("""COMPUTED_VALUE"""),"Late Night Shopper Stream 2021")</f>
        <v>Late Night Shopper Stream 2021</v>
      </c>
      <c r="D248" s="14">
        <f>IFERROR(__xludf.DUMMYFUNCTION("""COMPUTED_VALUE"""),44317.0)</f>
        <v>44317</v>
      </c>
      <c r="E248" s="7" t="str">
        <f>IFERROR(__xludf.DUMMYFUNCTION("""COMPUTED_VALUE"""),"Medium (Medium Sized Club, Corsica, Fabric etc)")</f>
        <v>Medium (Medium Sized Club, Corsica, Fabric etc)</v>
      </c>
      <c r="F248" s="7">
        <f>IFERROR(__xludf.DUMMYFUNCTION("""COMPUTED_VALUE"""),268.0)</f>
        <v>268</v>
      </c>
      <c r="G248" s="7" t="str">
        <f>IFERROR(__xludf.DUMMYFUNCTION("""COMPUTED_VALUE"""),"Arun")</f>
        <v>Arun</v>
      </c>
      <c r="H248" s="7"/>
      <c r="I248" s="7"/>
      <c r="J248" s="7"/>
      <c r="K248" s="7"/>
      <c r="L248" s="7"/>
      <c r="M248" s="7"/>
    </row>
    <row r="249">
      <c r="A249" s="11">
        <f>IFERROR(__xludf.DUMMYFUNCTION("""COMPUTED_VALUE"""),45133.455045277784)</f>
        <v>45133.45505</v>
      </c>
      <c r="B249" s="7"/>
      <c r="C249" s="7" t="str">
        <f>IFERROR(__xludf.DUMMYFUNCTION("""COMPUTED_VALUE"""),"Late Night Shopper Stream 2021")</f>
        <v>Late Night Shopper Stream 2021</v>
      </c>
      <c r="D249" s="14">
        <f>IFERROR(__xludf.DUMMYFUNCTION("""COMPUTED_VALUE"""),44317.0)</f>
        <v>44317</v>
      </c>
      <c r="E249" s="7" t="str">
        <f>IFERROR(__xludf.DUMMYFUNCTION("""COMPUTED_VALUE"""),"Medium (Medium Sized Club, Corsica, Fabric etc)")</f>
        <v>Medium (Medium Sized Club, Corsica, Fabric etc)</v>
      </c>
      <c r="F249" s="7">
        <f>IFERROR(__xludf.DUMMYFUNCTION("""COMPUTED_VALUE"""),223.0)</f>
        <v>223</v>
      </c>
      <c r="G249" s="7" t="str">
        <f>IFERROR(__xludf.DUMMYFUNCTION("""COMPUTED_VALUE"""),"Arun")</f>
        <v>Arun</v>
      </c>
      <c r="H249" s="7"/>
      <c r="I249" s="7"/>
      <c r="J249" s="7"/>
      <c r="K249" s="7"/>
      <c r="L249" s="7"/>
      <c r="M249" s="7"/>
    </row>
    <row r="250">
      <c r="A250" s="11">
        <f>IFERROR(__xludf.DUMMYFUNCTION("""COMPUTED_VALUE"""),45133.45537546297)</f>
        <v>45133.45538</v>
      </c>
      <c r="B250" s="7"/>
      <c r="C250" s="7" t="str">
        <f>IFERROR(__xludf.DUMMYFUNCTION("""COMPUTED_VALUE"""),"Late Night Shopper Stream 2021")</f>
        <v>Late Night Shopper Stream 2021</v>
      </c>
      <c r="D250" s="14">
        <f>IFERROR(__xludf.DUMMYFUNCTION("""COMPUTED_VALUE"""),44317.0)</f>
        <v>44317</v>
      </c>
      <c r="E250" s="7" t="str">
        <f>IFERROR(__xludf.DUMMYFUNCTION("""COMPUTED_VALUE"""),"Medium (Medium Sized Club, Corsica, Fabric etc)")</f>
        <v>Medium (Medium Sized Club, Corsica, Fabric etc)</v>
      </c>
      <c r="F250" s="7">
        <f>IFERROR(__xludf.DUMMYFUNCTION("""COMPUTED_VALUE"""),212.0)</f>
        <v>212</v>
      </c>
      <c r="G250" s="7" t="str">
        <f>IFERROR(__xludf.DUMMYFUNCTION("""COMPUTED_VALUE"""),"Arun")</f>
        <v>Arun</v>
      </c>
      <c r="H250" s="7"/>
      <c r="I250" s="7"/>
      <c r="J250" s="7"/>
      <c r="K250" s="7"/>
      <c r="L250" s="7"/>
      <c r="M250" s="7"/>
    </row>
    <row r="251">
      <c r="A251" s="11">
        <f>IFERROR(__xludf.DUMMYFUNCTION("""COMPUTED_VALUE"""),45133.45580063658)</f>
        <v>45133.4558</v>
      </c>
      <c r="B251" s="7"/>
      <c r="C251" s="7" t="str">
        <f>IFERROR(__xludf.DUMMYFUNCTION("""COMPUTED_VALUE"""),"Late Night Shopper Stream 2021")</f>
        <v>Late Night Shopper Stream 2021</v>
      </c>
      <c r="D251" s="14">
        <f>IFERROR(__xludf.DUMMYFUNCTION("""COMPUTED_VALUE"""),44317.0)</f>
        <v>44317</v>
      </c>
      <c r="E251" s="7" t="str">
        <f>IFERROR(__xludf.DUMMYFUNCTION("""COMPUTED_VALUE"""),"Medium (Medium Sized Club, Corsica, Fabric etc)")</f>
        <v>Medium (Medium Sized Club, Corsica, Fabric etc)</v>
      </c>
      <c r="F251" s="7">
        <f>IFERROR(__xludf.DUMMYFUNCTION("""COMPUTED_VALUE"""),244.0)</f>
        <v>244</v>
      </c>
      <c r="G251" s="7" t="str">
        <f>IFERROR(__xludf.DUMMYFUNCTION("""COMPUTED_VALUE"""),"Arun")</f>
        <v>Arun</v>
      </c>
      <c r="H251" s="7"/>
      <c r="I251" s="7"/>
      <c r="J251" s="7"/>
      <c r="K251" s="7"/>
      <c r="L251" s="7"/>
      <c r="M251" s="7"/>
    </row>
    <row r="252">
      <c r="A252" s="11">
        <f>IFERROR(__xludf.DUMMYFUNCTION("""COMPUTED_VALUE"""),45133.46112450231)</f>
        <v>45133.46112</v>
      </c>
      <c r="B252" s="7"/>
      <c r="C252" s="7" t="str">
        <f>IFERROR(__xludf.DUMMYFUNCTION("""COMPUTED_VALUE"""),"COVID Relief for India Fundraiser Colour Factory 2021")</f>
        <v>COVID Relief for India Fundraiser Colour Factory 2021</v>
      </c>
      <c r="D252" s="14">
        <f>IFERROR(__xludf.DUMMYFUNCTION("""COMPUTED_VALUE"""),44339.0)</f>
        <v>44339</v>
      </c>
      <c r="E252" s="7" t="str">
        <f>IFERROR(__xludf.DUMMYFUNCTION("""COMPUTED_VALUE"""),"Small (Bar, Exhibitions, Charity Events, Restaurants)")</f>
        <v>Small (Bar, Exhibitions, Charity Events, Restaurants)</v>
      </c>
      <c r="F252" s="7">
        <f>IFERROR(__xludf.DUMMYFUNCTION("""COMPUTED_VALUE"""),377.0)</f>
        <v>377</v>
      </c>
      <c r="G252" s="7" t="str">
        <f>IFERROR(__xludf.DUMMYFUNCTION("""COMPUTED_VALUE"""),"Arun")</f>
        <v>Arun</v>
      </c>
      <c r="H252" s="7"/>
      <c r="I252" s="7"/>
      <c r="J252" s="7"/>
      <c r="K252" s="7"/>
      <c r="L252" s="7"/>
      <c r="M252" s="7"/>
    </row>
    <row r="253">
      <c r="A253" s="11">
        <f>IFERROR(__xludf.DUMMYFUNCTION("""COMPUTED_VALUE"""),45133.461491030095)</f>
        <v>45133.46149</v>
      </c>
      <c r="B253" s="7"/>
      <c r="C253" s="7" t="str">
        <f>IFERROR(__xludf.DUMMYFUNCTION("""COMPUTED_VALUE"""),"COVID Relief for India Fundraiser Colour Factory 2021")</f>
        <v>COVID Relief for India Fundraiser Colour Factory 2021</v>
      </c>
      <c r="D253" s="14">
        <f>IFERROR(__xludf.DUMMYFUNCTION("""COMPUTED_VALUE"""),44339.0)</f>
        <v>44339</v>
      </c>
      <c r="E253" s="7" t="str">
        <f>IFERROR(__xludf.DUMMYFUNCTION("""COMPUTED_VALUE"""),"Small (Bar, Exhibitions, Charity Events, Restaurants)")</f>
        <v>Small (Bar, Exhibitions, Charity Events, Restaurants)</v>
      </c>
      <c r="F253" s="7">
        <f>IFERROR(__xludf.DUMMYFUNCTION("""COMPUTED_VALUE"""),268.0)</f>
        <v>268</v>
      </c>
      <c r="G253" s="7" t="str">
        <f>IFERROR(__xludf.DUMMYFUNCTION("""COMPUTED_VALUE"""),"Arun")</f>
        <v>Arun</v>
      </c>
      <c r="H253" s="7"/>
      <c r="I253" s="7"/>
      <c r="J253" s="7"/>
      <c r="K253" s="7"/>
      <c r="L253" s="7"/>
      <c r="M253" s="7"/>
    </row>
    <row r="254">
      <c r="A254" s="11">
        <f>IFERROR(__xludf.DUMMYFUNCTION("""COMPUTED_VALUE"""),45133.46186079861)</f>
        <v>45133.46186</v>
      </c>
      <c r="B254" s="7"/>
      <c r="C254" s="7" t="str">
        <f>IFERROR(__xludf.DUMMYFUNCTION("""COMPUTED_VALUE"""),"COVID Relief for India Fundraiser Colour Factory 2021")</f>
        <v>COVID Relief for India Fundraiser Colour Factory 2021</v>
      </c>
      <c r="D254" s="14">
        <f>IFERROR(__xludf.DUMMYFUNCTION("""COMPUTED_VALUE"""),44339.0)</f>
        <v>44339</v>
      </c>
      <c r="E254" s="7" t="str">
        <f>IFERROR(__xludf.DUMMYFUNCTION("""COMPUTED_VALUE"""),"Small (Bar, Exhibitions, Charity Events, Restaurants)")</f>
        <v>Small (Bar, Exhibitions, Charity Events, Restaurants)</v>
      </c>
      <c r="F254" s="7">
        <f>IFERROR(__xludf.DUMMYFUNCTION("""COMPUTED_VALUE"""),258.0)</f>
        <v>258</v>
      </c>
      <c r="G254" s="7" t="str">
        <f>IFERROR(__xludf.DUMMYFUNCTION("""COMPUTED_VALUE"""),"Arun")</f>
        <v>Arun</v>
      </c>
      <c r="H254" s="7"/>
      <c r="I254" s="7"/>
      <c r="J254" s="7"/>
      <c r="K254" s="7"/>
      <c r="L254" s="7"/>
      <c r="M254" s="7"/>
    </row>
    <row r="255">
      <c r="A255" s="11">
        <f>IFERROR(__xludf.DUMMYFUNCTION("""COMPUTED_VALUE"""),45133.46214114583)</f>
        <v>45133.46214</v>
      </c>
      <c r="B255" s="7"/>
      <c r="C255" s="7" t="str">
        <f>IFERROR(__xludf.DUMMYFUNCTION("""COMPUTED_VALUE"""),"COVID Relief for India Fundraiser Colour Factory 2021")</f>
        <v>COVID Relief for India Fundraiser Colour Factory 2021</v>
      </c>
      <c r="D255" s="14">
        <f>IFERROR(__xludf.DUMMYFUNCTION("""COMPUTED_VALUE"""),44339.0)</f>
        <v>44339</v>
      </c>
      <c r="E255" s="7" t="str">
        <f>IFERROR(__xludf.DUMMYFUNCTION("""COMPUTED_VALUE"""),"Small (Bar, Exhibitions, Charity Events, Restaurants)")</f>
        <v>Small (Bar, Exhibitions, Charity Events, Restaurants)</v>
      </c>
      <c r="F255" s="7">
        <f>IFERROR(__xludf.DUMMYFUNCTION("""COMPUTED_VALUE"""),344.0)</f>
        <v>344</v>
      </c>
      <c r="G255" s="7" t="str">
        <f>IFERROR(__xludf.DUMMYFUNCTION("""COMPUTED_VALUE"""),"Arun")</f>
        <v>Arun</v>
      </c>
      <c r="H255" s="7"/>
      <c r="I255" s="7"/>
      <c r="J255" s="7"/>
      <c r="K255" s="7"/>
      <c r="L255" s="7"/>
      <c r="M255" s="7"/>
    </row>
    <row r="256">
      <c r="A256" s="11">
        <f>IFERROR(__xludf.DUMMYFUNCTION("""COMPUTED_VALUE"""),45133.46294018518)</f>
        <v>45133.46294</v>
      </c>
      <c r="B256" s="7"/>
      <c r="C256" s="7" t="str">
        <f>IFERROR(__xludf.DUMMYFUNCTION("""COMPUTED_VALUE"""),"COVID Relief for India Fundraiser Colour Factory 2021")</f>
        <v>COVID Relief for India Fundraiser Colour Factory 2021</v>
      </c>
      <c r="D256" s="14">
        <f>IFERROR(__xludf.DUMMYFUNCTION("""COMPUTED_VALUE"""),44339.0)</f>
        <v>44339</v>
      </c>
      <c r="E256" s="7" t="str">
        <f>IFERROR(__xludf.DUMMYFUNCTION("""COMPUTED_VALUE"""),"Small (Bar, Exhibitions, Charity Events, Restaurants)")</f>
        <v>Small (Bar, Exhibitions, Charity Events, Restaurants)</v>
      </c>
      <c r="F256" s="7">
        <f>IFERROR(__xludf.DUMMYFUNCTION("""COMPUTED_VALUE"""),378.0)</f>
        <v>378</v>
      </c>
      <c r="G256" s="7" t="str">
        <f>IFERROR(__xludf.DUMMYFUNCTION("""COMPUTED_VALUE"""),"Arun")</f>
        <v>Arun</v>
      </c>
      <c r="H256" s="7"/>
      <c r="I256" s="7"/>
      <c r="J256" s="7"/>
      <c r="K256" s="7"/>
      <c r="L256" s="7"/>
      <c r="M256" s="7"/>
    </row>
    <row r="257">
      <c r="A257" s="11">
        <f>IFERROR(__xludf.DUMMYFUNCTION("""COMPUTED_VALUE"""),45133.46382341435)</f>
        <v>45133.46382</v>
      </c>
      <c r="B257" s="7"/>
      <c r="C257" s="7" t="str">
        <f>IFERROR(__xludf.DUMMYFUNCTION("""COMPUTED_VALUE"""),"COVID Relief for India Fundraiser Colour Factory 2021")</f>
        <v>COVID Relief for India Fundraiser Colour Factory 2021</v>
      </c>
      <c r="D257" s="14">
        <f>IFERROR(__xludf.DUMMYFUNCTION("""COMPUTED_VALUE"""),44339.0)</f>
        <v>44339</v>
      </c>
      <c r="E257" s="7" t="str">
        <f>IFERROR(__xludf.DUMMYFUNCTION("""COMPUTED_VALUE"""),"Small (Bar, Exhibitions, Charity Events, Restaurants)")</f>
        <v>Small (Bar, Exhibitions, Charity Events, Restaurants)</v>
      </c>
      <c r="F257" s="7">
        <f>IFERROR(__xludf.DUMMYFUNCTION("""COMPUTED_VALUE"""),379.0)</f>
        <v>379</v>
      </c>
      <c r="G257" s="7" t="str">
        <f>IFERROR(__xludf.DUMMYFUNCTION("""COMPUTED_VALUE"""),"Arun")</f>
        <v>Arun</v>
      </c>
      <c r="H257" s="7"/>
      <c r="I257" s="7"/>
      <c r="J257" s="7"/>
      <c r="K257" s="7"/>
      <c r="L257" s="7"/>
      <c r="M257" s="7"/>
    </row>
    <row r="258">
      <c r="A258" s="11">
        <f>IFERROR(__xludf.DUMMYFUNCTION("""COMPUTED_VALUE"""),45133.464278796295)</f>
        <v>45133.46428</v>
      </c>
      <c r="B258" s="7"/>
      <c r="C258" s="7" t="str">
        <f>IFERROR(__xludf.DUMMYFUNCTION("""COMPUTED_VALUE"""),"COVID Relief for India Fundraiser Colour Factory 2021")</f>
        <v>COVID Relief for India Fundraiser Colour Factory 2021</v>
      </c>
      <c r="D258" s="14">
        <f>IFERROR(__xludf.DUMMYFUNCTION("""COMPUTED_VALUE"""),44339.0)</f>
        <v>44339</v>
      </c>
      <c r="E258" s="7" t="str">
        <f>IFERROR(__xludf.DUMMYFUNCTION("""COMPUTED_VALUE"""),"Small (Bar, Exhibitions, Charity Events, Restaurants)")</f>
        <v>Small (Bar, Exhibitions, Charity Events, Restaurants)</v>
      </c>
      <c r="F258" s="7">
        <f>IFERROR(__xludf.DUMMYFUNCTION("""COMPUTED_VALUE"""),370.0)</f>
        <v>370</v>
      </c>
      <c r="G258" s="7" t="str">
        <f>IFERROR(__xludf.DUMMYFUNCTION("""COMPUTED_VALUE"""),"Arun")</f>
        <v>Arun</v>
      </c>
      <c r="H258" s="7"/>
      <c r="I258" s="7"/>
      <c r="J258" s="7"/>
      <c r="K258" s="7"/>
      <c r="L258" s="7"/>
      <c r="M258" s="7"/>
    </row>
    <row r="259">
      <c r="A259" s="11">
        <f>IFERROR(__xludf.DUMMYFUNCTION("""COMPUTED_VALUE"""),45133.465229236106)</f>
        <v>45133.46523</v>
      </c>
      <c r="B259" s="7"/>
      <c r="C259" s="7" t="str">
        <f>IFERROR(__xludf.DUMMYFUNCTION("""COMPUTED_VALUE"""),"COVID Relief for India Fundraiser Colour Factory 2021")</f>
        <v>COVID Relief for India Fundraiser Colour Factory 2021</v>
      </c>
      <c r="D259" s="14">
        <f>IFERROR(__xludf.DUMMYFUNCTION("""COMPUTED_VALUE"""),44339.0)</f>
        <v>44339</v>
      </c>
      <c r="E259" s="7" t="str">
        <f>IFERROR(__xludf.DUMMYFUNCTION("""COMPUTED_VALUE"""),"Small (Bar, Exhibitions, Charity Events, Restaurants)")</f>
        <v>Small (Bar, Exhibitions, Charity Events, Restaurants)</v>
      </c>
      <c r="F259" s="7">
        <f>IFERROR(__xludf.DUMMYFUNCTION("""COMPUTED_VALUE"""),380.0)</f>
        <v>380</v>
      </c>
      <c r="G259" s="7" t="str">
        <f>IFERROR(__xludf.DUMMYFUNCTION("""COMPUTED_VALUE"""),"Arun")</f>
        <v>Arun</v>
      </c>
      <c r="H259" s="7"/>
      <c r="I259" s="7"/>
      <c r="J259" s="7"/>
      <c r="K259" s="7"/>
      <c r="L259" s="7"/>
      <c r="M259" s="7"/>
    </row>
    <row r="260">
      <c r="A260" s="11">
        <f>IFERROR(__xludf.DUMMYFUNCTION("""COMPUTED_VALUE"""),45133.467204768516)</f>
        <v>45133.4672</v>
      </c>
      <c r="B260" s="7"/>
      <c r="C260" s="7" t="str">
        <f>IFERROR(__xludf.DUMMYFUNCTION("""COMPUTED_VALUE"""),"Solidarity with our Farmers Stream 2021")</f>
        <v>Solidarity with our Farmers Stream 2021</v>
      </c>
      <c r="D260" s="14">
        <f>IFERROR(__xludf.DUMMYFUNCTION("""COMPUTED_VALUE"""),44286.0)</f>
        <v>44286</v>
      </c>
      <c r="E260" s="7" t="str">
        <f>IFERROR(__xludf.DUMMYFUNCTION("""COMPUTED_VALUE"""),"Large (Open Air Festival, Boiler Room Streaming)")</f>
        <v>Large (Open Air Festival, Boiler Room Streaming)</v>
      </c>
      <c r="F260" s="7">
        <f>IFERROR(__xludf.DUMMYFUNCTION("""COMPUTED_VALUE"""),211.0)</f>
        <v>211</v>
      </c>
      <c r="G260" s="7" t="str">
        <f>IFERROR(__xludf.DUMMYFUNCTION("""COMPUTED_VALUE"""),"Arun")</f>
        <v>Arun</v>
      </c>
      <c r="H260" s="7"/>
      <c r="I260" s="7"/>
      <c r="J260" s="7"/>
      <c r="K260" s="7"/>
      <c r="L260" s="7"/>
      <c r="M260" s="7"/>
    </row>
    <row r="261">
      <c r="A261" s="11">
        <f>IFERROR(__xludf.DUMMYFUNCTION("""COMPUTED_VALUE"""),45133.467455578706)</f>
        <v>45133.46746</v>
      </c>
      <c r="B261" s="7"/>
      <c r="C261" s="7" t="str">
        <f>IFERROR(__xludf.DUMMYFUNCTION("""COMPUTED_VALUE"""),"Solidarity with our Farmers Stream 2021")</f>
        <v>Solidarity with our Farmers Stream 2021</v>
      </c>
      <c r="D261" s="14">
        <f>IFERROR(__xludf.DUMMYFUNCTION("""COMPUTED_VALUE"""),44286.0)</f>
        <v>44286</v>
      </c>
      <c r="E261" s="7" t="str">
        <f>IFERROR(__xludf.DUMMYFUNCTION("""COMPUTED_VALUE"""),"Large (Open Air Festival, Boiler Room Streaming)")</f>
        <v>Large (Open Air Festival, Boiler Room Streaming)</v>
      </c>
      <c r="F261" s="7">
        <f>IFERROR(__xludf.DUMMYFUNCTION("""COMPUTED_VALUE"""),339.0)</f>
        <v>339</v>
      </c>
      <c r="G261" s="7" t="str">
        <f>IFERROR(__xludf.DUMMYFUNCTION("""COMPUTED_VALUE"""),"Arun")</f>
        <v>Arun</v>
      </c>
      <c r="H261" s="7"/>
      <c r="I261" s="7"/>
      <c r="J261" s="7"/>
      <c r="K261" s="7"/>
      <c r="L261" s="7"/>
      <c r="M261" s="7"/>
    </row>
    <row r="262">
      <c r="A262" s="11">
        <f>IFERROR(__xludf.DUMMYFUNCTION("""COMPUTED_VALUE"""),45133.46772129629)</f>
        <v>45133.46772</v>
      </c>
      <c r="B262" s="7"/>
      <c r="C262" s="7" t="str">
        <f>IFERROR(__xludf.DUMMYFUNCTION("""COMPUTED_VALUE"""),"Solidarity with our Farmers Stream 2021")</f>
        <v>Solidarity with our Farmers Stream 2021</v>
      </c>
      <c r="D262" s="14">
        <f>IFERROR(__xludf.DUMMYFUNCTION("""COMPUTED_VALUE"""),44286.0)</f>
        <v>44286</v>
      </c>
      <c r="E262" s="7" t="str">
        <f>IFERROR(__xludf.DUMMYFUNCTION("""COMPUTED_VALUE"""),"Large (Open Air Festival, Boiler Room Streaming)")</f>
        <v>Large (Open Air Festival, Boiler Room Streaming)</v>
      </c>
      <c r="F262" s="7">
        <f>IFERROR(__xludf.DUMMYFUNCTION("""COMPUTED_VALUE"""),268.0)</f>
        <v>268</v>
      </c>
      <c r="G262" s="7" t="str">
        <f>IFERROR(__xludf.DUMMYFUNCTION("""COMPUTED_VALUE"""),"Arun")</f>
        <v>Arun</v>
      </c>
      <c r="H262" s="7"/>
      <c r="I262" s="7"/>
      <c r="J262" s="7"/>
      <c r="K262" s="7"/>
      <c r="L262" s="7"/>
      <c r="M262" s="7"/>
    </row>
    <row r="263">
      <c r="A263" s="11">
        <f>IFERROR(__xludf.DUMMYFUNCTION("""COMPUTED_VALUE"""),45133.46801996528)</f>
        <v>45133.46802</v>
      </c>
      <c r="B263" s="7"/>
      <c r="C263" s="7" t="str">
        <f>IFERROR(__xludf.DUMMYFUNCTION("""COMPUTED_VALUE"""),"Solidarity with our Farmers Stream 2021")</f>
        <v>Solidarity with our Farmers Stream 2021</v>
      </c>
      <c r="D263" s="14">
        <f>IFERROR(__xludf.DUMMYFUNCTION("""COMPUTED_VALUE"""),44286.0)</f>
        <v>44286</v>
      </c>
      <c r="E263" s="7" t="str">
        <f>IFERROR(__xludf.DUMMYFUNCTION("""COMPUTED_VALUE"""),"Large (Open Air Festival, Boiler Room Streaming)")</f>
        <v>Large (Open Air Festival, Boiler Room Streaming)</v>
      </c>
      <c r="F263" s="7">
        <f>IFERROR(__xludf.DUMMYFUNCTION("""COMPUTED_VALUE"""),377.0)</f>
        <v>377</v>
      </c>
      <c r="G263" s="7" t="str">
        <f>IFERROR(__xludf.DUMMYFUNCTION("""COMPUTED_VALUE"""),"Arun")</f>
        <v>Arun</v>
      </c>
      <c r="H263" s="7"/>
      <c r="I263" s="7"/>
      <c r="J263" s="7"/>
      <c r="K263" s="7"/>
      <c r="L263" s="7"/>
      <c r="M263" s="7"/>
    </row>
    <row r="264">
      <c r="A264" s="11">
        <f>IFERROR(__xludf.DUMMYFUNCTION("""COMPUTED_VALUE"""),45133.46828458333)</f>
        <v>45133.46828</v>
      </c>
      <c r="B264" s="7"/>
      <c r="C264" s="7" t="str">
        <f>IFERROR(__xludf.DUMMYFUNCTION("""COMPUTED_VALUE"""),"Solidarity with our Farmers Stream 2021")</f>
        <v>Solidarity with our Farmers Stream 2021</v>
      </c>
      <c r="D264" s="14">
        <f>IFERROR(__xludf.DUMMYFUNCTION("""COMPUTED_VALUE"""),44286.0)</f>
        <v>44286</v>
      </c>
      <c r="E264" s="7" t="str">
        <f>IFERROR(__xludf.DUMMYFUNCTION("""COMPUTED_VALUE"""),"Large (Open Air Festival, Boiler Room Streaming)")</f>
        <v>Large (Open Air Festival, Boiler Room Streaming)</v>
      </c>
      <c r="F264" s="7">
        <f>IFERROR(__xludf.DUMMYFUNCTION("""COMPUTED_VALUE"""),368.0)</f>
        <v>368</v>
      </c>
      <c r="G264" s="7" t="str">
        <f>IFERROR(__xludf.DUMMYFUNCTION("""COMPUTED_VALUE"""),"Arun")</f>
        <v>Arun</v>
      </c>
      <c r="H264" s="7"/>
      <c r="I264" s="7"/>
      <c r="J264" s="7"/>
      <c r="K264" s="7"/>
      <c r="L264" s="7"/>
      <c r="M264" s="7"/>
    </row>
    <row r="265">
      <c r="A265" s="11">
        <f>IFERROR(__xludf.DUMMYFUNCTION("""COMPUTED_VALUE"""),45133.46857953703)</f>
        <v>45133.46858</v>
      </c>
      <c r="B265" s="7"/>
      <c r="C265" s="7" t="str">
        <f>IFERROR(__xludf.DUMMYFUNCTION("""COMPUTED_VALUE"""),"Solidarity with our Farmers Stream 2021")</f>
        <v>Solidarity with our Farmers Stream 2021</v>
      </c>
      <c r="D265" s="14">
        <f>IFERROR(__xludf.DUMMYFUNCTION("""COMPUTED_VALUE"""),44286.0)</f>
        <v>44286</v>
      </c>
      <c r="E265" s="7" t="str">
        <f>IFERROR(__xludf.DUMMYFUNCTION("""COMPUTED_VALUE"""),"Large (Open Air Festival, Boiler Room Streaming)")</f>
        <v>Large (Open Air Festival, Boiler Room Streaming)</v>
      </c>
      <c r="F265" s="7">
        <f>IFERROR(__xludf.DUMMYFUNCTION("""COMPUTED_VALUE"""),270.0)</f>
        <v>270</v>
      </c>
      <c r="G265" s="7" t="str">
        <f>IFERROR(__xludf.DUMMYFUNCTION("""COMPUTED_VALUE"""),"Arun")</f>
        <v>Arun</v>
      </c>
      <c r="H265" s="7"/>
      <c r="I265" s="7"/>
      <c r="J265" s="7"/>
      <c r="K265" s="7"/>
      <c r="L265" s="7"/>
      <c r="M265" s="7"/>
    </row>
    <row r="266">
      <c r="A266" s="11">
        <f>IFERROR(__xludf.DUMMYFUNCTION("""COMPUTED_VALUE"""),45133.469297581025)</f>
        <v>45133.4693</v>
      </c>
      <c r="B266" s="7"/>
      <c r="C266" s="7" t="str">
        <f>IFERROR(__xludf.DUMMYFUNCTION("""COMPUTED_VALUE"""),"Solidarity with our Farmers Stream 2021")</f>
        <v>Solidarity with our Farmers Stream 2021</v>
      </c>
      <c r="D266" s="14">
        <f>IFERROR(__xludf.DUMMYFUNCTION("""COMPUTED_VALUE"""),44286.0)</f>
        <v>44286</v>
      </c>
      <c r="E266" s="7" t="str">
        <f>IFERROR(__xludf.DUMMYFUNCTION("""COMPUTED_VALUE"""),"Large (Open Air Festival, Boiler Room Streaming)")</f>
        <v>Large (Open Air Festival, Boiler Room Streaming)</v>
      </c>
      <c r="F266" s="7">
        <f>IFERROR(__xludf.DUMMYFUNCTION("""COMPUTED_VALUE"""),381.0)</f>
        <v>381</v>
      </c>
      <c r="G266" s="7" t="str">
        <f>IFERROR(__xludf.DUMMYFUNCTION("""COMPUTED_VALUE"""),"Arun")</f>
        <v>Arun</v>
      </c>
      <c r="H266" s="7"/>
      <c r="I266" s="7"/>
      <c r="J266" s="7"/>
      <c r="K266" s="7"/>
      <c r="L266" s="7"/>
      <c r="M266" s="7"/>
    </row>
    <row r="267">
      <c r="A267" s="11">
        <f>IFERROR(__xludf.DUMMYFUNCTION("""COMPUTED_VALUE"""),45133.46994961805)</f>
        <v>45133.46995</v>
      </c>
      <c r="B267" s="7"/>
      <c r="C267" s="7" t="str">
        <f>IFERROR(__xludf.DUMMYFUNCTION("""COMPUTED_VALUE"""),"Solidarity with our Farmers Stream 2021")</f>
        <v>Solidarity with our Farmers Stream 2021</v>
      </c>
      <c r="D267" s="14">
        <f>IFERROR(__xludf.DUMMYFUNCTION("""COMPUTED_VALUE"""),44286.0)</f>
        <v>44286</v>
      </c>
      <c r="E267" s="7" t="str">
        <f>IFERROR(__xludf.DUMMYFUNCTION("""COMPUTED_VALUE"""),"Large (Open Air Festival, Boiler Room Streaming)")</f>
        <v>Large (Open Air Festival, Boiler Room Streaming)</v>
      </c>
      <c r="F267" s="7">
        <f>IFERROR(__xludf.DUMMYFUNCTION("""COMPUTED_VALUE"""),382.0)</f>
        <v>382</v>
      </c>
      <c r="G267" s="7" t="str">
        <f>IFERROR(__xludf.DUMMYFUNCTION("""COMPUTED_VALUE"""),"Arun")</f>
        <v>Arun</v>
      </c>
      <c r="H267" s="7"/>
      <c r="I267" s="7"/>
      <c r="J267" s="7"/>
      <c r="K267" s="7"/>
      <c r="L267" s="7"/>
      <c r="M267" s="7"/>
    </row>
    <row r="268">
      <c r="A268" s="11">
        <f>IFERROR(__xludf.DUMMYFUNCTION("""COMPUTED_VALUE"""),45133.47070582176)</f>
        <v>45133.47071</v>
      </c>
      <c r="B268" s="7"/>
      <c r="C268" s="7" t="str">
        <f>IFERROR(__xludf.DUMMYFUNCTION("""COMPUTED_VALUE"""),"Solidarity with our Farmers Stream 2021")</f>
        <v>Solidarity with our Farmers Stream 2021</v>
      </c>
      <c r="D268" s="14">
        <f>IFERROR(__xludf.DUMMYFUNCTION("""COMPUTED_VALUE"""),44286.0)</f>
        <v>44286</v>
      </c>
      <c r="E268" s="7" t="str">
        <f>IFERROR(__xludf.DUMMYFUNCTION("""COMPUTED_VALUE"""),"Large (Open Air Festival, Boiler Room Streaming)")</f>
        <v>Large (Open Air Festival, Boiler Room Streaming)</v>
      </c>
      <c r="F268" s="7">
        <f>IFERROR(__xludf.DUMMYFUNCTION("""COMPUTED_VALUE"""),383.0)</f>
        <v>383</v>
      </c>
      <c r="G268" s="7" t="str">
        <f>IFERROR(__xludf.DUMMYFUNCTION("""COMPUTED_VALUE"""),"Arun")</f>
        <v>Arun</v>
      </c>
      <c r="H268" s="7"/>
      <c r="I268" s="7"/>
      <c r="J268" s="7"/>
      <c r="K268" s="7"/>
      <c r="L268" s="7"/>
      <c r="M268" s="7"/>
    </row>
    <row r="269">
      <c r="A269" s="11">
        <f>IFERROR(__xludf.DUMMYFUNCTION("""COMPUTED_VALUE"""),45133.47124528935)</f>
        <v>45133.47125</v>
      </c>
      <c r="B269" s="7"/>
      <c r="C269" s="7" t="str">
        <f>IFERROR(__xludf.DUMMYFUNCTION("""COMPUTED_VALUE"""),"Solidarity with our Farmers Stream 2021")</f>
        <v>Solidarity with our Farmers Stream 2021</v>
      </c>
      <c r="D269" s="14">
        <f>IFERROR(__xludf.DUMMYFUNCTION("""COMPUTED_VALUE"""),44286.0)</f>
        <v>44286</v>
      </c>
      <c r="E269" s="7" t="str">
        <f>IFERROR(__xludf.DUMMYFUNCTION("""COMPUTED_VALUE"""),"Large (Open Air Festival, Boiler Room Streaming)")</f>
        <v>Large (Open Air Festival, Boiler Room Streaming)</v>
      </c>
      <c r="F269" s="7">
        <f>IFERROR(__xludf.DUMMYFUNCTION("""COMPUTED_VALUE"""),293.0)</f>
        <v>293</v>
      </c>
      <c r="G269" s="7" t="str">
        <f>IFERROR(__xludf.DUMMYFUNCTION("""COMPUTED_VALUE"""),"Arun")</f>
        <v>Arun</v>
      </c>
      <c r="H269" s="7"/>
      <c r="I269" s="7"/>
      <c r="J269" s="7"/>
      <c r="K269" s="7"/>
      <c r="L269" s="7"/>
      <c r="M269" s="7"/>
    </row>
    <row r="270">
      <c r="A270" s="11">
        <f>IFERROR(__xludf.DUMMYFUNCTION("""COMPUTED_VALUE"""),45133.47147819445)</f>
        <v>45133.47148</v>
      </c>
      <c r="B270" s="7"/>
      <c r="C270" s="7" t="str">
        <f>IFERROR(__xludf.DUMMYFUNCTION("""COMPUTED_VALUE"""),"Solidarity with our Farmers Stream 2021")</f>
        <v>Solidarity with our Farmers Stream 2021</v>
      </c>
      <c r="D270" s="14">
        <f>IFERROR(__xludf.DUMMYFUNCTION("""COMPUTED_VALUE"""),44286.0)</f>
        <v>44286</v>
      </c>
      <c r="E270" s="7" t="str">
        <f>IFERROR(__xludf.DUMMYFUNCTION("""COMPUTED_VALUE"""),"Large (Open Air Festival, Boiler Room Streaming)")</f>
        <v>Large (Open Air Festival, Boiler Room Streaming)</v>
      </c>
      <c r="F270" s="7">
        <f>IFERROR(__xludf.DUMMYFUNCTION("""COMPUTED_VALUE"""),294.0)</f>
        <v>294</v>
      </c>
      <c r="G270" s="7" t="str">
        <f>IFERROR(__xludf.DUMMYFUNCTION("""COMPUTED_VALUE"""),"Arun")</f>
        <v>Arun</v>
      </c>
      <c r="H270" s="7"/>
      <c r="I270" s="7"/>
      <c r="J270" s="7"/>
      <c r="K270" s="7"/>
      <c r="L270" s="7"/>
      <c r="M270" s="7"/>
    </row>
    <row r="271">
      <c r="A271" s="11">
        <f>IFERROR(__xludf.DUMMYFUNCTION("""COMPUTED_VALUE"""),45133.471932858796)</f>
        <v>45133.47193</v>
      </c>
      <c r="B271" s="7"/>
      <c r="C271" s="7" t="str">
        <f>IFERROR(__xludf.DUMMYFUNCTION("""COMPUTED_VALUE"""),"Solidarity with our Farmers Stream 2021")</f>
        <v>Solidarity with our Farmers Stream 2021</v>
      </c>
      <c r="D271" s="14">
        <f>IFERROR(__xludf.DUMMYFUNCTION("""COMPUTED_VALUE"""),44286.0)</f>
        <v>44286</v>
      </c>
      <c r="E271" s="7" t="str">
        <f>IFERROR(__xludf.DUMMYFUNCTION("""COMPUTED_VALUE"""),"Large (Open Air Festival, Boiler Room Streaming)")</f>
        <v>Large (Open Air Festival, Boiler Room Streaming)</v>
      </c>
      <c r="F271" s="7">
        <f>IFERROR(__xludf.DUMMYFUNCTION("""COMPUTED_VALUE"""),223.0)</f>
        <v>223</v>
      </c>
      <c r="G271" s="7" t="str">
        <f>IFERROR(__xludf.DUMMYFUNCTION("""COMPUTED_VALUE"""),"Arun")</f>
        <v>Arun</v>
      </c>
      <c r="H271" s="7"/>
      <c r="I271" s="7"/>
      <c r="J271" s="7"/>
      <c r="K271" s="7"/>
      <c r="L271" s="7"/>
      <c r="M271" s="7"/>
    </row>
    <row r="272">
      <c r="A272" s="11">
        <f>IFERROR(__xludf.DUMMYFUNCTION("""COMPUTED_VALUE"""),45133.47271675926)</f>
        <v>45133.47272</v>
      </c>
      <c r="B272" s="7"/>
      <c r="C272" s="7" t="str">
        <f>IFERROR(__xludf.DUMMYFUNCTION("""COMPUTED_VALUE"""),"Solidarity with our Farmers Stream 2021")</f>
        <v>Solidarity with our Farmers Stream 2021</v>
      </c>
      <c r="D272" s="14">
        <f>IFERROR(__xludf.DUMMYFUNCTION("""COMPUTED_VALUE"""),44286.0)</f>
        <v>44286</v>
      </c>
      <c r="E272" s="7" t="str">
        <f>IFERROR(__xludf.DUMMYFUNCTION("""COMPUTED_VALUE"""),"Large (Open Air Festival, Boiler Room Streaming)")</f>
        <v>Large (Open Air Festival, Boiler Room Streaming)</v>
      </c>
      <c r="F272" s="7">
        <f>IFERROR(__xludf.DUMMYFUNCTION("""COMPUTED_VALUE"""),384.0)</f>
        <v>384</v>
      </c>
      <c r="G272" s="7" t="str">
        <f>IFERROR(__xludf.DUMMYFUNCTION("""COMPUTED_VALUE"""),"Arun")</f>
        <v>Arun</v>
      </c>
      <c r="H272" s="7"/>
      <c r="I272" s="7"/>
      <c r="J272" s="7"/>
      <c r="K272" s="7"/>
      <c r="L272" s="7"/>
      <c r="M272" s="7"/>
    </row>
    <row r="273">
      <c r="A273" s="11">
        <f>IFERROR(__xludf.DUMMYFUNCTION("""COMPUTED_VALUE"""),45133.47315450231)</f>
        <v>45133.47315</v>
      </c>
      <c r="B273" s="7"/>
      <c r="C273" s="7" t="str">
        <f>IFERROR(__xludf.DUMMYFUNCTION("""COMPUTED_VALUE"""),"Solidarity with our Farmers Stream 2021")</f>
        <v>Solidarity with our Farmers Stream 2021</v>
      </c>
      <c r="D273" s="14">
        <f>IFERROR(__xludf.DUMMYFUNCTION("""COMPUTED_VALUE"""),44286.0)</f>
        <v>44286</v>
      </c>
      <c r="E273" s="7" t="str">
        <f>IFERROR(__xludf.DUMMYFUNCTION("""COMPUTED_VALUE"""),"Large (Open Air Festival, Boiler Room Streaming)")</f>
        <v>Large (Open Air Festival, Boiler Room Streaming)</v>
      </c>
      <c r="F273" s="7">
        <f>IFERROR(__xludf.DUMMYFUNCTION("""COMPUTED_VALUE"""),312.0)</f>
        <v>312</v>
      </c>
      <c r="G273" s="7" t="str">
        <f>IFERROR(__xludf.DUMMYFUNCTION("""COMPUTED_VALUE"""),"Arun")</f>
        <v>Arun</v>
      </c>
      <c r="H273" s="7"/>
      <c r="I273" s="7"/>
      <c r="J273" s="7"/>
      <c r="K273" s="7"/>
      <c r="L273" s="7"/>
      <c r="M273" s="7"/>
    </row>
    <row r="274">
      <c r="A274" s="11">
        <f>IFERROR(__xludf.DUMMYFUNCTION("""COMPUTED_VALUE"""),45133.47362385417)</f>
        <v>45133.47362</v>
      </c>
      <c r="B274" s="7"/>
      <c r="C274" s="7" t="str">
        <f>IFERROR(__xludf.DUMMYFUNCTION("""COMPUTED_VALUE"""),"Solidarity with our Farmers Stream 2021")</f>
        <v>Solidarity with our Farmers Stream 2021</v>
      </c>
      <c r="D274" s="14">
        <f>IFERROR(__xludf.DUMMYFUNCTION("""COMPUTED_VALUE"""),44286.0)</f>
        <v>44286</v>
      </c>
      <c r="E274" s="7" t="str">
        <f>IFERROR(__xludf.DUMMYFUNCTION("""COMPUTED_VALUE"""),"Large (Open Air Festival, Boiler Room Streaming)")</f>
        <v>Large (Open Air Festival, Boiler Room Streaming)</v>
      </c>
      <c r="F274" s="7">
        <f>IFERROR(__xludf.DUMMYFUNCTION("""COMPUTED_VALUE"""),313.0)</f>
        <v>313</v>
      </c>
      <c r="G274" s="7" t="str">
        <f>IFERROR(__xludf.DUMMYFUNCTION("""COMPUTED_VALUE"""),"Arun")</f>
        <v>Arun</v>
      </c>
      <c r="H274" s="7"/>
      <c r="I274" s="7"/>
      <c r="J274" s="7"/>
      <c r="K274" s="7"/>
      <c r="L274" s="7"/>
      <c r="M274" s="7"/>
    </row>
    <row r="275">
      <c r="A275" s="11">
        <f>IFERROR(__xludf.DUMMYFUNCTION("""COMPUTED_VALUE"""),45133.47425008102)</f>
        <v>45133.47425</v>
      </c>
      <c r="B275" s="7"/>
      <c r="C275" s="7" t="str">
        <f>IFERROR(__xludf.DUMMYFUNCTION("""COMPUTED_VALUE"""),"Solidarity with our Farmers Stream 2021")</f>
        <v>Solidarity with our Farmers Stream 2021</v>
      </c>
      <c r="D275" s="14">
        <f>IFERROR(__xludf.DUMMYFUNCTION("""COMPUTED_VALUE"""),44286.0)</f>
        <v>44286</v>
      </c>
      <c r="E275" s="7" t="str">
        <f>IFERROR(__xludf.DUMMYFUNCTION("""COMPUTED_VALUE"""),"Large (Open Air Festival, Boiler Room Streaming)")</f>
        <v>Large (Open Air Festival, Boiler Room Streaming)</v>
      </c>
      <c r="F275" s="7">
        <f>IFERROR(__xludf.DUMMYFUNCTION("""COMPUTED_VALUE"""),385.0)</f>
        <v>385</v>
      </c>
      <c r="G275" s="7" t="str">
        <f>IFERROR(__xludf.DUMMYFUNCTION("""COMPUTED_VALUE"""),"Arun")</f>
        <v>Arun</v>
      </c>
      <c r="H275" s="7"/>
      <c r="I275" s="7"/>
      <c r="J275" s="7"/>
      <c r="K275" s="7"/>
      <c r="L275" s="7"/>
      <c r="M275" s="7"/>
    </row>
    <row r="276">
      <c r="A276" s="11">
        <f>IFERROR(__xludf.DUMMYFUNCTION("""COMPUTED_VALUE"""),45133.47463778935)</f>
        <v>45133.47464</v>
      </c>
      <c r="B276" s="7"/>
      <c r="C276" s="7" t="str">
        <f>IFERROR(__xludf.DUMMYFUNCTION("""COMPUTED_VALUE"""),"Solidarity with our Farmers Stream 2021")</f>
        <v>Solidarity with our Farmers Stream 2021</v>
      </c>
      <c r="D276" s="14">
        <f>IFERROR(__xludf.DUMMYFUNCTION("""COMPUTED_VALUE"""),44286.0)</f>
        <v>44286</v>
      </c>
      <c r="E276" s="7" t="str">
        <f>IFERROR(__xludf.DUMMYFUNCTION("""COMPUTED_VALUE"""),"Large (Open Air Festival, Boiler Room Streaming)")</f>
        <v>Large (Open Air Festival, Boiler Room Streaming)</v>
      </c>
      <c r="F276" s="7">
        <f>IFERROR(__xludf.DUMMYFUNCTION("""COMPUTED_VALUE"""),318.0)</f>
        <v>318</v>
      </c>
      <c r="G276" s="7" t="str">
        <f>IFERROR(__xludf.DUMMYFUNCTION("""COMPUTED_VALUE"""),"Arun")</f>
        <v>Arun</v>
      </c>
      <c r="H276" s="7"/>
      <c r="I276" s="7"/>
      <c r="J276" s="7"/>
      <c r="K276" s="7"/>
      <c r="L276" s="7"/>
      <c r="M276" s="7"/>
    </row>
    <row r="277">
      <c r="A277" s="11">
        <f>IFERROR(__xludf.DUMMYFUNCTION("""COMPUTED_VALUE"""),45133.47489932871)</f>
        <v>45133.4749</v>
      </c>
      <c r="B277" s="7"/>
      <c r="C277" s="7" t="str">
        <f>IFERROR(__xludf.DUMMYFUNCTION("""COMPUTED_VALUE"""),"Solidarity with our Farmers Stream 2021")</f>
        <v>Solidarity with our Farmers Stream 2021</v>
      </c>
      <c r="D277" s="14">
        <f>IFERROR(__xludf.DUMMYFUNCTION("""COMPUTED_VALUE"""),44286.0)</f>
        <v>44286</v>
      </c>
      <c r="E277" s="7" t="str">
        <f>IFERROR(__xludf.DUMMYFUNCTION("""COMPUTED_VALUE"""),"Large (Open Air Festival, Boiler Room Streaming)")</f>
        <v>Large (Open Air Festival, Boiler Room Streaming)</v>
      </c>
      <c r="F277" s="7">
        <f>IFERROR(__xludf.DUMMYFUNCTION("""COMPUTED_VALUE"""),216.0)</f>
        <v>216</v>
      </c>
      <c r="G277" s="7" t="str">
        <f>IFERROR(__xludf.DUMMYFUNCTION("""COMPUTED_VALUE"""),"Arun")</f>
        <v>Arun</v>
      </c>
      <c r="H277" s="7"/>
      <c r="I277" s="7"/>
      <c r="J277" s="7"/>
      <c r="K277" s="7"/>
      <c r="L277" s="7"/>
      <c r="M277" s="7"/>
    </row>
    <row r="278">
      <c r="A278" s="11">
        <f>IFERROR(__xludf.DUMMYFUNCTION("""COMPUTED_VALUE"""),45133.475107708335)</f>
        <v>45133.47511</v>
      </c>
      <c r="B278" s="7"/>
      <c r="C278" s="7" t="str">
        <f>IFERROR(__xludf.DUMMYFUNCTION("""COMPUTED_VALUE"""),"Solidarity with our Farmers Stream 2021")</f>
        <v>Solidarity with our Farmers Stream 2021</v>
      </c>
      <c r="D278" s="14">
        <f>IFERROR(__xludf.DUMMYFUNCTION("""COMPUTED_VALUE"""),44286.0)</f>
        <v>44286</v>
      </c>
      <c r="E278" s="7" t="str">
        <f>IFERROR(__xludf.DUMMYFUNCTION("""COMPUTED_VALUE"""),"Large (Open Air Festival, Boiler Room Streaming)")</f>
        <v>Large (Open Air Festival, Boiler Room Streaming)</v>
      </c>
      <c r="F278" s="7">
        <f>IFERROR(__xludf.DUMMYFUNCTION("""COMPUTED_VALUE"""),212.0)</f>
        <v>212</v>
      </c>
      <c r="G278" s="7" t="str">
        <f>IFERROR(__xludf.DUMMYFUNCTION("""COMPUTED_VALUE"""),"Arun")</f>
        <v>Arun</v>
      </c>
      <c r="H278" s="7"/>
      <c r="I278" s="7"/>
      <c r="J278" s="7"/>
      <c r="K278" s="7"/>
      <c r="L278" s="7"/>
      <c r="M278" s="7"/>
    </row>
    <row r="279">
      <c r="A279" s="11">
        <f>IFERROR(__xludf.DUMMYFUNCTION("""COMPUTED_VALUE"""),45133.475554293975)</f>
        <v>45133.47555</v>
      </c>
      <c r="B279" s="7"/>
      <c r="C279" s="7" t="str">
        <f>IFERROR(__xludf.DUMMYFUNCTION("""COMPUTED_VALUE"""),"Solidarity with our Farmers Stream 2021")</f>
        <v>Solidarity with our Farmers Stream 2021</v>
      </c>
      <c r="D279" s="14">
        <f>IFERROR(__xludf.DUMMYFUNCTION("""COMPUTED_VALUE"""),44286.0)</f>
        <v>44286</v>
      </c>
      <c r="E279" s="7" t="str">
        <f>IFERROR(__xludf.DUMMYFUNCTION("""COMPUTED_VALUE"""),"Large (Open Air Festival, Boiler Room Streaming)")</f>
        <v>Large (Open Air Festival, Boiler Room Streaming)</v>
      </c>
      <c r="F279" s="7">
        <f>IFERROR(__xludf.DUMMYFUNCTION("""COMPUTED_VALUE"""),202.0)</f>
        <v>202</v>
      </c>
      <c r="G279" s="7" t="str">
        <f>IFERROR(__xludf.DUMMYFUNCTION("""COMPUTED_VALUE"""),"Arun")</f>
        <v>Arun</v>
      </c>
      <c r="H279" s="7"/>
      <c r="I279" s="7"/>
      <c r="J279" s="7"/>
      <c r="K279" s="7"/>
      <c r="L279" s="7"/>
      <c r="M279" s="7"/>
    </row>
    <row r="280">
      <c r="A280" s="11">
        <f>IFERROR(__xludf.DUMMYFUNCTION("""COMPUTED_VALUE"""),45142.614683645836)</f>
        <v>45142.61468</v>
      </c>
      <c r="B280" s="7"/>
      <c r="C280" s="7" t="str">
        <f>IFERROR(__xludf.DUMMYFUNCTION("""COMPUTED_VALUE"""),"Phonox Residency August 2023")</f>
        <v>Phonox Residency August 2023</v>
      </c>
      <c r="D280" s="14">
        <f>IFERROR(__xludf.DUMMYFUNCTION("""COMPUTED_VALUE"""),45142.0)</f>
        <v>45142</v>
      </c>
      <c r="E280" s="7" t="str">
        <f>IFERROR(__xludf.DUMMYFUNCTION("""COMPUTED_VALUE"""),"Medium (Medium Sized Club, Corsica, Fabric etc)")</f>
        <v>Medium (Medium Sized Club, Corsica, Fabric etc)</v>
      </c>
      <c r="F280" s="7">
        <f>IFERROR(__xludf.DUMMYFUNCTION("""COMPUTED_VALUE"""),337.0)</f>
        <v>337</v>
      </c>
      <c r="G280" s="7" t="str">
        <f>IFERROR(__xludf.DUMMYFUNCTION("""COMPUTED_VALUE"""),"Arun")</f>
        <v>Arun</v>
      </c>
      <c r="H280" s="7"/>
      <c r="I280" s="7"/>
      <c r="J280" s="7"/>
      <c r="K280" s="7"/>
      <c r="L280" s="7"/>
      <c r="M280" s="7"/>
    </row>
    <row r="281">
      <c r="A281" s="11">
        <f>IFERROR(__xludf.DUMMYFUNCTION("""COMPUTED_VALUE"""),45142.61589011574)</f>
        <v>45142.61589</v>
      </c>
      <c r="B281" s="7"/>
      <c r="C281" s="7" t="str">
        <f>IFERROR(__xludf.DUMMYFUNCTION("""COMPUTED_VALUE"""),"Phonox Residency August 2023")</f>
        <v>Phonox Residency August 2023</v>
      </c>
      <c r="D281" s="14">
        <f>IFERROR(__xludf.DUMMYFUNCTION("""COMPUTED_VALUE"""),45142.0)</f>
        <v>45142</v>
      </c>
      <c r="E281" s="7" t="str">
        <f>IFERROR(__xludf.DUMMYFUNCTION("""COMPUTED_VALUE"""),"Medium (Medium Sized Club, Corsica, Fabric etc)")</f>
        <v>Medium (Medium Sized Club, Corsica, Fabric etc)</v>
      </c>
      <c r="F281" s="7">
        <f>IFERROR(__xludf.DUMMYFUNCTION("""COMPUTED_VALUE"""),363.0)</f>
        <v>363</v>
      </c>
      <c r="G281" s="7" t="str">
        <f>IFERROR(__xludf.DUMMYFUNCTION("""COMPUTED_VALUE"""),"Arun")</f>
        <v>Arun</v>
      </c>
      <c r="H281" s="7"/>
      <c r="I281" s="7"/>
      <c r="J281" s="7"/>
      <c r="K281" s="7"/>
      <c r="L281" s="7"/>
      <c r="M281" s="7"/>
    </row>
    <row r="282">
      <c r="A282" s="11">
        <f>IFERROR(__xludf.DUMMYFUNCTION("""COMPUTED_VALUE"""),45142.6166266088)</f>
        <v>45142.61663</v>
      </c>
      <c r="B282" s="7"/>
      <c r="C282" s="7" t="str">
        <f>IFERROR(__xludf.DUMMYFUNCTION("""COMPUTED_VALUE"""),"Phonox Residency August 2023")</f>
        <v>Phonox Residency August 2023</v>
      </c>
      <c r="D282" s="14">
        <f>IFERROR(__xludf.DUMMYFUNCTION("""COMPUTED_VALUE"""),45142.0)</f>
        <v>45142</v>
      </c>
      <c r="E282" s="7" t="str">
        <f>IFERROR(__xludf.DUMMYFUNCTION("""COMPUTED_VALUE"""),"Medium (Medium Sized Club, Corsica, Fabric etc)")</f>
        <v>Medium (Medium Sized Club, Corsica, Fabric etc)</v>
      </c>
      <c r="F282" s="7">
        <f>IFERROR(__xludf.DUMMYFUNCTION("""COMPUTED_VALUE"""),386.0)</f>
        <v>386</v>
      </c>
      <c r="G282" s="7" t="str">
        <f>IFERROR(__xludf.DUMMYFUNCTION("""COMPUTED_VALUE"""),"Arun")</f>
        <v>Arun</v>
      </c>
      <c r="H282" s="7"/>
      <c r="I282" s="7"/>
      <c r="J282" s="7"/>
      <c r="K282" s="7"/>
      <c r="L282" s="7"/>
      <c r="M282" s="7"/>
    </row>
    <row r="283">
      <c r="A283" s="11">
        <f>IFERROR(__xludf.DUMMYFUNCTION("""COMPUTED_VALUE"""),45146.51736013889)</f>
        <v>45146.51736</v>
      </c>
      <c r="B283" s="7"/>
      <c r="C283" s="7" t="str">
        <f>IFERROR(__xludf.DUMMYFUNCTION("""COMPUTED_VALUE"""),"Phonox Residency August 2023")</f>
        <v>Phonox Residency August 2023</v>
      </c>
      <c r="D283" s="14">
        <f>IFERROR(__xludf.DUMMYFUNCTION("""COMPUTED_VALUE"""),45149.0)</f>
        <v>45149</v>
      </c>
      <c r="E283" s="7" t="str">
        <f>IFERROR(__xludf.DUMMYFUNCTION("""COMPUTED_VALUE"""),"Medium (Medium Sized Club, Corsica, Fabric etc)")</f>
        <v>Medium (Medium Sized Club, Corsica, Fabric etc)</v>
      </c>
      <c r="F283" s="7">
        <f>IFERROR(__xludf.DUMMYFUNCTION("""COMPUTED_VALUE"""),305.0)</f>
        <v>305</v>
      </c>
      <c r="G283" s="7" t="str">
        <f>IFERROR(__xludf.DUMMYFUNCTION("""COMPUTED_VALUE"""),"Arun")</f>
        <v>Arun</v>
      </c>
      <c r="H283" s="7"/>
      <c r="I283" s="7"/>
      <c r="J283" s="7"/>
      <c r="K283" s="7"/>
      <c r="L283" s="7"/>
      <c r="M283" s="7"/>
    </row>
    <row r="284">
      <c r="A284" s="11">
        <f>IFERROR(__xludf.DUMMYFUNCTION("""COMPUTED_VALUE"""),45146.51833288194)</f>
        <v>45146.51833</v>
      </c>
      <c r="B284" s="7"/>
      <c r="C284" s="7" t="str">
        <f>IFERROR(__xludf.DUMMYFUNCTION("""COMPUTED_VALUE"""),"Phonox Residency August 2023")</f>
        <v>Phonox Residency August 2023</v>
      </c>
      <c r="D284" s="14">
        <f>IFERROR(__xludf.DUMMYFUNCTION("""COMPUTED_VALUE"""),45149.0)</f>
        <v>45149</v>
      </c>
      <c r="E284" s="7" t="str">
        <f>IFERROR(__xludf.DUMMYFUNCTION("""COMPUTED_VALUE"""),"Medium (Medium Sized Club, Corsica, Fabric etc)")</f>
        <v>Medium (Medium Sized Club, Corsica, Fabric etc)</v>
      </c>
      <c r="F284" s="7">
        <f>IFERROR(__xludf.DUMMYFUNCTION("""COMPUTED_VALUE"""),387.0)</f>
        <v>387</v>
      </c>
      <c r="G284" s="7" t="str">
        <f>IFERROR(__xludf.DUMMYFUNCTION("""COMPUTED_VALUE"""),"Arun")</f>
        <v>Arun</v>
      </c>
      <c r="H284" s="7"/>
      <c r="I284" s="7"/>
      <c r="J284" s="7"/>
      <c r="K284" s="7"/>
      <c r="L284" s="7"/>
      <c r="M284" s="7"/>
    </row>
    <row r="285">
      <c r="A285" s="11">
        <f>IFERROR(__xludf.DUMMYFUNCTION("""COMPUTED_VALUE"""),45146.51885187499)</f>
        <v>45146.51885</v>
      </c>
      <c r="B285" s="7"/>
      <c r="C285" s="7" t="str">
        <f>IFERROR(__xludf.DUMMYFUNCTION("""COMPUTED_VALUE"""),"Phonox Residency August 2023")</f>
        <v>Phonox Residency August 2023</v>
      </c>
      <c r="D285" s="14">
        <f>IFERROR(__xludf.DUMMYFUNCTION("""COMPUTED_VALUE"""),45149.0)</f>
        <v>45149</v>
      </c>
      <c r="E285" s="7" t="str">
        <f>IFERROR(__xludf.DUMMYFUNCTION("""COMPUTED_VALUE"""),"Medium (Medium Sized Club, Corsica, Fabric etc)")</f>
        <v>Medium (Medium Sized Club, Corsica, Fabric etc)</v>
      </c>
      <c r="F285" s="7">
        <f>IFERROR(__xludf.DUMMYFUNCTION("""COMPUTED_VALUE"""),258.0)</f>
        <v>258</v>
      </c>
      <c r="G285" s="7" t="str">
        <f>IFERROR(__xludf.DUMMYFUNCTION("""COMPUTED_VALUE"""),"Arun")</f>
        <v>Arun</v>
      </c>
      <c r="H285" s="7"/>
      <c r="I285" s="7"/>
      <c r="J285" s="7"/>
      <c r="K285" s="7"/>
      <c r="L285" s="7"/>
      <c r="M285" s="7"/>
    </row>
    <row r="286">
      <c r="A286" s="11">
        <f>IFERROR(__xludf.DUMMYFUNCTION("""COMPUTED_VALUE"""),45162.51548616898)</f>
        <v>45162.51549</v>
      </c>
      <c r="B286" s="7"/>
      <c r="C286" s="7" t="str">
        <f>IFERROR(__xludf.DUMMYFUNCTION("""COMPUTED_VALUE"""),"Phonox Residency August 2023")</f>
        <v>Phonox Residency August 2023</v>
      </c>
      <c r="D286" s="14">
        <f>IFERROR(__xludf.DUMMYFUNCTION("""COMPUTED_VALUE"""),45156.0)</f>
        <v>45156</v>
      </c>
      <c r="E286" s="7" t="str">
        <f>IFERROR(__xludf.DUMMYFUNCTION("""COMPUTED_VALUE"""),"Medium (Medium Sized Club, Corsica, Fabric etc)")</f>
        <v>Medium (Medium Sized Club, Corsica, Fabric etc)</v>
      </c>
      <c r="F286" s="7">
        <f>IFERROR(__xludf.DUMMYFUNCTION("""COMPUTED_VALUE"""),264.0)</f>
        <v>264</v>
      </c>
      <c r="G286" s="7" t="str">
        <f>IFERROR(__xludf.DUMMYFUNCTION("""COMPUTED_VALUE"""),"Arun")</f>
        <v>Arun</v>
      </c>
      <c r="H286" s="7"/>
      <c r="I286" s="7"/>
      <c r="J286" s="7"/>
      <c r="K286" s="7"/>
      <c r="L286" s="7"/>
      <c r="M286" s="7"/>
    </row>
    <row r="287">
      <c r="A287" s="11">
        <f>IFERROR(__xludf.DUMMYFUNCTION("""COMPUTED_VALUE"""),45162.51643659722)</f>
        <v>45162.51644</v>
      </c>
      <c r="B287" s="7"/>
      <c r="C287" s="7" t="str">
        <f>IFERROR(__xludf.DUMMYFUNCTION("""COMPUTED_VALUE"""),"Phonox Residency August 2023")</f>
        <v>Phonox Residency August 2023</v>
      </c>
      <c r="D287" s="14">
        <f>IFERROR(__xludf.DUMMYFUNCTION("""COMPUTED_VALUE"""),45156.0)</f>
        <v>45156</v>
      </c>
      <c r="E287" s="7" t="str">
        <f>IFERROR(__xludf.DUMMYFUNCTION("""COMPUTED_VALUE"""),"Medium (Medium Sized Club, Corsica, Fabric etc)")</f>
        <v>Medium (Medium Sized Club, Corsica, Fabric etc)</v>
      </c>
      <c r="F287" s="7">
        <f>IFERROR(__xludf.DUMMYFUNCTION("""COMPUTED_VALUE"""),388.0)</f>
        <v>388</v>
      </c>
      <c r="G287" s="7" t="str">
        <f>IFERROR(__xludf.DUMMYFUNCTION("""COMPUTED_VALUE"""),"Arun")</f>
        <v>Arun</v>
      </c>
      <c r="H287" s="7"/>
      <c r="I287" s="7"/>
      <c r="J287" s="7"/>
      <c r="K287" s="7"/>
      <c r="L287" s="7"/>
      <c r="M287" s="7"/>
    </row>
    <row r="288">
      <c r="A288" s="11">
        <f>IFERROR(__xludf.DUMMYFUNCTION("""COMPUTED_VALUE"""),45162.51714942129)</f>
        <v>45162.51715</v>
      </c>
      <c r="B288" s="7"/>
      <c r="C288" s="7" t="str">
        <f>IFERROR(__xludf.DUMMYFUNCTION("""COMPUTED_VALUE"""),"Phonox Residency August 2023")</f>
        <v>Phonox Residency August 2023</v>
      </c>
      <c r="D288" s="14">
        <f>IFERROR(__xludf.DUMMYFUNCTION("""COMPUTED_VALUE"""),45156.0)</f>
        <v>45156</v>
      </c>
      <c r="E288" s="7" t="str">
        <f>IFERROR(__xludf.DUMMYFUNCTION("""COMPUTED_VALUE"""),"Medium (Medium Sized Club, Corsica, Fabric etc)")</f>
        <v>Medium (Medium Sized Club, Corsica, Fabric etc)</v>
      </c>
      <c r="F288" s="7">
        <f>IFERROR(__xludf.DUMMYFUNCTION("""COMPUTED_VALUE"""),352.0)</f>
        <v>352</v>
      </c>
      <c r="G288" s="7" t="str">
        <f>IFERROR(__xludf.DUMMYFUNCTION("""COMPUTED_VALUE"""),"Arun")</f>
        <v>Arun</v>
      </c>
      <c r="H288" s="7"/>
      <c r="I288" s="7"/>
      <c r="J288" s="7"/>
      <c r="K288" s="7"/>
      <c r="L288" s="7"/>
      <c r="M288" s="7"/>
    </row>
    <row r="289">
      <c r="A289" s="11">
        <f>IFERROR(__xludf.DUMMYFUNCTION("""COMPUTED_VALUE"""),45162.518251203706)</f>
        <v>45162.51825</v>
      </c>
      <c r="B289" s="7"/>
      <c r="C289" s="7" t="str">
        <f>IFERROR(__xludf.DUMMYFUNCTION("""COMPUTED_VALUE"""),"Phonox Residency August 2023")</f>
        <v>Phonox Residency August 2023</v>
      </c>
      <c r="D289" s="14">
        <f>IFERROR(__xludf.DUMMYFUNCTION("""COMPUTED_VALUE"""),45163.0)</f>
        <v>45163</v>
      </c>
      <c r="E289" s="7" t="str">
        <f>IFERROR(__xludf.DUMMYFUNCTION("""COMPUTED_VALUE"""),"Medium (Medium Sized Club, Corsica, Fabric etc)")</f>
        <v>Medium (Medium Sized Club, Corsica, Fabric etc)</v>
      </c>
      <c r="F289" s="7">
        <f>IFERROR(__xludf.DUMMYFUNCTION("""COMPUTED_VALUE"""),389.0)</f>
        <v>389</v>
      </c>
      <c r="G289" s="7" t="str">
        <f>IFERROR(__xludf.DUMMYFUNCTION("""COMPUTED_VALUE"""),"Arun")</f>
        <v>Arun</v>
      </c>
      <c r="H289" s="7"/>
      <c r="I289" s="7"/>
      <c r="J289" s="7"/>
      <c r="K289" s="7"/>
      <c r="L289" s="7"/>
      <c r="M289" s="7"/>
    </row>
    <row r="290">
      <c r="A290" s="11">
        <f>IFERROR(__xludf.DUMMYFUNCTION("""COMPUTED_VALUE"""),45162.51961837962)</f>
        <v>45162.51962</v>
      </c>
      <c r="B290" s="7"/>
      <c r="C290" s="7" t="str">
        <f>IFERROR(__xludf.DUMMYFUNCTION("""COMPUTED_VALUE"""),"Phonox Residency August 2023")</f>
        <v>Phonox Residency August 2023</v>
      </c>
      <c r="D290" s="14">
        <f>IFERROR(__xludf.DUMMYFUNCTION("""COMPUTED_VALUE"""),45163.0)</f>
        <v>45163</v>
      </c>
      <c r="E290" s="7" t="str">
        <f>IFERROR(__xludf.DUMMYFUNCTION("""COMPUTED_VALUE"""),"Medium (Medium Sized Club, Corsica, Fabric etc)")</f>
        <v>Medium (Medium Sized Club, Corsica, Fabric etc)</v>
      </c>
      <c r="F290" s="7">
        <f>IFERROR(__xludf.DUMMYFUNCTION("""COMPUTED_VALUE"""),236.0)</f>
        <v>236</v>
      </c>
      <c r="G290" s="7" t="str">
        <f>IFERROR(__xludf.DUMMYFUNCTION("""COMPUTED_VALUE"""),"Arun")</f>
        <v>Arun</v>
      </c>
      <c r="H290" s="7"/>
      <c r="I290" s="7"/>
      <c r="J290" s="7"/>
      <c r="K290" s="7"/>
      <c r="L290" s="7"/>
      <c r="M290" s="7"/>
    </row>
    <row r="291">
      <c r="A291" s="11">
        <f>IFERROR(__xludf.DUMMYFUNCTION("""COMPUTED_VALUE"""),45162.5199845949)</f>
        <v>45162.51998</v>
      </c>
      <c r="B291" s="7"/>
      <c r="C291" s="7" t="str">
        <f>IFERROR(__xludf.DUMMYFUNCTION("""COMPUTED_VALUE"""),"Phonox Residency August 2023")</f>
        <v>Phonox Residency August 2023</v>
      </c>
      <c r="D291" s="14">
        <f>IFERROR(__xludf.DUMMYFUNCTION("""COMPUTED_VALUE"""),45163.0)</f>
        <v>45163</v>
      </c>
      <c r="E291" s="7" t="str">
        <f>IFERROR(__xludf.DUMMYFUNCTION("""COMPUTED_VALUE"""),"Medium (Medium Sized Club, Corsica, Fabric etc)")</f>
        <v>Medium (Medium Sized Club, Corsica, Fabric etc)</v>
      </c>
      <c r="F291" s="7">
        <f>IFERROR(__xludf.DUMMYFUNCTION("""COMPUTED_VALUE"""),224.0)</f>
        <v>224</v>
      </c>
      <c r="G291" s="7" t="str">
        <f>IFERROR(__xludf.DUMMYFUNCTION("""COMPUTED_VALUE"""),"Arun")</f>
        <v>Arun</v>
      </c>
      <c r="H291" s="7"/>
      <c r="I291" s="7"/>
      <c r="J291" s="7"/>
      <c r="K291" s="7"/>
      <c r="L291" s="7"/>
      <c r="M291" s="7"/>
    </row>
    <row r="292">
      <c r="A292" s="11">
        <f>IFERROR(__xludf.DUMMYFUNCTION("""COMPUTED_VALUE"""),45162.522256655095)</f>
        <v>45162.52226</v>
      </c>
      <c r="B292" s="7"/>
      <c r="C292" s="7" t="str">
        <f>IFERROR(__xludf.DUMMYFUNCTION("""COMPUTED_VALUE"""),"Phonox Residency August 2023")</f>
        <v>Phonox Residency August 2023</v>
      </c>
      <c r="D292" s="14">
        <f>IFERROR(__xludf.DUMMYFUNCTION("""COMPUTED_VALUE"""),45163.0)</f>
        <v>45163</v>
      </c>
      <c r="E292" s="7" t="str">
        <f>IFERROR(__xludf.DUMMYFUNCTION("""COMPUTED_VALUE"""),"Medium (Medium Sized Club, Corsica, Fabric etc)")</f>
        <v>Medium (Medium Sized Club, Corsica, Fabric etc)</v>
      </c>
      <c r="F292" s="7">
        <f>IFERROR(__xludf.DUMMYFUNCTION("""COMPUTED_VALUE"""),390.0)</f>
        <v>390</v>
      </c>
      <c r="G292" s="7" t="str">
        <f>IFERROR(__xludf.DUMMYFUNCTION("""COMPUTED_VALUE"""),"Arun")</f>
        <v>Arun</v>
      </c>
      <c r="H292" s="7"/>
      <c r="I292" s="7"/>
      <c r="J292" s="7"/>
      <c r="K292" s="7"/>
      <c r="L292" s="7"/>
      <c r="M292" s="7"/>
    </row>
    <row r="293">
      <c r="A293" s="11">
        <f>IFERROR(__xludf.DUMMYFUNCTION("""COMPUTED_VALUE"""),45162.5236997338)</f>
        <v>45162.5237</v>
      </c>
      <c r="B293" s="7"/>
      <c r="C293" s="7" t="str">
        <f>IFERROR(__xludf.DUMMYFUNCTION("""COMPUTED_VALUE"""),"Phonox Residency August 2023")</f>
        <v>Phonox Residency August 2023</v>
      </c>
      <c r="D293" s="14">
        <f>IFERROR(__xludf.DUMMYFUNCTION("""COMPUTED_VALUE"""),45163.0)</f>
        <v>45163</v>
      </c>
      <c r="E293" s="7" t="str">
        <f>IFERROR(__xludf.DUMMYFUNCTION("""COMPUTED_VALUE"""),"Medium (Medium Sized Club, Corsica, Fabric etc)")</f>
        <v>Medium (Medium Sized Club, Corsica, Fabric etc)</v>
      </c>
      <c r="F293" s="7">
        <f>IFERROR(__xludf.DUMMYFUNCTION("""COMPUTED_VALUE"""),391.0)</f>
        <v>391</v>
      </c>
      <c r="G293" s="7" t="str">
        <f>IFERROR(__xludf.DUMMYFUNCTION("""COMPUTED_VALUE"""),"Arun")</f>
        <v>Arun</v>
      </c>
      <c r="H293" s="7"/>
      <c r="I293" s="7"/>
      <c r="J293" s="7"/>
      <c r="K293" s="7"/>
      <c r="L293" s="7"/>
      <c r="M293" s="7"/>
    </row>
    <row r="294">
      <c r="A294" s="11">
        <f>IFERROR(__xludf.DUMMYFUNCTION("""COMPUTED_VALUE"""),45162.52436993055)</f>
        <v>45162.52437</v>
      </c>
      <c r="B294" s="7"/>
      <c r="C294" s="7" t="str">
        <f>IFERROR(__xludf.DUMMYFUNCTION("""COMPUTED_VALUE"""),"Phonox Residency August 2023")</f>
        <v>Phonox Residency August 2023</v>
      </c>
      <c r="D294" s="14">
        <f>IFERROR(__xludf.DUMMYFUNCTION("""COMPUTED_VALUE"""),45163.0)</f>
        <v>45163</v>
      </c>
      <c r="E294" s="7" t="str">
        <f>IFERROR(__xludf.DUMMYFUNCTION("""COMPUTED_VALUE"""),"Medium (Medium Sized Club, Corsica, Fabric etc)")</f>
        <v>Medium (Medium Sized Club, Corsica, Fabric etc)</v>
      </c>
      <c r="F294" s="7">
        <f>IFERROR(__xludf.DUMMYFUNCTION("""COMPUTED_VALUE"""),392.0)</f>
        <v>392</v>
      </c>
      <c r="G294" s="7" t="str">
        <f>IFERROR(__xludf.DUMMYFUNCTION("""COMPUTED_VALUE"""),"Arun")</f>
        <v>Arun</v>
      </c>
      <c r="H294" s="7"/>
      <c r="I294" s="7"/>
      <c r="J294" s="7"/>
      <c r="K294" s="7"/>
      <c r="L294" s="7"/>
      <c r="M294" s="7"/>
    </row>
    <row r="295">
      <c r="A295" s="11">
        <f>IFERROR(__xludf.DUMMYFUNCTION("""COMPUTED_VALUE"""),45162.52489732639)</f>
        <v>45162.5249</v>
      </c>
      <c r="B295" s="7"/>
      <c r="C295" s="7" t="str">
        <f>IFERROR(__xludf.DUMMYFUNCTION("""COMPUTED_VALUE"""),"Phonox Residency August 2023")</f>
        <v>Phonox Residency August 2023</v>
      </c>
      <c r="D295" s="14">
        <f>IFERROR(__xludf.DUMMYFUNCTION("""COMPUTED_VALUE"""),45163.0)</f>
        <v>45163</v>
      </c>
      <c r="E295" s="7" t="str">
        <f>IFERROR(__xludf.DUMMYFUNCTION("""COMPUTED_VALUE"""),"Medium (Medium Sized Club, Corsica, Fabric etc)")</f>
        <v>Medium (Medium Sized Club, Corsica, Fabric etc)</v>
      </c>
      <c r="F295" s="7">
        <f>IFERROR(__xludf.DUMMYFUNCTION("""COMPUTED_VALUE"""),393.0)</f>
        <v>393</v>
      </c>
      <c r="G295" s="7" t="str">
        <f>IFERROR(__xludf.DUMMYFUNCTION("""COMPUTED_VALUE"""),"Arun")</f>
        <v>Arun</v>
      </c>
      <c r="H295" s="7"/>
      <c r="I295" s="7"/>
      <c r="J295" s="7"/>
      <c r="K295" s="7"/>
      <c r="L295" s="7"/>
      <c r="M295" s="7"/>
    </row>
    <row r="296">
      <c r="A296" s="11">
        <f>IFERROR(__xludf.DUMMYFUNCTION("""COMPUTED_VALUE"""),45162.526558287034)</f>
        <v>45162.52656</v>
      </c>
      <c r="B296" s="7"/>
      <c r="C296" s="7" t="str">
        <f>IFERROR(__xludf.DUMMYFUNCTION("""COMPUTED_VALUE"""),"Phonox Residency August 2023")</f>
        <v>Phonox Residency August 2023</v>
      </c>
      <c r="D296" s="14">
        <f>IFERROR(__xludf.DUMMYFUNCTION("""COMPUTED_VALUE"""),45163.0)</f>
        <v>45163</v>
      </c>
      <c r="E296" s="7" t="str">
        <f>IFERROR(__xludf.DUMMYFUNCTION("""COMPUTED_VALUE"""),"Medium (Medium Sized Club, Corsica, Fabric etc)")</f>
        <v>Medium (Medium Sized Club, Corsica, Fabric etc)</v>
      </c>
      <c r="F296" s="7">
        <f>IFERROR(__xludf.DUMMYFUNCTION("""COMPUTED_VALUE"""),394.0)</f>
        <v>394</v>
      </c>
      <c r="G296" s="7" t="str">
        <f>IFERROR(__xludf.DUMMYFUNCTION("""COMPUTED_VALUE"""),"Arun")</f>
        <v>Arun</v>
      </c>
      <c r="H296" s="7"/>
      <c r="I296" s="7"/>
      <c r="J296" s="7"/>
      <c r="K296" s="7"/>
      <c r="L296" s="7"/>
      <c r="M296" s="7"/>
    </row>
    <row r="297">
      <c r="A297" s="11">
        <f>IFERROR(__xludf.DUMMYFUNCTION("""COMPUTED_VALUE"""),45162.52700763889)</f>
        <v>45162.52701</v>
      </c>
      <c r="B297" s="7"/>
      <c r="C297" s="7" t="str">
        <f>IFERROR(__xludf.DUMMYFUNCTION("""COMPUTED_VALUE"""),"Phonox Residency August 2023")</f>
        <v>Phonox Residency August 2023</v>
      </c>
      <c r="D297" s="14">
        <f>IFERROR(__xludf.DUMMYFUNCTION("""COMPUTED_VALUE"""),45163.0)</f>
        <v>45163</v>
      </c>
      <c r="E297" s="7" t="str">
        <f>IFERROR(__xludf.DUMMYFUNCTION("""COMPUTED_VALUE"""),"Medium (Medium Sized Club, Corsica, Fabric etc)")</f>
        <v>Medium (Medium Sized Club, Corsica, Fabric etc)</v>
      </c>
      <c r="F297" s="7">
        <f>IFERROR(__xludf.DUMMYFUNCTION("""COMPUTED_VALUE"""),330.0)</f>
        <v>330</v>
      </c>
      <c r="G297" s="7" t="str">
        <f>IFERROR(__xludf.DUMMYFUNCTION("""COMPUTED_VALUE"""),"Arun")</f>
        <v>Arun</v>
      </c>
      <c r="H297" s="7"/>
      <c r="I297" s="7"/>
      <c r="J297" s="7"/>
      <c r="K297" s="7"/>
      <c r="L297" s="7"/>
      <c r="M297" s="7"/>
    </row>
    <row r="298">
      <c r="A298" s="11">
        <f>IFERROR(__xludf.DUMMYFUNCTION("""COMPUTED_VALUE"""),45168.63069769676)</f>
        <v>45168.6307</v>
      </c>
      <c r="B298" s="7"/>
      <c r="C298" s="7" t="str">
        <f>IFERROR(__xludf.DUMMYFUNCTION("""COMPUTED_VALUE"""),"Warehouse Project 2023")</f>
        <v>Warehouse Project 2023</v>
      </c>
      <c r="D298" s="14">
        <f>IFERROR(__xludf.DUMMYFUNCTION("""COMPUTED_VALUE"""),45248.0)</f>
        <v>45248</v>
      </c>
      <c r="E298" s="7" t="str">
        <f>IFERROR(__xludf.DUMMYFUNCTION("""COMPUTED_VALUE"""),"Large (Open Air Festival, Boiler Room Streaming)")</f>
        <v>Large (Open Air Festival, Boiler Room Streaming)</v>
      </c>
      <c r="F298" s="7">
        <f>IFERROR(__xludf.DUMMYFUNCTION("""COMPUTED_VALUE"""),267.0)</f>
        <v>267</v>
      </c>
      <c r="G298" s="7" t="str">
        <f>IFERROR(__xludf.DUMMYFUNCTION("""COMPUTED_VALUE"""),"Arun")</f>
        <v>Arun</v>
      </c>
      <c r="H298" s="7"/>
      <c r="I298" s="7"/>
      <c r="J298" s="7"/>
      <c r="K298" s="7"/>
      <c r="L298" s="7"/>
      <c r="M298" s="7"/>
    </row>
    <row r="299">
      <c r="A299" s="11">
        <f>IFERROR(__xludf.DUMMYFUNCTION("""COMPUTED_VALUE"""),45168.63131003472)</f>
        <v>45168.63131</v>
      </c>
      <c r="B299" s="7"/>
      <c r="C299" s="7" t="str">
        <f>IFERROR(__xludf.DUMMYFUNCTION("""COMPUTED_VALUE"""),"Warehouse Project 2023")</f>
        <v>Warehouse Project 2023</v>
      </c>
      <c r="D299" s="14">
        <f>IFERROR(__xludf.DUMMYFUNCTION("""COMPUTED_VALUE"""),45248.0)</f>
        <v>45248</v>
      </c>
      <c r="E299" s="7" t="str">
        <f>IFERROR(__xludf.DUMMYFUNCTION("""COMPUTED_VALUE"""),"Large (Open Air Festival, Boiler Room Streaming)")</f>
        <v>Large (Open Air Festival, Boiler Room Streaming)</v>
      </c>
      <c r="F299" s="7">
        <f>IFERROR(__xludf.DUMMYFUNCTION("""COMPUTED_VALUE"""),206.0)</f>
        <v>206</v>
      </c>
      <c r="G299" s="7" t="str">
        <f>IFERROR(__xludf.DUMMYFUNCTION("""COMPUTED_VALUE"""),"Arun")</f>
        <v>Arun</v>
      </c>
      <c r="H299" s="7"/>
      <c r="I299" s="7"/>
      <c r="J299" s="7"/>
      <c r="K299" s="7"/>
      <c r="L299" s="7"/>
      <c r="M299" s="7"/>
    </row>
    <row r="300">
      <c r="A300" s="11">
        <f>IFERROR(__xludf.DUMMYFUNCTION("""COMPUTED_VALUE"""),45168.63166811343)</f>
        <v>45168.63167</v>
      </c>
      <c r="B300" s="7"/>
      <c r="C300" s="7" t="str">
        <f>IFERROR(__xludf.DUMMYFUNCTION("""COMPUTED_VALUE"""),"Warehouse Project 2023")</f>
        <v>Warehouse Project 2023</v>
      </c>
      <c r="D300" s="14">
        <f>IFERROR(__xludf.DUMMYFUNCTION("""COMPUTED_VALUE"""),45248.0)</f>
        <v>45248</v>
      </c>
      <c r="E300" s="7" t="str">
        <f>IFERROR(__xludf.DUMMYFUNCTION("""COMPUTED_VALUE"""),"Large (Open Air Festival, Boiler Room Streaming)")</f>
        <v>Large (Open Air Festival, Boiler Room Streaming)</v>
      </c>
      <c r="F300" s="7">
        <f>IFERROR(__xludf.DUMMYFUNCTION("""COMPUTED_VALUE"""),244.0)</f>
        <v>244</v>
      </c>
      <c r="G300" s="7" t="str">
        <f>IFERROR(__xludf.DUMMYFUNCTION("""COMPUTED_VALUE"""),"Arun")</f>
        <v>Arun</v>
      </c>
      <c r="H300" s="7"/>
      <c r="I300" s="7"/>
      <c r="J300" s="7"/>
      <c r="K300" s="7"/>
      <c r="L300" s="7"/>
      <c r="M300" s="7"/>
    </row>
    <row r="301">
      <c r="A301" s="11">
        <f>IFERROR(__xludf.DUMMYFUNCTION("""COMPUTED_VALUE"""),45168.63193715278)</f>
        <v>45168.63194</v>
      </c>
      <c r="B301" s="7"/>
      <c r="C301" s="7" t="str">
        <f>IFERROR(__xludf.DUMMYFUNCTION("""COMPUTED_VALUE"""),"Warehouse Project 2023")</f>
        <v>Warehouse Project 2023</v>
      </c>
      <c r="D301" s="14">
        <f>IFERROR(__xludf.DUMMYFUNCTION("""COMPUTED_VALUE"""),45248.0)</f>
        <v>45248</v>
      </c>
      <c r="E301" s="7" t="str">
        <f>IFERROR(__xludf.DUMMYFUNCTION("""COMPUTED_VALUE"""),"Large (Open Air Festival, Boiler Room Streaming)")</f>
        <v>Large (Open Air Festival, Boiler Room Streaming)</v>
      </c>
      <c r="F301" s="7">
        <f>IFERROR(__xludf.DUMMYFUNCTION("""COMPUTED_VALUE"""),202.0)</f>
        <v>202</v>
      </c>
      <c r="G301" s="7" t="str">
        <f>IFERROR(__xludf.DUMMYFUNCTION("""COMPUTED_VALUE"""),"Arun")</f>
        <v>Arun</v>
      </c>
      <c r="H301" s="7"/>
      <c r="I301" s="7"/>
      <c r="J301" s="7"/>
      <c r="K301" s="7"/>
      <c r="L301" s="7"/>
      <c r="M301" s="7"/>
    </row>
    <row r="302">
      <c r="A302" s="11">
        <f>IFERROR(__xludf.DUMMYFUNCTION("""COMPUTED_VALUE"""),45168.63268099537)</f>
        <v>45168.63268</v>
      </c>
      <c r="B302" s="7"/>
      <c r="C302" s="7" t="str">
        <f>IFERROR(__xludf.DUMMYFUNCTION("""COMPUTED_VALUE"""),"Warehouse Project 2023")</f>
        <v>Warehouse Project 2023</v>
      </c>
      <c r="D302" s="14">
        <f>IFERROR(__xludf.DUMMYFUNCTION("""COMPUTED_VALUE"""),45248.0)</f>
        <v>45248</v>
      </c>
      <c r="E302" s="7" t="str">
        <f>IFERROR(__xludf.DUMMYFUNCTION("""COMPUTED_VALUE"""),"Large (Open Air Festival, Boiler Room Streaming)")</f>
        <v>Large (Open Air Festival, Boiler Room Streaming)</v>
      </c>
      <c r="F302" s="7">
        <f>IFERROR(__xludf.DUMMYFUNCTION("""COMPUTED_VALUE"""),264.0)</f>
        <v>264</v>
      </c>
      <c r="G302" s="7" t="str">
        <f>IFERROR(__xludf.DUMMYFUNCTION("""COMPUTED_VALUE"""),"Arun")</f>
        <v>Arun</v>
      </c>
      <c r="H302" s="7"/>
      <c r="I302" s="7"/>
      <c r="J302" s="7"/>
      <c r="K302" s="7"/>
      <c r="L302" s="7"/>
      <c r="M302" s="7"/>
    </row>
    <row r="303">
      <c r="A303" s="11">
        <f>IFERROR(__xludf.DUMMYFUNCTION("""COMPUTED_VALUE"""),45168.633023796305)</f>
        <v>45168.63302</v>
      </c>
      <c r="B303" s="7"/>
      <c r="C303" s="7" t="str">
        <f>IFERROR(__xludf.DUMMYFUNCTION("""COMPUTED_VALUE"""),"Warehouse Project 2023")</f>
        <v>Warehouse Project 2023</v>
      </c>
      <c r="D303" s="14">
        <f>IFERROR(__xludf.DUMMYFUNCTION("""COMPUTED_VALUE"""),45248.0)</f>
        <v>45248</v>
      </c>
      <c r="E303" s="7" t="str">
        <f>IFERROR(__xludf.DUMMYFUNCTION("""COMPUTED_VALUE"""),"Large (Open Air Festival, Boiler Room Streaming)")</f>
        <v>Large (Open Air Festival, Boiler Room Streaming)</v>
      </c>
      <c r="F303" s="7">
        <f>IFERROR(__xludf.DUMMYFUNCTION("""COMPUTED_VALUE"""),284.0)</f>
        <v>284</v>
      </c>
      <c r="G303" s="7" t="str">
        <f>IFERROR(__xludf.DUMMYFUNCTION("""COMPUTED_VALUE"""),"Arun")</f>
        <v>Arun</v>
      </c>
      <c r="H303" s="7"/>
      <c r="I303" s="7"/>
      <c r="J303" s="7"/>
      <c r="K303" s="7"/>
      <c r="L303" s="7"/>
      <c r="M303" s="7"/>
    </row>
    <row r="304">
      <c r="A304" s="11">
        <f>IFERROR(__xludf.DUMMYFUNCTION("""COMPUTED_VALUE"""),45190.660916249995)</f>
        <v>45190.66092</v>
      </c>
      <c r="B304" s="7"/>
      <c r="C304" s="7" t="str">
        <f>IFERROR(__xludf.DUMMYFUNCTION("""COMPUTED_VALUE"""),"Mirrored Cosmos NOW Gallery 2023")</f>
        <v>Mirrored Cosmos NOW Gallery 2023</v>
      </c>
      <c r="D304" s="14">
        <f>IFERROR(__xludf.DUMMYFUNCTION("""COMPUTED_VALUE"""),45189.0)</f>
        <v>45189</v>
      </c>
      <c r="E304" s="7" t="str">
        <f>IFERROR(__xludf.DUMMYFUNCTION("""COMPUTED_VALUE"""),"Small (Bar, Exhibitions, Charity Events, Restaurants)")</f>
        <v>Small (Bar, Exhibitions, Charity Events, Restaurants)</v>
      </c>
      <c r="F304" s="7">
        <f>IFERROR(__xludf.DUMMYFUNCTION("""COMPUTED_VALUE"""),218.0)</f>
        <v>218</v>
      </c>
      <c r="G304" s="7" t="str">
        <f>IFERROR(__xludf.DUMMYFUNCTION("""COMPUTED_VALUE"""),"Arun")</f>
        <v>Arun</v>
      </c>
      <c r="H304" s="7"/>
      <c r="I304" s="7"/>
      <c r="J304" s="7"/>
      <c r="K304" s="7"/>
      <c r="L304" s="7"/>
      <c r="M304" s="7"/>
    </row>
    <row r="305">
      <c r="A305" s="11">
        <f>IFERROR(__xludf.DUMMYFUNCTION("""COMPUTED_VALUE"""),45190.66118368056)</f>
        <v>45190.66118</v>
      </c>
      <c r="B305" s="7"/>
      <c r="C305" s="7" t="str">
        <f>IFERROR(__xludf.DUMMYFUNCTION("""COMPUTED_VALUE"""),"Mirrored Cosmos NOW Gallery 2023")</f>
        <v>Mirrored Cosmos NOW Gallery 2023</v>
      </c>
      <c r="D305" s="14">
        <f>IFERROR(__xludf.DUMMYFUNCTION("""COMPUTED_VALUE"""),45189.0)</f>
        <v>45189</v>
      </c>
      <c r="E305" s="7" t="str">
        <f>IFERROR(__xludf.DUMMYFUNCTION("""COMPUTED_VALUE"""),"Small (Bar, Exhibitions, Charity Events, Restaurants)")</f>
        <v>Small (Bar, Exhibitions, Charity Events, Restaurants)</v>
      </c>
      <c r="F305" s="7">
        <f>IFERROR(__xludf.DUMMYFUNCTION("""COMPUTED_VALUE"""),278.0)</f>
        <v>278</v>
      </c>
      <c r="G305" s="7" t="str">
        <f>IFERROR(__xludf.DUMMYFUNCTION("""COMPUTED_VALUE"""),"Arun")</f>
        <v>Arun</v>
      </c>
      <c r="H305" s="7"/>
      <c r="I305" s="7"/>
      <c r="J305" s="7"/>
      <c r="K305" s="7"/>
      <c r="L305" s="7"/>
      <c r="M305" s="7"/>
    </row>
    <row r="306">
      <c r="A306" s="11">
        <f>IFERROR(__xludf.DUMMYFUNCTION("""COMPUTED_VALUE"""),45191.519725486105)</f>
        <v>45191.51973</v>
      </c>
      <c r="B306" s="7"/>
      <c r="C306" s="7" t="str">
        <f>IFERROR(__xludf.DUMMYFUNCTION("""COMPUTED_VALUE"""),"Skate Lates Somerset House Dec 2023")</f>
        <v>Skate Lates Somerset House Dec 2023</v>
      </c>
      <c r="D306" s="14">
        <f>IFERROR(__xludf.DUMMYFUNCTION("""COMPUTED_VALUE"""),45273.0)</f>
        <v>45273</v>
      </c>
      <c r="E306" s="7" t="str">
        <f>IFERROR(__xludf.DUMMYFUNCTION("""COMPUTED_VALUE"""),"Small (Bar, Exhibitions, Charity Events, Restaurants)")</f>
        <v>Small (Bar, Exhibitions, Charity Events, Restaurants)</v>
      </c>
      <c r="F306" s="7">
        <f>IFERROR(__xludf.DUMMYFUNCTION("""COMPUTED_VALUE"""),397.0)</f>
        <v>397</v>
      </c>
      <c r="G306" s="7" t="str">
        <f>IFERROR(__xludf.DUMMYFUNCTION("""COMPUTED_VALUE"""),"Arun")</f>
        <v>Arun</v>
      </c>
      <c r="H306" s="7"/>
      <c r="I306" s="7"/>
      <c r="J306" s="7"/>
      <c r="K306" s="7"/>
      <c r="L306" s="7"/>
      <c r="M306" s="7"/>
    </row>
    <row r="307">
      <c r="A307" s="11">
        <f>IFERROR(__xludf.DUMMYFUNCTION("""COMPUTED_VALUE"""),45191.52004356482)</f>
        <v>45191.52004</v>
      </c>
      <c r="B307" s="7"/>
      <c r="C307" s="7" t="str">
        <f>IFERROR(__xludf.DUMMYFUNCTION("""COMPUTED_VALUE"""),"Skate Lates Somerset House Dec 2023")</f>
        <v>Skate Lates Somerset House Dec 2023</v>
      </c>
      <c r="D307" s="14">
        <f>IFERROR(__xludf.DUMMYFUNCTION("""COMPUTED_VALUE"""),45273.0)</f>
        <v>45273</v>
      </c>
      <c r="E307" s="7" t="str">
        <f>IFERROR(__xludf.DUMMYFUNCTION("""COMPUTED_VALUE"""),"Small (Bar, Exhibitions, Charity Events, Restaurants)")</f>
        <v>Small (Bar, Exhibitions, Charity Events, Restaurants)</v>
      </c>
      <c r="F307" s="7">
        <f>IFERROR(__xludf.DUMMYFUNCTION("""COMPUTED_VALUE"""),398.0)</f>
        <v>398</v>
      </c>
      <c r="G307" s="7" t="str">
        <f>IFERROR(__xludf.DUMMYFUNCTION("""COMPUTED_VALUE"""),"Arun")</f>
        <v>Arun</v>
      </c>
      <c r="H307" s="7"/>
      <c r="I307" s="7"/>
      <c r="J307" s="7"/>
      <c r="K307" s="7"/>
      <c r="L307" s="7"/>
      <c r="M307" s="7"/>
    </row>
    <row r="308">
      <c r="A308" s="11">
        <f>IFERROR(__xludf.DUMMYFUNCTION("""COMPUTED_VALUE"""),45203.75770482639)</f>
        <v>45203.7577</v>
      </c>
      <c r="B308" s="7"/>
      <c r="C308" s="7" t="str">
        <f>IFERROR(__xludf.DUMMYFUNCTION("""COMPUTED_VALUE"""),"Science Gallery London: Machine Mythologies Oct 2023")</f>
        <v>Science Gallery London: Machine Mythologies Oct 2023</v>
      </c>
      <c r="D308" s="14">
        <f>IFERROR(__xludf.DUMMYFUNCTION("""COMPUTED_VALUE"""),45205.0)</f>
        <v>45205</v>
      </c>
      <c r="E308" s="7" t="str">
        <f>IFERROR(__xludf.DUMMYFUNCTION("""COMPUTED_VALUE"""),"Small (Bar, Exhibitions, Charity Events, Restaurants)")</f>
        <v>Small (Bar, Exhibitions, Charity Events, Restaurants)</v>
      </c>
      <c r="F308" s="7">
        <f>IFERROR(__xludf.DUMMYFUNCTION("""COMPUTED_VALUE"""),205.0)</f>
        <v>205</v>
      </c>
      <c r="G308" s="7" t="str">
        <f>IFERROR(__xludf.DUMMYFUNCTION("""COMPUTED_VALUE"""),"Arun")</f>
        <v>Arun</v>
      </c>
      <c r="H308" s="7"/>
      <c r="I308" s="7"/>
      <c r="J308" s="7"/>
      <c r="K308" s="7"/>
      <c r="L308" s="7"/>
      <c r="M308" s="7"/>
    </row>
    <row r="309">
      <c r="A309" s="11">
        <f>IFERROR(__xludf.DUMMYFUNCTION("""COMPUTED_VALUE"""),45236.47129722222)</f>
        <v>45236.4713</v>
      </c>
      <c r="B309" s="7"/>
      <c r="C309" s="7" t="str">
        <f>IFERROR(__xludf.DUMMYFUNCTION("""COMPUTED_VALUE"""),"The World Transformed 2023")</f>
        <v>The World Transformed 2023</v>
      </c>
      <c r="D309" s="14">
        <f>IFERROR(__xludf.DUMMYFUNCTION("""COMPUTED_VALUE"""),45209.0)</f>
        <v>45209</v>
      </c>
      <c r="E309" s="7" t="str">
        <f>IFERROR(__xludf.DUMMYFUNCTION("""COMPUTED_VALUE"""),"Small (Bar, Exhibitions, Charity Events, Restaurants)")</f>
        <v>Small (Bar, Exhibitions, Charity Events, Restaurants)</v>
      </c>
      <c r="F309" s="7">
        <f>IFERROR(__xludf.DUMMYFUNCTION("""COMPUTED_VALUE"""),264.0)</f>
        <v>264</v>
      </c>
      <c r="G309" s="7" t="str">
        <f>IFERROR(__xludf.DUMMYFUNCTION("""COMPUTED_VALUE"""),"Arun")</f>
        <v>Arun</v>
      </c>
      <c r="H309" s="7"/>
      <c r="I309" s="7"/>
      <c r="J309" s="7"/>
      <c r="K309" s="7"/>
      <c r="L309" s="7"/>
      <c r="M309" s="7"/>
    </row>
    <row r="310">
      <c r="A310" s="11">
        <f>IFERROR(__xludf.DUMMYFUNCTION("""COMPUTED_VALUE"""),45236.471758726846)</f>
        <v>45236.47176</v>
      </c>
      <c r="B310" s="7"/>
      <c r="C310" s="7" t="str">
        <f>IFERROR(__xludf.DUMMYFUNCTION("""COMPUTED_VALUE"""),"The World Transformed")</f>
        <v>The World Transformed</v>
      </c>
      <c r="D310" s="14">
        <f>IFERROR(__xludf.DUMMYFUNCTION("""COMPUTED_VALUE"""),45209.0)</f>
        <v>45209</v>
      </c>
      <c r="E310" s="7" t="str">
        <f>IFERROR(__xludf.DUMMYFUNCTION("""COMPUTED_VALUE"""),"Small (Bar, Exhibitions, Charity Events, Restaurants)")</f>
        <v>Small (Bar, Exhibitions, Charity Events, Restaurants)</v>
      </c>
      <c r="F310" s="7">
        <f>IFERROR(__xludf.DUMMYFUNCTION("""COMPUTED_VALUE"""),319.0)</f>
        <v>319</v>
      </c>
      <c r="G310" s="7" t="str">
        <f>IFERROR(__xludf.DUMMYFUNCTION("""COMPUTED_VALUE"""),"Arun")</f>
        <v>Arun</v>
      </c>
      <c r="H310" s="7"/>
      <c r="I310" s="7"/>
      <c r="J310" s="7"/>
      <c r="K310" s="7"/>
      <c r="L310" s="7"/>
      <c r="M310" s="7"/>
    </row>
    <row r="311">
      <c r="A311" s="11">
        <f>IFERROR(__xludf.DUMMYFUNCTION("""COMPUTED_VALUE"""),45236.472655289355)</f>
        <v>45236.47266</v>
      </c>
      <c r="B311" s="7"/>
      <c r="C311" s="7" t="str">
        <f>IFERROR(__xludf.DUMMYFUNCTION("""COMPUTED_VALUE"""),"The World Transformed 2023")</f>
        <v>The World Transformed 2023</v>
      </c>
      <c r="D311" s="14">
        <f>IFERROR(__xludf.DUMMYFUNCTION("""COMPUTED_VALUE"""),45209.0)</f>
        <v>45209</v>
      </c>
      <c r="E311" s="7" t="str">
        <f>IFERROR(__xludf.DUMMYFUNCTION("""COMPUTED_VALUE"""),"Small (Bar, Exhibitions, Charity Events, Restaurants)")</f>
        <v>Small (Bar, Exhibitions, Charity Events, Restaurants)</v>
      </c>
      <c r="F311" s="7">
        <f>IFERROR(__xludf.DUMMYFUNCTION("""COMPUTED_VALUE"""),400.0)</f>
        <v>400</v>
      </c>
      <c r="G311" s="7" t="str">
        <f>IFERROR(__xludf.DUMMYFUNCTION("""COMPUTED_VALUE"""),"Arun")</f>
        <v>Arun</v>
      </c>
      <c r="H311" s="7"/>
      <c r="I311" s="7"/>
      <c r="J311" s="7"/>
      <c r="K311" s="7"/>
      <c r="L311" s="7"/>
      <c r="M311" s="7"/>
    </row>
    <row r="312">
      <c r="A312" s="11">
        <f>IFERROR(__xludf.DUMMYFUNCTION("""COMPUTED_VALUE"""),45236.473918599535)</f>
        <v>45236.47392</v>
      </c>
      <c r="B312" s="7"/>
      <c r="C312" s="7" t="str">
        <f>IFERROR(__xludf.DUMMYFUNCTION("""COMPUTED_VALUE"""),"Science Gallery Lates: Nov 2023")</f>
        <v>Science Gallery Lates: Nov 2023</v>
      </c>
      <c r="D312" s="14">
        <f>IFERROR(__xludf.DUMMYFUNCTION("""COMPUTED_VALUE"""),45216.0)</f>
        <v>45216</v>
      </c>
      <c r="E312" s="7" t="str">
        <f>IFERROR(__xludf.DUMMYFUNCTION("""COMPUTED_VALUE"""),"Small (Bar, Exhibitions, Charity Events, Restaurants)")</f>
        <v>Small (Bar, Exhibitions, Charity Events, Restaurants)</v>
      </c>
      <c r="F312" s="7">
        <f>IFERROR(__xludf.DUMMYFUNCTION("""COMPUTED_VALUE"""),246.0)</f>
        <v>246</v>
      </c>
      <c r="G312" s="7" t="str">
        <f>IFERROR(__xludf.DUMMYFUNCTION("""COMPUTED_VALUE"""),"Arun")</f>
        <v>Arun</v>
      </c>
      <c r="H312" s="7"/>
      <c r="I312" s="7"/>
      <c r="J312" s="7"/>
      <c r="K312" s="7"/>
      <c r="L312" s="7"/>
      <c r="M312" s="7"/>
    </row>
    <row r="313">
      <c r="A313" s="11">
        <f>IFERROR(__xludf.DUMMYFUNCTION("""COMPUTED_VALUE"""),45265.46018369213)</f>
        <v>45265.46018</v>
      </c>
      <c r="B313" s="7"/>
      <c r="C313" s="7" t="str">
        <f>IFERROR(__xludf.DUMMYFUNCTION("""COMPUTED_VALUE"""),"Earth Hackney Dec 2023")</f>
        <v>Earth Hackney Dec 2023</v>
      </c>
      <c r="D313" s="14">
        <f>IFERROR(__xludf.DUMMYFUNCTION("""COMPUTED_VALUE"""),45262.0)</f>
        <v>45262</v>
      </c>
      <c r="E313" s="7" t="str">
        <f>IFERROR(__xludf.DUMMYFUNCTION("""COMPUTED_VALUE"""),"Medium (Medium Sized Club, Corsica, Fabric etc)")</f>
        <v>Medium (Medium Sized Club, Corsica, Fabric etc)</v>
      </c>
      <c r="F313" s="7">
        <f>IFERROR(__xludf.DUMMYFUNCTION("""COMPUTED_VALUE"""),369.0)</f>
        <v>369</v>
      </c>
      <c r="G313" s="7" t="str">
        <f>IFERROR(__xludf.DUMMYFUNCTION("""COMPUTED_VALUE"""),"Arun")</f>
        <v>Arun</v>
      </c>
      <c r="H313" s="7"/>
      <c r="I313" s="7"/>
      <c r="J313" s="7"/>
      <c r="K313" s="7"/>
      <c r="L313" s="7"/>
      <c r="M313" s="7"/>
    </row>
    <row r="314">
      <c r="A314" s="11">
        <f>IFERROR(__xludf.DUMMYFUNCTION("""COMPUTED_VALUE"""),45265.461520428245)</f>
        <v>45265.46152</v>
      </c>
      <c r="B314" s="7"/>
      <c r="C314" s="7" t="str">
        <f>IFERROR(__xludf.DUMMYFUNCTION("""COMPUTED_VALUE"""),"Earth Hackney Dec 2023")</f>
        <v>Earth Hackney Dec 2023</v>
      </c>
      <c r="D314" s="14">
        <f>IFERROR(__xludf.DUMMYFUNCTION("""COMPUTED_VALUE"""),45262.0)</f>
        <v>45262</v>
      </c>
      <c r="E314" s="7" t="str">
        <f>IFERROR(__xludf.DUMMYFUNCTION("""COMPUTED_VALUE"""),"Medium (Medium Sized Club, Corsica, Fabric etc)")</f>
        <v>Medium (Medium Sized Club, Corsica, Fabric etc)</v>
      </c>
      <c r="F314" s="7">
        <f>IFERROR(__xludf.DUMMYFUNCTION("""COMPUTED_VALUE"""),401.0)</f>
        <v>401</v>
      </c>
      <c r="G314" s="7" t="str">
        <f>IFERROR(__xludf.DUMMYFUNCTION("""COMPUTED_VALUE"""),"Arun")</f>
        <v>Arun</v>
      </c>
      <c r="H314" s="7"/>
      <c r="I314" s="7"/>
      <c r="J314" s="7"/>
      <c r="K314" s="7"/>
      <c r="L314" s="7"/>
      <c r="M314" s="7"/>
    </row>
    <row r="315">
      <c r="A315" s="11">
        <f>IFERROR(__xludf.DUMMYFUNCTION("""COMPUTED_VALUE"""),45265.462330347225)</f>
        <v>45265.46233</v>
      </c>
      <c r="B315" s="7"/>
      <c r="C315" s="7" t="str">
        <f>IFERROR(__xludf.DUMMYFUNCTION("""COMPUTED_VALUE"""),"Earth Hackney Dec 2023")</f>
        <v>Earth Hackney Dec 2023</v>
      </c>
      <c r="D315" s="14">
        <f>IFERROR(__xludf.DUMMYFUNCTION("""COMPUTED_VALUE"""),45262.0)</f>
        <v>45262</v>
      </c>
      <c r="E315" s="7" t="str">
        <f>IFERROR(__xludf.DUMMYFUNCTION("""COMPUTED_VALUE"""),"Medium (Medium Sized Club, Corsica, Fabric etc)")</f>
        <v>Medium (Medium Sized Club, Corsica, Fabric etc)</v>
      </c>
      <c r="F315" s="7">
        <f>IFERROR(__xludf.DUMMYFUNCTION("""COMPUTED_VALUE"""),402.0)</f>
        <v>402</v>
      </c>
      <c r="G315" s="7" t="str">
        <f>IFERROR(__xludf.DUMMYFUNCTION("""COMPUTED_VALUE"""),"Arun")</f>
        <v>Arun</v>
      </c>
      <c r="H315" s="7"/>
      <c r="I315" s="7"/>
      <c r="J315" s="7"/>
      <c r="K315" s="7"/>
      <c r="L315" s="7"/>
      <c r="M315" s="7"/>
    </row>
    <row r="316">
      <c r="A316" s="11">
        <f>IFERROR(__xludf.DUMMYFUNCTION("""COMPUTED_VALUE"""),45265.462923356485)</f>
        <v>45265.46292</v>
      </c>
      <c r="B316" s="7"/>
      <c r="C316" s="7" t="str">
        <f>IFERROR(__xludf.DUMMYFUNCTION("""COMPUTED_VALUE"""),"Earth Hackney December 2023")</f>
        <v>Earth Hackney December 2023</v>
      </c>
      <c r="D316" s="14">
        <f>IFERROR(__xludf.DUMMYFUNCTION("""COMPUTED_VALUE"""),45262.0)</f>
        <v>45262</v>
      </c>
      <c r="E316" s="7" t="str">
        <f>IFERROR(__xludf.DUMMYFUNCTION("""COMPUTED_VALUE"""),"Medium (Medium Sized Club, Corsica, Fabric etc)")</f>
        <v>Medium (Medium Sized Club, Corsica, Fabric etc)</v>
      </c>
      <c r="F316" s="7">
        <f>IFERROR(__xludf.DUMMYFUNCTION("""COMPUTED_VALUE"""),403.0)</f>
        <v>403</v>
      </c>
      <c r="G316" s="7" t="str">
        <f>IFERROR(__xludf.DUMMYFUNCTION("""COMPUTED_VALUE"""),"Arun")</f>
        <v>Arun</v>
      </c>
      <c r="H316" s="7"/>
      <c r="I316" s="7"/>
      <c r="J316" s="7"/>
      <c r="K316" s="7"/>
      <c r="L316" s="7"/>
      <c r="M316" s="7"/>
    </row>
    <row r="317">
      <c r="A317" s="11">
        <f>IFERROR(__xludf.DUMMYFUNCTION("""COMPUTED_VALUE"""),45265.46373310185)</f>
        <v>45265.46373</v>
      </c>
      <c r="B317" s="7"/>
      <c r="C317" s="7" t="str">
        <f>IFERROR(__xludf.DUMMYFUNCTION("""COMPUTED_VALUE"""),"Earth Hackney Dec 2023")</f>
        <v>Earth Hackney Dec 2023</v>
      </c>
      <c r="D317" s="14">
        <f>IFERROR(__xludf.DUMMYFUNCTION("""COMPUTED_VALUE"""),45262.0)</f>
        <v>45262</v>
      </c>
      <c r="E317" s="7" t="str">
        <f>IFERROR(__xludf.DUMMYFUNCTION("""COMPUTED_VALUE"""),"Medium (Medium Sized Club, Corsica, Fabric etc)")</f>
        <v>Medium (Medium Sized Club, Corsica, Fabric etc)</v>
      </c>
      <c r="F317" s="7">
        <f>IFERROR(__xludf.DUMMYFUNCTION("""COMPUTED_VALUE"""),404.0)</f>
        <v>404</v>
      </c>
      <c r="G317" s="7" t="str">
        <f>IFERROR(__xludf.DUMMYFUNCTION("""COMPUTED_VALUE"""),"Arun")</f>
        <v>Arun</v>
      </c>
      <c r="H317" s="7"/>
      <c r="I317" s="7"/>
      <c r="J317" s="7"/>
      <c r="K317" s="7"/>
      <c r="L317" s="7"/>
      <c r="M317" s="7"/>
    </row>
    <row r="318">
      <c r="A318" s="11">
        <f>IFERROR(__xludf.DUMMYFUNCTION("""COMPUTED_VALUE"""),45265.464553784725)</f>
        <v>45265.46455</v>
      </c>
      <c r="B318" s="7"/>
      <c r="C318" s="7" t="str">
        <f>IFERROR(__xludf.DUMMYFUNCTION("""COMPUTED_VALUE"""),"Earth Hackney Dec 2023")</f>
        <v>Earth Hackney Dec 2023</v>
      </c>
      <c r="D318" s="14">
        <f>IFERROR(__xludf.DUMMYFUNCTION("""COMPUTED_VALUE"""),45262.0)</f>
        <v>45262</v>
      </c>
      <c r="E318" s="7" t="str">
        <f>IFERROR(__xludf.DUMMYFUNCTION("""COMPUTED_VALUE"""),"Medium (Medium Sized Club, Corsica, Fabric etc)")</f>
        <v>Medium (Medium Sized Club, Corsica, Fabric etc)</v>
      </c>
      <c r="F318" s="7">
        <f>IFERROR(__xludf.DUMMYFUNCTION("""COMPUTED_VALUE"""),405.0)</f>
        <v>405</v>
      </c>
      <c r="G318" s="7" t="str">
        <f>IFERROR(__xludf.DUMMYFUNCTION("""COMPUTED_VALUE"""),"Arun")</f>
        <v>Arun</v>
      </c>
      <c r="H318" s="7"/>
      <c r="I318" s="7"/>
      <c r="J318" s="7"/>
      <c r="K318" s="7"/>
      <c r="L318" s="7"/>
      <c r="M318" s="7"/>
    </row>
    <row r="319">
      <c r="A319" s="11">
        <f>IFERROR(__xludf.DUMMYFUNCTION("""COMPUTED_VALUE"""),45265.46494715278)</f>
        <v>45265.46495</v>
      </c>
      <c r="B319" s="7"/>
      <c r="C319" s="7" t="str">
        <f>IFERROR(__xludf.DUMMYFUNCTION("""COMPUTED_VALUE"""),"Earth Hackney Dec 2023")</f>
        <v>Earth Hackney Dec 2023</v>
      </c>
      <c r="D319" s="14">
        <f>IFERROR(__xludf.DUMMYFUNCTION("""COMPUTED_VALUE"""),45262.0)</f>
        <v>45262</v>
      </c>
      <c r="E319" s="7" t="str">
        <f>IFERROR(__xludf.DUMMYFUNCTION("""COMPUTED_VALUE"""),"Medium (Medium Sized Club, Corsica, Fabric etc)")</f>
        <v>Medium (Medium Sized Club, Corsica, Fabric etc)</v>
      </c>
      <c r="F319" s="7">
        <f>IFERROR(__xludf.DUMMYFUNCTION("""COMPUTED_VALUE"""),341.0)</f>
        <v>341</v>
      </c>
      <c r="G319" s="7" t="str">
        <f>IFERROR(__xludf.DUMMYFUNCTION("""COMPUTED_VALUE"""),"Arun")</f>
        <v>Arun</v>
      </c>
      <c r="H319" s="7"/>
      <c r="I319" s="7"/>
      <c r="J319" s="7"/>
      <c r="K319" s="7"/>
      <c r="L319" s="7"/>
      <c r="M319" s="7"/>
    </row>
    <row r="320">
      <c r="A320" s="11">
        <f>IFERROR(__xludf.DUMMYFUNCTION("""COMPUTED_VALUE"""),45321.86814328704)</f>
        <v>45321.86814</v>
      </c>
      <c r="B320" s="7"/>
      <c r="C320" s="7" t="str">
        <f>IFERROR(__xludf.DUMMYFUNCTION("""COMPUTED_VALUE"""),"test event")</f>
        <v>test event</v>
      </c>
      <c r="D320" s="14">
        <f>IFERROR(__xludf.DUMMYFUNCTION("""COMPUTED_VALUE"""),35065.0)</f>
        <v>35065</v>
      </c>
      <c r="E320" s="7" t="str">
        <f>IFERROR(__xludf.DUMMYFUNCTION("""COMPUTED_VALUE"""),"Medium (Medium Sized Club, Corsica, Fabric etc)")</f>
        <v>Medium (Medium Sized Club, Corsica, Fabric etc)</v>
      </c>
      <c r="F320" s="7">
        <f>IFERROR(__xludf.DUMMYFUNCTION("""COMPUTED_VALUE"""),411.0)</f>
        <v>411</v>
      </c>
      <c r="G320" s="7" t="str">
        <f>IFERROR(__xludf.DUMMYFUNCTION("""COMPUTED_VALUE"""),"Arun")</f>
        <v>Arun</v>
      </c>
      <c r="H320" s="7"/>
      <c r="I320" s="7"/>
      <c r="J320" s="7"/>
      <c r="K320" s="7"/>
      <c r="L320" s="7"/>
      <c r="M320" s="7"/>
    </row>
    <row r="321">
      <c r="A321" s="11">
        <f>IFERROR(__xludf.DUMMYFUNCTION("""COMPUTED_VALUE"""),45336.5313612963)</f>
        <v>45336.53136</v>
      </c>
      <c r="B321" s="7"/>
      <c r="C321" s="7" t="str">
        <f>IFERROR(__xludf.DUMMYFUNCTION("""COMPUTED_VALUE"""),"DT x NDR Versus ")</f>
        <v>DT x NDR Versus </v>
      </c>
      <c r="D321" s="14">
        <f>IFERROR(__xludf.DUMMYFUNCTION("""COMPUTED_VALUE"""),45325.0)</f>
        <v>45325</v>
      </c>
      <c r="E321" s="7" t="str">
        <f>IFERROR(__xludf.DUMMYFUNCTION("""COMPUTED_VALUE"""),"Small (Bar, Exhibitions, Charity Events, Restaurants)")</f>
        <v>Small (Bar, Exhibitions, Charity Events, Restaurants)</v>
      </c>
      <c r="F321" s="7">
        <f>IFERROR(__xludf.DUMMYFUNCTION("""COMPUTED_VALUE"""),358.0)</f>
        <v>358</v>
      </c>
      <c r="G321" s="7" t="str">
        <f>IFERROR(__xludf.DUMMYFUNCTION("""COMPUTED_VALUE"""),"Arun")</f>
        <v>Arun</v>
      </c>
      <c r="H321" s="7"/>
      <c r="I321" s="7"/>
      <c r="J321" s="7"/>
      <c r="K321" s="7"/>
      <c r="L321" s="7"/>
      <c r="M321" s="7"/>
    </row>
    <row r="322">
      <c r="A322" s="11">
        <f>IFERROR(__xludf.DUMMYFUNCTION("""COMPUTED_VALUE"""),45336.531713275464)</f>
        <v>45336.53171</v>
      </c>
      <c r="B322" s="7"/>
      <c r="C322" s="7" t="str">
        <f>IFERROR(__xludf.DUMMYFUNCTION("""COMPUTED_VALUE"""),"DT X NDR Versus")</f>
        <v>DT X NDR Versus</v>
      </c>
      <c r="D322" s="14">
        <f>IFERROR(__xludf.DUMMYFUNCTION("""COMPUTED_VALUE"""),45325.0)</f>
        <v>45325</v>
      </c>
      <c r="E322" s="7" t="str">
        <f>IFERROR(__xludf.DUMMYFUNCTION("""COMPUTED_VALUE"""),"Small (Bar, Exhibitions, Charity Events, Restaurants)")</f>
        <v>Small (Bar, Exhibitions, Charity Events, Restaurants)</v>
      </c>
      <c r="F322" s="7">
        <f>IFERROR(__xludf.DUMMYFUNCTION("""COMPUTED_VALUE"""),278.0)</f>
        <v>278</v>
      </c>
      <c r="G322" s="7" t="str">
        <f>IFERROR(__xludf.DUMMYFUNCTION("""COMPUTED_VALUE"""),"Arun")</f>
        <v>Arun</v>
      </c>
      <c r="H322" s="7"/>
      <c r="I322" s="7"/>
      <c r="J322" s="7"/>
      <c r="K322" s="7"/>
      <c r="L322" s="7"/>
      <c r="M322" s="7"/>
    </row>
    <row r="323">
      <c r="A323" s="11">
        <f>IFERROR(__xludf.DUMMYFUNCTION("""COMPUTED_VALUE"""),45336.53206480324)</f>
        <v>45336.53206</v>
      </c>
      <c r="B323" s="7"/>
      <c r="C323" s="7" t="str">
        <f>IFERROR(__xludf.DUMMYFUNCTION("""COMPUTED_VALUE"""),"DT x NDR Versus")</f>
        <v>DT x NDR Versus</v>
      </c>
      <c r="D323" s="14">
        <f>IFERROR(__xludf.DUMMYFUNCTION("""COMPUTED_VALUE"""),45325.0)</f>
        <v>45325</v>
      </c>
      <c r="E323" s="7" t="str">
        <f>IFERROR(__xludf.DUMMYFUNCTION("""COMPUTED_VALUE"""),"Small (Bar, Exhibitions, Charity Events, Restaurants)")</f>
        <v>Small (Bar, Exhibitions, Charity Events, Restaurants)</v>
      </c>
      <c r="F323" s="7">
        <f>IFERROR(__xludf.DUMMYFUNCTION("""COMPUTED_VALUE"""),255.0)</f>
        <v>255</v>
      </c>
      <c r="G323" s="7" t="str">
        <f>IFERROR(__xludf.DUMMYFUNCTION("""COMPUTED_VALUE"""),"Arun")</f>
        <v>Arun</v>
      </c>
      <c r="H323" s="7"/>
      <c r="I323" s="7"/>
      <c r="J323" s="7"/>
      <c r="K323" s="7"/>
      <c r="L323" s="7"/>
      <c r="M323" s="7"/>
    </row>
    <row r="324">
      <c r="A324" s="11">
        <f>IFERROR(__xludf.DUMMYFUNCTION("""COMPUTED_VALUE"""),45336.53236723379)</f>
        <v>45336.53237</v>
      </c>
      <c r="B324" s="7"/>
      <c r="C324" s="7" t="str">
        <f>IFERROR(__xludf.DUMMYFUNCTION("""COMPUTED_VALUE"""),"DT x NDR Versus")</f>
        <v>DT x NDR Versus</v>
      </c>
      <c r="D324" s="14">
        <f>IFERROR(__xludf.DUMMYFUNCTION("""COMPUTED_VALUE"""),45325.0)</f>
        <v>45325</v>
      </c>
      <c r="E324" s="7" t="str">
        <f>IFERROR(__xludf.DUMMYFUNCTION("""COMPUTED_VALUE"""),"Small (Bar, Exhibitions, Charity Events, Restaurants)")</f>
        <v>Small (Bar, Exhibitions, Charity Events, Restaurants)</v>
      </c>
      <c r="F324" s="7">
        <f>IFERROR(__xludf.DUMMYFUNCTION("""COMPUTED_VALUE"""),386.0)</f>
        <v>386</v>
      </c>
      <c r="G324" s="7" t="str">
        <f>IFERROR(__xludf.DUMMYFUNCTION("""COMPUTED_VALUE"""),"Arun")</f>
        <v>Arun</v>
      </c>
      <c r="H324" s="7"/>
      <c r="I324" s="7"/>
      <c r="J324" s="7"/>
      <c r="K324" s="7"/>
      <c r="L324" s="7"/>
      <c r="M324" s="7"/>
    </row>
    <row r="325">
      <c r="A325" s="11">
        <f>IFERROR(__xludf.DUMMYFUNCTION("""COMPUTED_VALUE"""),45348.58703939815)</f>
        <v>45348.58704</v>
      </c>
      <c r="B325" s="7"/>
      <c r="C325" s="7" t="str">
        <f>IFERROR(__xludf.DUMMYFUNCTION("""COMPUTED_VALUE"""),"Jazz Cafe")</f>
        <v>Jazz Cafe</v>
      </c>
      <c r="D325" s="14">
        <f>IFERROR(__xludf.DUMMYFUNCTION("""COMPUTED_VALUE"""),45401.0)</f>
        <v>45401</v>
      </c>
      <c r="E325" s="7" t="str">
        <f>IFERROR(__xludf.DUMMYFUNCTION("""COMPUTED_VALUE"""),"Medium (Medium Sized Club, Corsica, Fabric etc)")</f>
        <v>Medium (Medium Sized Club, Corsica, Fabric etc)</v>
      </c>
      <c r="F325" s="7">
        <f>IFERROR(__xludf.DUMMYFUNCTION("""COMPUTED_VALUE"""),367.0)</f>
        <v>367</v>
      </c>
      <c r="G325" s="7" t="str">
        <f>IFERROR(__xludf.DUMMYFUNCTION("""COMPUTED_VALUE"""),"Rosh")</f>
        <v>Rosh</v>
      </c>
      <c r="H325" s="7"/>
      <c r="I325" s="7"/>
      <c r="J325" s="7"/>
      <c r="K325" s="7"/>
      <c r="L325" s="7"/>
      <c r="M325" s="7"/>
    </row>
    <row r="326">
      <c r="A326" s="11">
        <f>IFERROR(__xludf.DUMMYFUNCTION("""COMPUTED_VALUE"""),45399.80997491898)</f>
        <v>45399.80997</v>
      </c>
      <c r="B326" s="7"/>
      <c r="C326" s="7" t="str">
        <f>IFERROR(__xludf.DUMMYFUNCTION("""COMPUTED_VALUE"""),"DAYTIMERS BERLIN")</f>
        <v>DAYTIMERS BERLIN</v>
      </c>
      <c r="D326" s="14">
        <f>IFERROR(__xludf.DUMMYFUNCTION("""COMPUTED_VALUE"""),45395.0)</f>
        <v>45395</v>
      </c>
      <c r="E326" s="7" t="str">
        <f>IFERROR(__xludf.DUMMYFUNCTION("""COMPUTED_VALUE"""),"Medium (Medium Sized Club, Corsica, Fabric etc)")</f>
        <v>Medium (Medium Sized Club, Corsica, Fabric etc)</v>
      </c>
      <c r="F326" s="7">
        <f>IFERROR(__xludf.DUMMYFUNCTION("""COMPUTED_VALUE"""),269.0)</f>
        <v>269</v>
      </c>
      <c r="G326" s="7" t="str">
        <f>IFERROR(__xludf.DUMMYFUNCTION("""COMPUTED_VALUE"""),"Kiran")</f>
        <v>Kiran</v>
      </c>
      <c r="H326" s="7"/>
      <c r="I326" s="7"/>
      <c r="J326" s="7"/>
      <c r="K326" s="7"/>
      <c r="L326" s="7"/>
      <c r="M326" s="7"/>
    </row>
    <row r="327">
      <c r="A327" s="11">
        <f>IFERROR(__xludf.DUMMYFUNCTION("""COMPUTED_VALUE"""),45399.81191148148)</f>
        <v>45399.81191</v>
      </c>
      <c r="B327" s="7"/>
      <c r="C327" s="7" t="str">
        <f>IFERROR(__xludf.DUMMYFUNCTION("""COMPUTED_VALUE"""),"DAYTIMERS BERLIN")</f>
        <v>DAYTIMERS BERLIN</v>
      </c>
      <c r="D327" s="14">
        <f>IFERROR(__xludf.DUMMYFUNCTION("""COMPUTED_VALUE"""),45395.0)</f>
        <v>45395</v>
      </c>
      <c r="E327" s="7" t="str">
        <f>IFERROR(__xludf.DUMMYFUNCTION("""COMPUTED_VALUE"""),"Medium (Medium Sized Club, Corsica, Fabric etc)")</f>
        <v>Medium (Medium Sized Club, Corsica, Fabric etc)</v>
      </c>
      <c r="F327" s="7">
        <f>IFERROR(__xludf.DUMMYFUNCTION("""COMPUTED_VALUE"""),206.0)</f>
        <v>206</v>
      </c>
      <c r="G327" s="7" t="str">
        <f>IFERROR(__xludf.DUMMYFUNCTION("""COMPUTED_VALUE"""),"Kiran")</f>
        <v>Kiran</v>
      </c>
      <c r="H327" s="7"/>
      <c r="I327" s="7"/>
      <c r="J327" s="7"/>
      <c r="K327" s="7"/>
      <c r="L327" s="7"/>
      <c r="M327" s="7"/>
    </row>
    <row r="328">
      <c r="A328" s="11">
        <f>IFERROR(__xludf.DUMMYFUNCTION("""COMPUTED_VALUE"""),45399.812311932874)</f>
        <v>45399.81231</v>
      </c>
      <c r="B328" s="7"/>
      <c r="C328" s="7" t="str">
        <f>IFERROR(__xludf.DUMMYFUNCTION("""COMPUTED_VALUE"""),"DAYTIMERS BERLIN")</f>
        <v>DAYTIMERS BERLIN</v>
      </c>
      <c r="D328" s="14">
        <f>IFERROR(__xludf.DUMMYFUNCTION("""COMPUTED_VALUE"""),45395.0)</f>
        <v>45395</v>
      </c>
      <c r="E328" s="7" t="str">
        <f>IFERROR(__xludf.DUMMYFUNCTION("""COMPUTED_VALUE"""),"Medium (Medium Sized Club, Corsica, Fabric etc)")</f>
        <v>Medium (Medium Sized Club, Corsica, Fabric etc)</v>
      </c>
      <c r="F328" s="7">
        <f>IFERROR(__xludf.DUMMYFUNCTION("""COMPUTED_VALUE"""),211.0)</f>
        <v>211</v>
      </c>
      <c r="G328" s="7" t="str">
        <f>IFERROR(__xludf.DUMMYFUNCTION("""COMPUTED_VALUE"""),"Kiran")</f>
        <v>Kiran</v>
      </c>
      <c r="H328" s="7"/>
      <c r="I328" s="7"/>
      <c r="J328" s="7"/>
      <c r="K328" s="7"/>
      <c r="L328" s="7"/>
      <c r="M328" s="7"/>
    </row>
    <row r="329">
      <c r="A329" s="11">
        <f>IFERROR(__xludf.DUMMYFUNCTION("""COMPUTED_VALUE"""),45399.81282115741)</f>
        <v>45399.81282</v>
      </c>
      <c r="B329" s="7"/>
      <c r="C329" s="7" t="str">
        <f>IFERROR(__xludf.DUMMYFUNCTION("""COMPUTED_VALUE"""),"DAYTIMERS BERLIN")</f>
        <v>DAYTIMERS BERLIN</v>
      </c>
      <c r="D329" s="14">
        <f>IFERROR(__xludf.DUMMYFUNCTION("""COMPUTED_VALUE"""),45395.0)</f>
        <v>45395</v>
      </c>
      <c r="E329" s="7" t="str">
        <f>IFERROR(__xludf.DUMMYFUNCTION("""COMPUTED_VALUE"""),"Medium (Medium Sized Club, Corsica, Fabric etc)")</f>
        <v>Medium (Medium Sized Club, Corsica, Fabric etc)</v>
      </c>
      <c r="F329" s="7">
        <f>IFERROR(__xludf.DUMMYFUNCTION("""COMPUTED_VALUE"""),327.0)</f>
        <v>327</v>
      </c>
      <c r="G329" s="7" t="str">
        <f>IFERROR(__xludf.DUMMYFUNCTION("""COMPUTED_VALUE"""),"Kiran")</f>
        <v>Kiran</v>
      </c>
      <c r="H329" s="7"/>
      <c r="I329" s="7"/>
      <c r="J329" s="7"/>
      <c r="K329" s="7"/>
      <c r="L329" s="7"/>
      <c r="M329" s="7"/>
    </row>
    <row r="330">
      <c r="A330" s="11">
        <f>IFERROR(__xludf.DUMMYFUNCTION("""COMPUTED_VALUE"""),45399.81734067129)</f>
        <v>45399.81734</v>
      </c>
      <c r="B330" s="7"/>
      <c r="C330" s="7" t="str">
        <f>IFERROR(__xludf.DUMMYFUNCTION("""COMPUTED_VALUE"""),"DAYTIMERS BERLIN")</f>
        <v>DAYTIMERS BERLIN</v>
      </c>
      <c r="D330" s="14">
        <f>IFERROR(__xludf.DUMMYFUNCTION("""COMPUTED_VALUE"""),45395.0)</f>
        <v>45395</v>
      </c>
      <c r="E330" s="7" t="str">
        <f>IFERROR(__xludf.DUMMYFUNCTION("""COMPUTED_VALUE"""),"Medium (Medium Sized Club, Corsica, Fabric etc)")</f>
        <v>Medium (Medium Sized Club, Corsica, Fabric etc)</v>
      </c>
      <c r="F330" s="7">
        <f>IFERROR(__xludf.DUMMYFUNCTION("""COMPUTED_VALUE"""),414.0)</f>
        <v>414</v>
      </c>
      <c r="G330" s="7" t="str">
        <f>IFERROR(__xludf.DUMMYFUNCTION("""COMPUTED_VALUE"""),"Kiran")</f>
        <v>Kiran</v>
      </c>
      <c r="H330" s="7"/>
      <c r="I330" s="7"/>
      <c r="J330" s="7"/>
      <c r="K330" s="7"/>
      <c r="L330" s="7"/>
      <c r="M330" s="7"/>
    </row>
    <row r="331">
      <c r="A331" s="11">
        <f>IFERROR(__xludf.DUMMYFUNCTION("""COMPUTED_VALUE"""),45399.81760991898)</f>
        <v>45399.81761</v>
      </c>
      <c r="B331" s="7"/>
      <c r="C331" s="7" t="str">
        <f>IFERROR(__xludf.DUMMYFUNCTION("""COMPUTED_VALUE"""),"DAYTIMERS BERLIN")</f>
        <v>DAYTIMERS BERLIN</v>
      </c>
      <c r="D331" s="14">
        <f>IFERROR(__xludf.DUMMYFUNCTION("""COMPUTED_VALUE"""),45395.0)</f>
        <v>45395</v>
      </c>
      <c r="E331" s="7" t="str">
        <f>IFERROR(__xludf.DUMMYFUNCTION("""COMPUTED_VALUE"""),"Medium (Medium Sized Club, Corsica, Fabric etc)")</f>
        <v>Medium (Medium Sized Club, Corsica, Fabric etc)</v>
      </c>
      <c r="F331" s="7">
        <f>IFERROR(__xludf.DUMMYFUNCTION("""COMPUTED_VALUE"""),415.0)</f>
        <v>415</v>
      </c>
      <c r="G331" s="7" t="str">
        <f>IFERROR(__xludf.DUMMYFUNCTION("""COMPUTED_VALUE"""),"Kiran")</f>
        <v>Kiran</v>
      </c>
      <c r="H331" s="7"/>
      <c r="I331" s="7"/>
      <c r="J331" s="7"/>
      <c r="K331" s="7"/>
      <c r="L331" s="7"/>
      <c r="M331" s="7"/>
    </row>
    <row r="332">
      <c r="A332" s="11">
        <f>IFERROR(__xludf.DUMMYFUNCTION("""COMPUTED_VALUE"""),45399.81803115741)</f>
        <v>45399.81803</v>
      </c>
      <c r="B332" s="7"/>
      <c r="C332" s="7" t="str">
        <f>IFERROR(__xludf.DUMMYFUNCTION("""COMPUTED_VALUE"""),"DAYTIMERS BERLIN")</f>
        <v>DAYTIMERS BERLIN</v>
      </c>
      <c r="D332" s="14">
        <f>IFERROR(__xludf.DUMMYFUNCTION("""COMPUTED_VALUE"""),45395.0)</f>
        <v>45395</v>
      </c>
      <c r="E332" s="7" t="str">
        <f>IFERROR(__xludf.DUMMYFUNCTION("""COMPUTED_VALUE"""),"Medium (Medium Sized Club, Corsica, Fabric etc)")</f>
        <v>Medium (Medium Sized Club, Corsica, Fabric etc)</v>
      </c>
      <c r="F332" s="7">
        <f>IFERROR(__xludf.DUMMYFUNCTION("""COMPUTED_VALUE"""),416.0)</f>
        <v>416</v>
      </c>
      <c r="G332" s="7" t="str">
        <f>IFERROR(__xludf.DUMMYFUNCTION("""COMPUTED_VALUE"""),"Kiran")</f>
        <v>Kiran</v>
      </c>
      <c r="H332" s="7"/>
      <c r="I332" s="7"/>
      <c r="J332" s="7"/>
      <c r="K332" s="7"/>
      <c r="L332" s="7"/>
      <c r="M332" s="7"/>
    </row>
    <row r="333">
      <c r="A333" s="11">
        <f>IFERROR(__xludf.DUMMYFUNCTION("""COMPUTED_VALUE"""),45399.81861703704)</f>
        <v>45399.81862</v>
      </c>
      <c r="B333" s="7"/>
      <c r="C333" s="7" t="str">
        <f>IFERROR(__xludf.DUMMYFUNCTION("""COMPUTED_VALUE"""),"DAYTIMERS BERLIN")</f>
        <v>DAYTIMERS BERLIN</v>
      </c>
      <c r="D333" s="14">
        <f>IFERROR(__xludf.DUMMYFUNCTION("""COMPUTED_VALUE"""),45395.0)</f>
        <v>45395</v>
      </c>
      <c r="E333" s="7" t="str">
        <f>IFERROR(__xludf.DUMMYFUNCTION("""COMPUTED_VALUE"""),"Medium (Medium Sized Club, Corsica, Fabric etc)")</f>
        <v>Medium (Medium Sized Club, Corsica, Fabric etc)</v>
      </c>
      <c r="F333" s="7">
        <f>IFERROR(__xludf.DUMMYFUNCTION("""COMPUTED_VALUE"""),227.0)</f>
        <v>227</v>
      </c>
      <c r="G333" s="7" t="str">
        <f>IFERROR(__xludf.DUMMYFUNCTION("""COMPUTED_VALUE"""),"Kiran")</f>
        <v>Kiran</v>
      </c>
      <c r="H333" s="7"/>
      <c r="I333" s="7"/>
      <c r="J333" s="7"/>
      <c r="K333" s="7"/>
      <c r="L333" s="7"/>
      <c r="M333" s="7"/>
    </row>
    <row r="334">
      <c r="A334" s="11">
        <f>IFERROR(__xludf.DUMMYFUNCTION("""COMPUTED_VALUE"""),45412.501408703705)</f>
        <v>45412.50141</v>
      </c>
      <c r="B334" s="7"/>
      <c r="C334" s="7" t="str">
        <f>IFERROR(__xludf.DUMMYFUNCTION("""COMPUTED_VALUE"""),"Jazz Cafe ")</f>
        <v>Jazz Cafe </v>
      </c>
      <c r="D334" s="14">
        <f>IFERROR(__xludf.DUMMYFUNCTION("""COMPUTED_VALUE"""),45630.0)</f>
        <v>45630</v>
      </c>
      <c r="E334" s="7" t="str">
        <f>IFERROR(__xludf.DUMMYFUNCTION("""COMPUTED_VALUE"""),"Medium (Medium Sized Club, Corsica, Fabric etc)")</f>
        <v>Medium (Medium Sized Club, Corsica, Fabric etc)</v>
      </c>
      <c r="F334" s="7">
        <f>IFERROR(__xludf.DUMMYFUNCTION("""COMPUTED_VALUE"""),411.0)</f>
        <v>411</v>
      </c>
      <c r="G334" s="7" t="str">
        <f>IFERROR(__xludf.DUMMYFUNCTION("""COMPUTED_VALUE"""),"Dhillon")</f>
        <v>Dhillon</v>
      </c>
      <c r="H334" s="7"/>
      <c r="I334" s="7"/>
      <c r="J334" s="7"/>
      <c r="K334" s="7"/>
      <c r="L334" s="7"/>
      <c r="M334" s="7"/>
    </row>
    <row r="335">
      <c r="A335" s="11">
        <f>IFERROR(__xludf.DUMMYFUNCTION("""COMPUTED_VALUE"""),45418.64367385417)</f>
        <v>45418.64367</v>
      </c>
      <c r="B335" s="7"/>
      <c r="C335" s="7" t="str">
        <f>IFERROR(__xludf.DUMMYFUNCTION("""COMPUTED_VALUE"""),"Liberation Squares Press Night")</f>
        <v>Liberation Squares Press Night</v>
      </c>
      <c r="D335" s="14">
        <f>IFERROR(__xludf.DUMMYFUNCTION("""COMPUTED_VALUE"""),45415.0)</f>
        <v>45415</v>
      </c>
      <c r="E335" s="7" t="str">
        <f>IFERROR(__xludf.DUMMYFUNCTION("""COMPUTED_VALUE"""),"Small (Bar, Exhibitions, Charity Events, Restaurants)")</f>
        <v>Small (Bar, Exhibitions, Charity Events, Restaurants)</v>
      </c>
      <c r="F335" s="7">
        <f>IFERROR(__xludf.DUMMYFUNCTION("""COMPUTED_VALUE"""),293.0)</f>
        <v>293</v>
      </c>
      <c r="G335" s="7" t="str">
        <f>IFERROR(__xludf.DUMMYFUNCTION("""COMPUTED_VALUE"""),"Izzi")</f>
        <v>Izzi</v>
      </c>
      <c r="H335" s="7"/>
      <c r="I335" s="7"/>
      <c r="J335" s="7"/>
      <c r="K335" s="7"/>
      <c r="L335" s="7"/>
      <c r="M335" s="7"/>
    </row>
    <row r="336">
      <c r="A336" s="11">
        <f>IFERROR(__xludf.DUMMYFUNCTION("""COMPUTED_VALUE"""),45418.652161342594)</f>
        <v>45418.65216</v>
      </c>
      <c r="B336" s="7"/>
      <c r="C336" s="7" t="str">
        <f>IFERROR(__xludf.DUMMYFUNCTION("""COMPUTED_VALUE"""),"This Is Fine' by Poorna Bell")</f>
        <v>This Is Fine' by Poorna Bell</v>
      </c>
      <c r="D336" s="14">
        <f>IFERROR(__xludf.DUMMYFUNCTION("""COMPUTED_VALUE"""),45457.0)</f>
        <v>45457</v>
      </c>
      <c r="E336" s="7" t="str">
        <f>IFERROR(__xludf.DUMMYFUNCTION("""COMPUTED_VALUE"""),"Small (Bar, Exhibitions, Charity Events, Restaurants)")</f>
        <v>Small (Bar, Exhibitions, Charity Events, Restaurants)</v>
      </c>
      <c r="F336" s="7">
        <f>IFERROR(__xludf.DUMMYFUNCTION("""COMPUTED_VALUE"""),386.0)</f>
        <v>386</v>
      </c>
      <c r="G336" s="7" t="str">
        <f>IFERROR(__xludf.DUMMYFUNCTION("""COMPUTED_VALUE"""),"Izzi")</f>
        <v>Izzi</v>
      </c>
      <c r="H336" s="7"/>
      <c r="I336" s="7"/>
      <c r="J336" s="7"/>
      <c r="K336" s="7"/>
      <c r="L336" s="7"/>
      <c r="M336" s="7"/>
    </row>
    <row r="337">
      <c r="A337" s="11">
        <f>IFERROR(__xludf.DUMMYFUNCTION("""COMPUTED_VALUE"""),45438.05279891204)</f>
        <v>45438.0528</v>
      </c>
      <c r="B337" s="7"/>
      <c r="C337" s="7" t="str">
        <f>IFERROR(__xludf.DUMMYFUNCTION("""COMPUTED_VALUE"""),"Jazz Cafe")</f>
        <v>Jazz Cafe</v>
      </c>
      <c r="D337" s="14">
        <f>IFERROR(__xludf.DUMMYFUNCTION("""COMPUTED_VALUE"""),45401.0)</f>
        <v>45401</v>
      </c>
      <c r="E337" s="7" t="str">
        <f>IFERROR(__xludf.DUMMYFUNCTION("""COMPUTED_VALUE"""),"Medium (Medium Sized Club, Corsica, Fabric etc)")</f>
        <v>Medium (Medium Sized Club, Corsica, Fabric etc)</v>
      </c>
      <c r="F337" s="7">
        <f>IFERROR(__xludf.DUMMYFUNCTION("""COMPUTED_VALUE"""),187.0)</f>
        <v>187</v>
      </c>
      <c r="G337" s="7" t="str">
        <f>IFERROR(__xludf.DUMMYFUNCTION("""COMPUTED_VALUE"""),"Rosh")</f>
        <v>Rosh</v>
      </c>
      <c r="H337" s="7"/>
      <c r="I337" s="7"/>
      <c r="J337" s="7"/>
      <c r="K337" s="7"/>
      <c r="L337" s="7"/>
      <c r="M337" s="7"/>
    </row>
    <row r="338">
      <c r="A338" s="11">
        <f>IFERROR(__xludf.DUMMYFUNCTION("""COMPUTED_VALUE"""),45438.05466412037)</f>
        <v>45438.05466</v>
      </c>
      <c r="B338" s="7"/>
      <c r="C338" s="7" t="str">
        <f>IFERROR(__xludf.DUMMYFUNCTION("""COMPUTED_VALUE"""),"Jazz Cafe")</f>
        <v>Jazz Cafe</v>
      </c>
      <c r="D338" s="14">
        <f>IFERROR(__xludf.DUMMYFUNCTION("""COMPUTED_VALUE"""),45401.0)</f>
        <v>45401</v>
      </c>
      <c r="E338" s="7" t="str">
        <f>IFERROR(__xludf.DUMMYFUNCTION("""COMPUTED_VALUE"""),"Medium (Medium Sized Club, Corsica, Fabric etc)")</f>
        <v>Medium (Medium Sized Club, Corsica, Fabric etc)</v>
      </c>
      <c r="F338" s="7">
        <f>IFERROR(__xludf.DUMMYFUNCTION("""COMPUTED_VALUE"""),354.0)</f>
        <v>354</v>
      </c>
      <c r="G338" s="7" t="str">
        <f>IFERROR(__xludf.DUMMYFUNCTION("""COMPUTED_VALUE"""),"Rosh")</f>
        <v>Rosh</v>
      </c>
      <c r="H338" s="7"/>
      <c r="I338" s="7"/>
      <c r="J338" s="7"/>
      <c r="K338" s="7"/>
      <c r="L338" s="7"/>
      <c r="M338" s="7"/>
    </row>
    <row r="339">
      <c r="A339" s="11">
        <f>IFERROR(__xludf.DUMMYFUNCTION("""COMPUTED_VALUE"""),45438.05503924769)</f>
        <v>45438.05504</v>
      </c>
      <c r="B339" s="7"/>
      <c r="C339" s="7" t="str">
        <f>IFERROR(__xludf.DUMMYFUNCTION("""COMPUTED_VALUE"""),"Jazz Cafe")</f>
        <v>Jazz Cafe</v>
      </c>
      <c r="D339" s="14">
        <f>IFERROR(__xludf.DUMMYFUNCTION("""COMPUTED_VALUE"""),45401.0)</f>
        <v>45401</v>
      </c>
      <c r="E339" s="7" t="str">
        <f>IFERROR(__xludf.DUMMYFUNCTION("""COMPUTED_VALUE"""),"Medium (Medium Sized Club, Corsica, Fabric etc)")</f>
        <v>Medium (Medium Sized Club, Corsica, Fabric etc)</v>
      </c>
      <c r="F339" s="7">
        <f>IFERROR(__xludf.DUMMYFUNCTION("""COMPUTED_VALUE"""),241.0)</f>
        <v>241</v>
      </c>
      <c r="G339" s="7" t="str">
        <f>IFERROR(__xludf.DUMMYFUNCTION("""COMPUTED_VALUE"""),"Rosh")</f>
        <v>Rosh</v>
      </c>
      <c r="H339" s="7"/>
      <c r="I339" s="7"/>
      <c r="J339" s="7"/>
      <c r="K339" s="7"/>
      <c r="L339" s="7"/>
      <c r="M339" s="7"/>
    </row>
    <row r="340">
      <c r="A340" s="11">
        <f>IFERROR(__xludf.DUMMYFUNCTION("""COMPUTED_VALUE"""),45493.96438041666)</f>
        <v>45493.96438</v>
      </c>
      <c r="B340" s="7"/>
      <c r="C340" s="7" t="str">
        <f>IFERROR(__xludf.DUMMYFUNCTION("""COMPUTED_VALUE"""),"DAYTIMERS Festival")</f>
        <v>DAYTIMERS Festival</v>
      </c>
      <c r="D340" s="14">
        <f>IFERROR(__xludf.DUMMYFUNCTION("""COMPUTED_VALUE"""),45458.0)</f>
        <v>45458</v>
      </c>
      <c r="E340" s="7" t="str">
        <f>IFERROR(__xludf.DUMMYFUNCTION("""COMPUTED_VALUE"""),"Medium (Medium Sized Club, Corsica, Fabric etc)")</f>
        <v>Medium (Medium Sized Club, Corsica, Fabric etc)</v>
      </c>
      <c r="F340" s="7">
        <f>IFERROR(__xludf.DUMMYFUNCTION("""COMPUTED_VALUE"""),246.0)</f>
        <v>246</v>
      </c>
      <c r="G340" s="7" t="str">
        <f>IFERROR(__xludf.DUMMYFUNCTION("""COMPUTED_VALUE"""),"Rosh")</f>
        <v>Rosh</v>
      </c>
      <c r="H340" s="7"/>
      <c r="I340" s="7"/>
      <c r="J340" s="7"/>
      <c r="K340" s="7"/>
      <c r="L340" s="7"/>
      <c r="M340" s="7"/>
    </row>
    <row r="341">
      <c r="A341" s="11">
        <f>IFERROR(__xludf.DUMMYFUNCTION("""COMPUTED_VALUE"""),45493.96941820602)</f>
        <v>45493.96942</v>
      </c>
      <c r="B341" s="7"/>
      <c r="C341" s="7" t="str">
        <f>IFERROR(__xludf.DUMMYFUNCTION("""COMPUTED_VALUE"""),"DAYTIMERS Festival")</f>
        <v>DAYTIMERS Festival</v>
      </c>
      <c r="D341" s="14">
        <f>IFERROR(__xludf.DUMMYFUNCTION("""COMPUTED_VALUE"""),45458.0)</f>
        <v>45458</v>
      </c>
      <c r="E341" s="7" t="str">
        <f>IFERROR(__xludf.DUMMYFUNCTION("""COMPUTED_VALUE"""),"Medium (Medium Sized Club, Corsica, Fabric etc)")</f>
        <v>Medium (Medium Sized Club, Corsica, Fabric etc)</v>
      </c>
      <c r="F341" s="7">
        <f>IFERROR(__xludf.DUMMYFUNCTION("""COMPUTED_VALUE"""),420.0)</f>
        <v>420</v>
      </c>
      <c r="G341" s="7" t="str">
        <f>IFERROR(__xludf.DUMMYFUNCTION("""COMPUTED_VALUE"""),"Rosh")</f>
        <v>Rosh</v>
      </c>
      <c r="H341" s="7"/>
      <c r="I341" s="7"/>
      <c r="J341" s="7"/>
      <c r="K341" s="7"/>
      <c r="L341" s="7"/>
      <c r="M341" s="7"/>
    </row>
    <row r="342">
      <c r="A342" s="11">
        <f>IFERROR(__xludf.DUMMYFUNCTION("""COMPUTED_VALUE"""),46123.06479116898)</f>
        <v>46123.06479</v>
      </c>
      <c r="B342" s="7"/>
      <c r="C342" s="7" t="str">
        <f>IFERROR(__xludf.DUMMYFUNCTION("""COMPUTED_VALUE"""),"BFI At Yours: Mogul Mowgli")</f>
        <v>BFI At Yours: Mogul Mowgli</v>
      </c>
      <c r="D342" s="14">
        <f>IFERROR(__xludf.DUMMYFUNCTION("""COMPUTED_VALUE"""),46107.0)</f>
        <v>46107</v>
      </c>
      <c r="E342" s="7" t="str">
        <f>IFERROR(__xludf.DUMMYFUNCTION("""COMPUTED_VALUE"""),"Small (Bar, Exhibitions, Charity Events, Restaurants)")</f>
        <v>Small (Bar, Exhibitions, Charity Events, Restaurants)</v>
      </c>
      <c r="F342" s="7">
        <f>IFERROR(__xludf.DUMMYFUNCTION("""COMPUTED_VALUE"""),319.0)</f>
        <v>319</v>
      </c>
      <c r="G342" s="7" t="str">
        <f>IFERROR(__xludf.DUMMYFUNCTION("""COMPUTED_VALUE"""),"Sandhya Narayanan")</f>
        <v>Sandhya Narayanan</v>
      </c>
      <c r="H342" s="7"/>
      <c r="I342" s="7"/>
      <c r="J342" s="7"/>
      <c r="K342" s="7"/>
      <c r="L342" s="7"/>
      <c r="M342" s="7"/>
    </row>
    <row r="343">
      <c r="A343" s="11"/>
      <c r="B343" s="7"/>
      <c r="C343" s="7"/>
      <c r="D343" s="14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11"/>
      <c r="B344" s="7"/>
      <c r="C344" s="7"/>
      <c r="D344" s="14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11"/>
      <c r="B345" s="7"/>
      <c r="C345" s="7"/>
      <c r="D345" s="14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11"/>
      <c r="B346" s="7"/>
      <c r="C346" s="7"/>
      <c r="D346" s="14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11"/>
      <c r="B347" s="7"/>
      <c r="C347" s="7"/>
      <c r="D347" s="14"/>
      <c r="E347" s="7"/>
      <c r="F347" s="7"/>
      <c r="G347" s="7"/>
      <c r="H347" s="7"/>
      <c r="I347" s="7"/>
      <c r="J347" s="7"/>
      <c r="K347" s="7"/>
      <c r="L347" s="7"/>
      <c r="M347" s="7"/>
    </row>
    <row r="348">
      <c r="A348" s="11"/>
      <c r="B348" s="7"/>
      <c r="C348" s="7"/>
      <c r="D348" s="14"/>
      <c r="E348" s="7"/>
      <c r="F348" s="7"/>
      <c r="G348" s="7"/>
      <c r="H348" s="7"/>
      <c r="I348" s="7"/>
      <c r="J348" s="7"/>
      <c r="K348" s="7"/>
      <c r="L348" s="7"/>
      <c r="M348" s="7"/>
    </row>
    <row r="349">
      <c r="A349" s="11"/>
      <c r="B349" s="7"/>
      <c r="C349" s="7"/>
      <c r="D349" s="14"/>
      <c r="E349" s="7"/>
      <c r="F349" s="7"/>
      <c r="G349" s="7"/>
      <c r="H349" s="7"/>
      <c r="I349" s="7"/>
      <c r="J349" s="7"/>
      <c r="K349" s="7"/>
      <c r="L349" s="7"/>
      <c r="M349" s="7"/>
    </row>
    <row r="350">
      <c r="A350" s="11"/>
      <c r="B350" s="7"/>
      <c r="C350" s="7"/>
      <c r="D350" s="14"/>
      <c r="E350" s="7"/>
      <c r="F350" s="7"/>
      <c r="G350" s="7"/>
      <c r="H350" s="7"/>
      <c r="I350" s="7"/>
      <c r="J350" s="7"/>
      <c r="K350" s="7"/>
      <c r="L350" s="7"/>
      <c r="M350" s="7"/>
    </row>
    <row r="351">
      <c r="A351" s="11"/>
      <c r="B351" s="7"/>
      <c r="C351" s="7"/>
      <c r="D351" s="14"/>
      <c r="E351" s="7"/>
      <c r="F351" s="7"/>
      <c r="G351" s="7"/>
      <c r="H351" s="7"/>
      <c r="I351" s="7"/>
      <c r="J351" s="7"/>
      <c r="K351" s="7"/>
      <c r="L351" s="7"/>
      <c r="M351" s="7"/>
    </row>
    <row r="352">
      <c r="A352" s="11"/>
      <c r="B352" s="7"/>
      <c r="C352" s="7"/>
      <c r="D352" s="14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11"/>
      <c r="B353" s="7"/>
      <c r="C353" s="7"/>
      <c r="D353" s="14"/>
      <c r="E353" s="7"/>
      <c r="F353" s="7"/>
      <c r="G353" s="7"/>
      <c r="H353" s="7"/>
      <c r="I353" s="7"/>
      <c r="J353" s="7"/>
      <c r="K353" s="7"/>
      <c r="L353" s="7"/>
      <c r="M353" s="7"/>
    </row>
    <row r="354">
      <c r="A354" s="11"/>
      <c r="B354" s="7"/>
      <c r="C354" s="7"/>
      <c r="D354" s="14"/>
      <c r="E354" s="7"/>
      <c r="F354" s="7"/>
      <c r="G354" s="7"/>
      <c r="H354" s="7"/>
      <c r="I354" s="7"/>
      <c r="J354" s="7"/>
      <c r="K354" s="7"/>
      <c r="L354" s="7"/>
      <c r="M354" s="7"/>
    </row>
    <row r="355">
      <c r="A355" s="11"/>
      <c r="B355" s="7"/>
      <c r="C355" s="7"/>
      <c r="D355" s="14"/>
      <c r="E355" s="7"/>
      <c r="F355" s="7"/>
      <c r="G355" s="7"/>
      <c r="H355" s="7"/>
      <c r="I355" s="7"/>
      <c r="J355" s="7"/>
      <c r="K355" s="7"/>
      <c r="L355" s="7"/>
      <c r="M355" s="7"/>
    </row>
    <row r="356">
      <c r="A356" s="11"/>
      <c r="B356" s="7"/>
      <c r="C356" s="7"/>
      <c r="D356" s="14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11"/>
      <c r="B357" s="7"/>
      <c r="C357" s="7"/>
      <c r="D357" s="14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11"/>
      <c r="B358" s="7"/>
      <c r="C358" s="7"/>
      <c r="D358" s="14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11"/>
      <c r="B359" s="7"/>
      <c r="C359" s="7"/>
      <c r="D359" s="14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11"/>
      <c r="B360" s="7"/>
      <c r="C360" s="7"/>
      <c r="D360" s="14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11"/>
      <c r="B361" s="7"/>
      <c r="C361" s="7"/>
      <c r="D361" s="14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11"/>
      <c r="B362" s="7"/>
      <c r="C362" s="7"/>
      <c r="D362" s="14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11"/>
      <c r="B363" s="7"/>
      <c r="C363" s="7"/>
      <c r="D363" s="14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11"/>
      <c r="B364" s="7"/>
      <c r="C364" s="7"/>
      <c r="D364" s="14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11"/>
      <c r="B365" s="7"/>
      <c r="C365" s="7"/>
      <c r="D365" s="14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11"/>
      <c r="B366" s="7"/>
      <c r="C366" s="7"/>
      <c r="D366" s="14"/>
      <c r="E366" s="7"/>
      <c r="F366" s="7"/>
      <c r="G366" s="7"/>
      <c r="H366" s="7"/>
      <c r="I366" s="7"/>
      <c r="J366" s="7"/>
      <c r="K366" s="7"/>
      <c r="L366" s="7"/>
      <c r="M366" s="7"/>
    </row>
    <row r="367">
      <c r="A367" s="11"/>
      <c r="B367" s="7"/>
      <c r="C367" s="7"/>
      <c r="D367" s="14"/>
      <c r="E367" s="7"/>
      <c r="F367" s="7"/>
      <c r="G367" s="7"/>
      <c r="H367" s="7"/>
      <c r="I367" s="7"/>
      <c r="J367" s="7"/>
      <c r="K367" s="7"/>
      <c r="L367" s="7"/>
      <c r="M367" s="7"/>
    </row>
    <row r="368">
      <c r="A368" s="11"/>
      <c r="B368" s="7"/>
      <c r="C368" s="7"/>
      <c r="D368" s="14"/>
      <c r="E368" s="7"/>
      <c r="F368" s="7"/>
      <c r="G368" s="7"/>
      <c r="H368" s="7"/>
      <c r="I368" s="7"/>
      <c r="J368" s="7"/>
      <c r="K368" s="7"/>
      <c r="L368" s="7"/>
      <c r="M368" s="7"/>
    </row>
    <row r="369">
      <c r="A369" s="11"/>
      <c r="B369" s="7"/>
      <c r="C369" s="7"/>
      <c r="D369" s="14"/>
      <c r="E369" s="7"/>
      <c r="F369" s="7"/>
      <c r="G369" s="7"/>
      <c r="H369" s="7"/>
      <c r="I369" s="7"/>
      <c r="J369" s="7"/>
      <c r="K369" s="7"/>
      <c r="L369" s="7"/>
      <c r="M369" s="7"/>
    </row>
    <row r="370">
      <c r="A370" s="11"/>
      <c r="B370" s="7"/>
      <c r="C370" s="7"/>
      <c r="D370" s="14"/>
      <c r="E370" s="7"/>
      <c r="F370" s="7"/>
      <c r="G370" s="7"/>
      <c r="H370" s="7"/>
      <c r="I370" s="7"/>
      <c r="J370" s="7"/>
      <c r="K370" s="7"/>
      <c r="L370" s="7"/>
      <c r="M370" s="7"/>
    </row>
    <row r="371">
      <c r="A371" s="11"/>
      <c r="B371" s="7"/>
      <c r="C371" s="7"/>
      <c r="D371" s="14"/>
      <c r="E371" s="7"/>
      <c r="F371" s="7"/>
      <c r="G371" s="7"/>
      <c r="H371" s="7"/>
      <c r="I371" s="7"/>
      <c r="J371" s="7"/>
      <c r="K371" s="7"/>
      <c r="L371" s="7"/>
      <c r="M371" s="7"/>
    </row>
    <row r="372">
      <c r="A372" s="11"/>
      <c r="B372" s="7"/>
      <c r="C372" s="7"/>
      <c r="D372" s="14"/>
      <c r="E372" s="7"/>
      <c r="F372" s="7"/>
      <c r="G372" s="7"/>
      <c r="H372" s="7"/>
      <c r="I372" s="7"/>
      <c r="J372" s="7"/>
      <c r="K372" s="7"/>
      <c r="L372" s="7"/>
      <c r="M372" s="7"/>
    </row>
    <row r="373">
      <c r="A373" s="11"/>
      <c r="B373" s="7"/>
      <c r="C373" s="7"/>
      <c r="D373" s="14"/>
      <c r="E373" s="7"/>
      <c r="F373" s="7"/>
      <c r="G373" s="7"/>
      <c r="H373" s="7"/>
      <c r="I373" s="7"/>
      <c r="J373" s="7"/>
      <c r="K373" s="7"/>
      <c r="L373" s="7"/>
      <c r="M373" s="7"/>
    </row>
    <row r="374">
      <c r="A374" s="11"/>
      <c r="B374" s="7"/>
      <c r="C374" s="7"/>
      <c r="D374" s="14"/>
      <c r="E374" s="7"/>
      <c r="F374" s="7"/>
      <c r="G374" s="7"/>
      <c r="H374" s="7"/>
      <c r="I374" s="7"/>
      <c r="J374" s="7"/>
      <c r="K374" s="7"/>
      <c r="L374" s="7"/>
      <c r="M374" s="7"/>
    </row>
    <row r="375">
      <c r="A375" s="11"/>
      <c r="B375" s="7"/>
      <c r="C375" s="7"/>
      <c r="D375" s="14"/>
      <c r="E375" s="7"/>
      <c r="F375" s="7"/>
      <c r="G375" s="7"/>
      <c r="H375" s="7"/>
      <c r="I375" s="7"/>
      <c r="J375" s="7"/>
      <c r="K375" s="7"/>
      <c r="L375" s="7"/>
      <c r="M375" s="7"/>
    </row>
    <row r="376">
      <c r="A376" s="11"/>
      <c r="B376" s="7"/>
      <c r="C376" s="7"/>
      <c r="D376" s="14"/>
      <c r="E376" s="7"/>
      <c r="F376" s="7"/>
      <c r="G376" s="7"/>
      <c r="H376" s="7"/>
      <c r="I376" s="7"/>
      <c r="J376" s="7"/>
      <c r="K376" s="7"/>
      <c r="L376" s="7"/>
      <c r="M376" s="7"/>
    </row>
    <row r="377">
      <c r="A377" s="11"/>
      <c r="B377" s="7"/>
      <c r="C377" s="7"/>
      <c r="D377" s="14"/>
      <c r="E377" s="7"/>
      <c r="F377" s="7"/>
      <c r="G377" s="7"/>
      <c r="H377" s="7"/>
      <c r="I377" s="7"/>
      <c r="J377" s="7"/>
      <c r="K377" s="7"/>
      <c r="L377" s="7"/>
      <c r="M377" s="7"/>
    </row>
    <row r="378">
      <c r="A378" s="11"/>
      <c r="B378" s="7"/>
      <c r="C378" s="7"/>
      <c r="D378" s="14"/>
      <c r="E378" s="7"/>
      <c r="F378" s="7"/>
      <c r="G378" s="7"/>
      <c r="H378" s="7"/>
      <c r="I378" s="7"/>
      <c r="J378" s="7"/>
      <c r="K378" s="7"/>
      <c r="L378" s="7"/>
      <c r="M378" s="7"/>
    </row>
    <row r="379">
      <c r="A379" s="11"/>
      <c r="B379" s="7"/>
      <c r="C379" s="7"/>
      <c r="D379" s="14"/>
      <c r="E379" s="7"/>
      <c r="F379" s="7"/>
      <c r="G379" s="7"/>
      <c r="H379" s="7"/>
      <c r="I379" s="7"/>
      <c r="J379" s="7"/>
      <c r="K379" s="7"/>
      <c r="L379" s="7"/>
      <c r="M379" s="7"/>
    </row>
    <row r="380">
      <c r="A380" s="11"/>
      <c r="B380" s="7"/>
      <c r="C380" s="7"/>
      <c r="D380" s="14"/>
      <c r="E380" s="7"/>
      <c r="F380" s="7"/>
      <c r="G380" s="7"/>
      <c r="H380" s="7"/>
      <c r="I380" s="7"/>
      <c r="J380" s="7"/>
      <c r="K380" s="7"/>
      <c r="L380" s="7"/>
      <c r="M380" s="7"/>
    </row>
    <row r="381">
      <c r="A381" s="11"/>
      <c r="B381" s="7"/>
      <c r="C381" s="7"/>
      <c r="D381" s="14"/>
      <c r="E381" s="7"/>
      <c r="F381" s="7"/>
      <c r="G381" s="7"/>
      <c r="H381" s="7"/>
      <c r="I381" s="7"/>
      <c r="J381" s="7"/>
      <c r="K381" s="7"/>
      <c r="L381" s="7"/>
      <c r="M381" s="7"/>
    </row>
    <row r="382">
      <c r="A382" s="11"/>
      <c r="B382" s="7"/>
      <c r="C382" s="7"/>
      <c r="D382" s="14"/>
      <c r="E382" s="7"/>
      <c r="F382" s="7"/>
      <c r="G382" s="7"/>
      <c r="H382" s="7"/>
      <c r="I382" s="7"/>
      <c r="J382" s="7"/>
      <c r="K382" s="7"/>
      <c r="L382" s="7"/>
      <c r="M382" s="7"/>
    </row>
    <row r="383">
      <c r="A383" s="11"/>
      <c r="B383" s="7"/>
      <c r="C383" s="7"/>
      <c r="D383" s="14"/>
      <c r="E383" s="7"/>
      <c r="F383" s="7"/>
      <c r="G383" s="7"/>
      <c r="H383" s="7"/>
      <c r="I383" s="7"/>
      <c r="J383" s="7"/>
      <c r="K383" s="7"/>
      <c r="L383" s="7"/>
      <c r="M383" s="7"/>
    </row>
    <row r="384">
      <c r="A384" s="11"/>
      <c r="B384" s="7"/>
      <c r="C384" s="7"/>
      <c r="D384" s="14"/>
      <c r="E384" s="7"/>
      <c r="F384" s="7"/>
      <c r="G384" s="7"/>
      <c r="H384" s="7"/>
      <c r="I384" s="7"/>
      <c r="J384" s="7"/>
      <c r="K384" s="7"/>
      <c r="L384" s="7"/>
      <c r="M384" s="7"/>
    </row>
    <row r="385">
      <c r="A385" s="11"/>
      <c r="B385" s="7"/>
      <c r="C385" s="7"/>
      <c r="D385" s="14"/>
      <c r="E385" s="7"/>
      <c r="F385" s="7"/>
      <c r="G385" s="7"/>
      <c r="H385" s="7"/>
      <c r="I385" s="7"/>
      <c r="J385" s="7"/>
      <c r="K385" s="7"/>
      <c r="L385" s="7"/>
      <c r="M385" s="7"/>
    </row>
    <row r="386">
      <c r="A386" s="11"/>
      <c r="B386" s="7"/>
      <c r="C386" s="7"/>
      <c r="D386" s="14"/>
      <c r="E386" s="7"/>
      <c r="F386" s="7"/>
      <c r="G386" s="7"/>
      <c r="H386" s="7"/>
      <c r="I386" s="7"/>
      <c r="J386" s="7"/>
      <c r="K386" s="7"/>
      <c r="L386" s="7"/>
      <c r="M386" s="7"/>
    </row>
    <row r="387">
      <c r="A387" s="11"/>
      <c r="B387" s="7"/>
      <c r="C387" s="7"/>
      <c r="D387" s="14"/>
      <c r="E387" s="7"/>
      <c r="F387" s="7"/>
      <c r="G387" s="7"/>
      <c r="H387" s="7"/>
      <c r="I387" s="7"/>
      <c r="J387" s="7"/>
      <c r="K387" s="7"/>
      <c r="L387" s="7"/>
      <c r="M387" s="7"/>
    </row>
    <row r="388">
      <c r="A388" s="11"/>
      <c r="B388" s="7"/>
      <c r="C388" s="7"/>
      <c r="D388" s="14"/>
      <c r="E388" s="7"/>
      <c r="F388" s="7"/>
      <c r="G388" s="7"/>
      <c r="H388" s="7"/>
      <c r="I388" s="7"/>
      <c r="J388" s="7"/>
      <c r="K388" s="7"/>
      <c r="L388" s="7"/>
      <c r="M388" s="7"/>
    </row>
    <row r="389">
      <c r="A389" s="11"/>
      <c r="B389" s="7"/>
      <c r="C389" s="7"/>
      <c r="D389" s="14"/>
      <c r="E389" s="7"/>
      <c r="F389" s="7"/>
      <c r="G389" s="7"/>
      <c r="H389" s="7"/>
      <c r="I389" s="7"/>
      <c r="J389" s="7"/>
      <c r="K389" s="7"/>
      <c r="L389" s="7"/>
      <c r="M389" s="7"/>
    </row>
    <row r="390">
      <c r="A390" s="11"/>
      <c r="B390" s="7"/>
      <c r="C390" s="7"/>
      <c r="D390" s="14"/>
      <c r="E390" s="7"/>
      <c r="F390" s="7"/>
      <c r="G390" s="7"/>
      <c r="H390" s="7"/>
      <c r="I390" s="7"/>
      <c r="J390" s="7"/>
      <c r="K390" s="7"/>
      <c r="L390" s="7"/>
      <c r="M390" s="7"/>
    </row>
    <row r="391">
      <c r="A391" s="11"/>
      <c r="B391" s="7"/>
      <c r="C391" s="7"/>
      <c r="D391" s="14"/>
      <c r="E391" s="7"/>
      <c r="F391" s="7"/>
      <c r="G391" s="7"/>
      <c r="H391" s="7"/>
      <c r="I391" s="7"/>
      <c r="J391" s="7"/>
      <c r="K391" s="7"/>
      <c r="L391" s="7"/>
      <c r="M391" s="7"/>
    </row>
    <row r="392">
      <c r="A392" s="11"/>
      <c r="B392" s="7"/>
      <c r="C392" s="7"/>
      <c r="D392" s="14"/>
      <c r="E392" s="7"/>
      <c r="F392" s="7"/>
      <c r="G392" s="7"/>
      <c r="H392" s="7"/>
      <c r="I392" s="7"/>
      <c r="J392" s="7"/>
      <c r="K392" s="7"/>
      <c r="L392" s="7"/>
      <c r="M392" s="7"/>
    </row>
    <row r="393">
      <c r="A393" s="11"/>
      <c r="B393" s="7"/>
      <c r="C393" s="7"/>
      <c r="D393" s="14"/>
      <c r="E393" s="7"/>
      <c r="F393" s="7"/>
      <c r="G393" s="7"/>
      <c r="H393" s="7"/>
      <c r="I393" s="7"/>
      <c r="J393" s="7"/>
      <c r="K393" s="7"/>
      <c r="L393" s="7"/>
      <c r="M393" s="7"/>
    </row>
    <row r="394">
      <c r="A394" s="11"/>
      <c r="B394" s="7"/>
      <c r="C394" s="7"/>
      <c r="D394" s="14"/>
      <c r="E394" s="7"/>
      <c r="F394" s="7"/>
      <c r="G394" s="7"/>
      <c r="H394" s="7"/>
      <c r="I394" s="7"/>
      <c r="J394" s="7"/>
      <c r="K394" s="7"/>
      <c r="L394" s="7"/>
      <c r="M394" s="7"/>
    </row>
    <row r="395">
      <c r="A395" s="11"/>
      <c r="B395" s="7"/>
      <c r="C395" s="7"/>
      <c r="D395" s="14"/>
      <c r="E395" s="7"/>
      <c r="F395" s="7"/>
      <c r="G395" s="7"/>
      <c r="H395" s="7"/>
      <c r="I395" s="7"/>
      <c r="J395" s="7"/>
      <c r="K395" s="7"/>
      <c r="L395" s="7"/>
      <c r="M395" s="7"/>
    </row>
    <row r="396">
      <c r="A396" s="11"/>
      <c r="B396" s="7"/>
      <c r="C396" s="7"/>
      <c r="D396" s="14"/>
      <c r="E396" s="7"/>
      <c r="F396" s="7"/>
      <c r="G396" s="7"/>
      <c r="H396" s="7"/>
      <c r="I396" s="7"/>
      <c r="J396" s="7"/>
      <c r="K396" s="7"/>
      <c r="L396" s="7"/>
      <c r="M396" s="7"/>
    </row>
    <row r="397">
      <c r="A397" s="11"/>
      <c r="B397" s="7"/>
      <c r="C397" s="7"/>
      <c r="D397" s="14"/>
      <c r="E397" s="7"/>
      <c r="F397" s="7"/>
      <c r="G397" s="7"/>
      <c r="H397" s="7"/>
      <c r="I397" s="7"/>
      <c r="J397" s="7"/>
      <c r="K397" s="7"/>
      <c r="L397" s="7"/>
      <c r="M397" s="7"/>
    </row>
    <row r="398">
      <c r="A398" s="11"/>
      <c r="B398" s="7"/>
      <c r="C398" s="7"/>
      <c r="D398" s="14"/>
      <c r="E398" s="7"/>
      <c r="F398" s="7"/>
      <c r="G398" s="7"/>
      <c r="H398" s="7"/>
      <c r="I398" s="7"/>
      <c r="J398" s="7"/>
      <c r="K398" s="7"/>
      <c r="L398" s="7"/>
      <c r="M398" s="7"/>
    </row>
    <row r="399">
      <c r="A399" s="11"/>
      <c r="B399" s="7"/>
      <c r="C399" s="7"/>
      <c r="D399" s="14"/>
      <c r="E399" s="7"/>
      <c r="F399" s="7"/>
      <c r="G399" s="7"/>
      <c r="H399" s="7"/>
      <c r="I399" s="7"/>
      <c r="J399" s="7"/>
      <c r="K399" s="7"/>
      <c r="L399" s="7"/>
      <c r="M399" s="7"/>
    </row>
    <row r="400">
      <c r="A400" s="11"/>
      <c r="B400" s="7"/>
      <c r="C400" s="7"/>
      <c r="D400" s="14"/>
      <c r="E400" s="7"/>
      <c r="F400" s="7"/>
      <c r="G400" s="7"/>
      <c r="H400" s="7"/>
      <c r="I400" s="7"/>
      <c r="J400" s="7"/>
      <c r="K400" s="7"/>
      <c r="L400" s="7"/>
      <c r="M400" s="7"/>
    </row>
    <row r="401">
      <c r="A401" s="11"/>
      <c r="B401" s="7"/>
      <c r="C401" s="7"/>
      <c r="D401" s="14"/>
      <c r="E401" s="7"/>
      <c r="F401" s="7"/>
      <c r="G401" s="7"/>
      <c r="H401" s="7"/>
      <c r="I401" s="7"/>
      <c r="J401" s="7"/>
      <c r="K401" s="7"/>
      <c r="L401" s="7"/>
      <c r="M401" s="7"/>
    </row>
    <row r="402">
      <c r="A402" s="11"/>
      <c r="B402" s="7"/>
      <c r="C402" s="7"/>
      <c r="D402" s="14"/>
      <c r="E402" s="7"/>
      <c r="F402" s="7"/>
      <c r="G402" s="7"/>
      <c r="H402" s="7"/>
      <c r="I402" s="7"/>
      <c r="J402" s="7"/>
      <c r="K402" s="7"/>
      <c r="L402" s="7"/>
      <c r="M402" s="7"/>
    </row>
    <row r="403">
      <c r="A403" s="11"/>
      <c r="B403" s="7"/>
      <c r="C403" s="7"/>
      <c r="D403" s="14"/>
      <c r="E403" s="7"/>
      <c r="F403" s="7"/>
      <c r="G403" s="7"/>
      <c r="H403" s="7"/>
      <c r="I403" s="7"/>
      <c r="J403" s="7"/>
      <c r="K403" s="7"/>
      <c r="L403" s="7"/>
      <c r="M403" s="7"/>
    </row>
    <row r="404">
      <c r="A404" s="11"/>
      <c r="B404" s="7"/>
      <c r="C404" s="7"/>
      <c r="D404" s="14"/>
      <c r="E404" s="7"/>
      <c r="F404" s="7"/>
      <c r="G404" s="7"/>
      <c r="H404" s="7"/>
      <c r="I404" s="7"/>
      <c r="J404" s="7"/>
      <c r="K404" s="7"/>
      <c r="L404" s="7"/>
      <c r="M404" s="7"/>
    </row>
    <row r="405">
      <c r="A405" s="11"/>
      <c r="B405" s="7"/>
      <c r="C405" s="7"/>
      <c r="D405" s="14"/>
      <c r="E405" s="7"/>
      <c r="F405" s="7"/>
      <c r="G405" s="7"/>
      <c r="H405" s="7"/>
      <c r="I405" s="7"/>
      <c r="J405" s="7"/>
      <c r="K405" s="7"/>
      <c r="L405" s="7"/>
      <c r="M405" s="7"/>
    </row>
    <row r="406">
      <c r="A406" s="11"/>
      <c r="B406" s="7"/>
      <c r="C406" s="7"/>
      <c r="D406" s="14"/>
      <c r="E406" s="7"/>
      <c r="F406" s="7"/>
      <c r="G406" s="7"/>
      <c r="H406" s="7"/>
      <c r="I406" s="7"/>
      <c r="J406" s="7"/>
      <c r="K406" s="7"/>
      <c r="L406" s="7"/>
      <c r="M406" s="7"/>
    </row>
    <row r="407">
      <c r="A407" s="11"/>
      <c r="B407" s="7"/>
      <c r="C407" s="7"/>
      <c r="D407" s="14"/>
      <c r="E407" s="7"/>
      <c r="F407" s="7"/>
      <c r="G407" s="7"/>
      <c r="H407" s="7"/>
      <c r="I407" s="7"/>
      <c r="J407" s="7"/>
      <c r="K407" s="7"/>
      <c r="L407" s="7"/>
      <c r="M407" s="7"/>
    </row>
    <row r="408">
      <c r="A408" s="11"/>
      <c r="B408" s="7"/>
      <c r="C408" s="7"/>
      <c r="D408" s="14"/>
      <c r="E408" s="7"/>
      <c r="F408" s="7"/>
      <c r="G408" s="7"/>
      <c r="H408" s="7"/>
      <c r="I408" s="7"/>
      <c r="J408" s="7"/>
      <c r="K408" s="7"/>
      <c r="L408" s="7"/>
      <c r="M408" s="7"/>
    </row>
    <row r="409">
      <c r="A409" s="11"/>
      <c r="B409" s="7"/>
      <c r="C409" s="7"/>
      <c r="D409" s="14"/>
      <c r="E409" s="7"/>
      <c r="F409" s="7"/>
      <c r="G409" s="7"/>
      <c r="H409" s="7"/>
      <c r="I409" s="7"/>
      <c r="J409" s="7"/>
      <c r="K409" s="7"/>
      <c r="L409" s="7"/>
      <c r="M409" s="7"/>
    </row>
    <row r="410">
      <c r="A410" s="11"/>
      <c r="B410" s="7"/>
      <c r="C410" s="7"/>
      <c r="D410" s="14"/>
      <c r="E410" s="7"/>
      <c r="F410" s="7"/>
      <c r="G410" s="7"/>
      <c r="H410" s="7"/>
      <c r="I410" s="7"/>
      <c r="J410" s="7"/>
      <c r="K410" s="7"/>
      <c r="L410" s="7"/>
      <c r="M410" s="7"/>
    </row>
    <row r="411">
      <c r="A411" s="11"/>
      <c r="B411" s="7"/>
      <c r="C411" s="7"/>
      <c r="D411" s="14"/>
      <c r="E411" s="7"/>
      <c r="F411" s="7"/>
      <c r="G411" s="7"/>
      <c r="H411" s="7"/>
      <c r="I411" s="7"/>
      <c r="J411" s="7"/>
      <c r="K411" s="7"/>
      <c r="L411" s="7"/>
      <c r="M411" s="7"/>
    </row>
    <row r="412">
      <c r="A412" s="11"/>
      <c r="B412" s="7"/>
      <c r="C412" s="7"/>
      <c r="D412" s="14"/>
      <c r="E412" s="7"/>
      <c r="F412" s="7"/>
      <c r="G412" s="7"/>
      <c r="H412" s="7"/>
      <c r="I412" s="7"/>
      <c r="J412" s="7"/>
      <c r="K412" s="7"/>
      <c r="L412" s="7"/>
      <c r="M412" s="7"/>
    </row>
    <row r="413">
      <c r="A413" s="11"/>
      <c r="B413" s="7"/>
      <c r="C413" s="7"/>
      <c r="D413" s="14"/>
      <c r="E413" s="7"/>
      <c r="F413" s="7"/>
      <c r="G413" s="7"/>
      <c r="H413" s="7"/>
      <c r="I413" s="7"/>
      <c r="J413" s="7"/>
      <c r="K413" s="7"/>
      <c r="L413" s="7"/>
      <c r="M413" s="7"/>
    </row>
    <row r="414">
      <c r="A414" s="11"/>
      <c r="B414" s="7"/>
      <c r="C414" s="7"/>
      <c r="D414" s="14"/>
      <c r="E414" s="7"/>
      <c r="F414" s="7"/>
      <c r="G414" s="7"/>
      <c r="H414" s="7"/>
      <c r="I414" s="7"/>
      <c r="J414" s="7"/>
      <c r="K414" s="7"/>
      <c r="L414" s="7"/>
      <c r="M414" s="7"/>
    </row>
    <row r="415">
      <c r="A415" s="11"/>
      <c r="B415" s="7"/>
      <c r="C415" s="7"/>
      <c r="D415" s="14"/>
      <c r="E415" s="7"/>
      <c r="F415" s="7"/>
      <c r="G415" s="7"/>
      <c r="H415" s="7"/>
      <c r="I415" s="7"/>
      <c r="J415" s="7"/>
      <c r="K415" s="7"/>
      <c r="L415" s="7"/>
      <c r="M415" s="7"/>
    </row>
    <row r="416">
      <c r="A416" s="11"/>
      <c r="B416" s="7"/>
      <c r="C416" s="7"/>
      <c r="D416" s="14"/>
      <c r="E416" s="7"/>
      <c r="F416" s="7"/>
      <c r="G416" s="7"/>
      <c r="H416" s="7"/>
      <c r="I416" s="7"/>
      <c r="J416" s="7"/>
      <c r="K416" s="7"/>
      <c r="L416" s="7"/>
      <c r="M416" s="7"/>
    </row>
    <row r="417">
      <c r="A417" s="11"/>
      <c r="B417" s="7"/>
      <c r="C417" s="7"/>
      <c r="D417" s="14"/>
      <c r="E417" s="7"/>
      <c r="F417" s="7"/>
      <c r="G417" s="7"/>
      <c r="H417" s="7"/>
      <c r="I417" s="7"/>
      <c r="J417" s="7"/>
      <c r="K417" s="7"/>
      <c r="L417" s="7"/>
      <c r="M417" s="7"/>
    </row>
    <row r="418">
      <c r="A418" s="11"/>
      <c r="B418" s="7"/>
      <c r="C418" s="7"/>
      <c r="D418" s="14"/>
      <c r="E418" s="7"/>
      <c r="F418" s="7"/>
      <c r="G418" s="7"/>
      <c r="H418" s="7"/>
      <c r="I418" s="7"/>
      <c r="J418" s="7"/>
      <c r="K418" s="7"/>
      <c r="L418" s="7"/>
      <c r="M418" s="7"/>
    </row>
    <row r="419">
      <c r="A419" s="11"/>
      <c r="B419" s="7"/>
      <c r="C419" s="7"/>
      <c r="D419" s="14"/>
      <c r="E419" s="7"/>
      <c r="F419" s="7"/>
      <c r="G419" s="7"/>
      <c r="H419" s="7"/>
      <c r="I419" s="7"/>
      <c r="J419" s="7"/>
      <c r="K419" s="7"/>
      <c r="L419" s="7"/>
      <c r="M419" s="7"/>
    </row>
    <row r="420">
      <c r="A420" s="11"/>
      <c r="B420" s="7"/>
      <c r="C420" s="7"/>
      <c r="D420" s="14"/>
      <c r="E420" s="7"/>
      <c r="F420" s="7"/>
      <c r="G420" s="7"/>
      <c r="H420" s="7"/>
      <c r="I420" s="7"/>
      <c r="J420" s="7"/>
      <c r="K420" s="7"/>
      <c r="L420" s="7"/>
      <c r="M420" s="7"/>
    </row>
    <row r="421">
      <c r="A421" s="11"/>
      <c r="B421" s="7"/>
      <c r="C421" s="7"/>
      <c r="D421" s="14"/>
      <c r="E421" s="7"/>
      <c r="F421" s="7"/>
      <c r="G421" s="7"/>
      <c r="H421" s="7"/>
      <c r="I421" s="7"/>
      <c r="J421" s="7"/>
      <c r="K421" s="7"/>
      <c r="L421" s="7"/>
      <c r="M421" s="7"/>
    </row>
    <row r="422">
      <c r="A422" s="11"/>
      <c r="B422" s="7"/>
      <c r="C422" s="7"/>
      <c r="D422" s="14"/>
      <c r="E422" s="7"/>
      <c r="F422" s="7"/>
      <c r="G422" s="7"/>
      <c r="H422" s="7"/>
      <c r="I422" s="7"/>
      <c r="J422" s="7"/>
      <c r="K422" s="7"/>
      <c r="L422" s="7"/>
      <c r="M422" s="7"/>
    </row>
    <row r="423">
      <c r="A423" s="11"/>
      <c r="B423" s="7"/>
      <c r="C423" s="7"/>
      <c r="D423" s="14"/>
      <c r="E423" s="7"/>
      <c r="F423" s="7"/>
      <c r="G423" s="7"/>
      <c r="H423" s="7"/>
      <c r="I423" s="7"/>
      <c r="J423" s="7"/>
      <c r="K423" s="7"/>
      <c r="L423" s="7"/>
      <c r="M423" s="7"/>
    </row>
    <row r="424">
      <c r="A424" s="11"/>
      <c r="B424" s="7"/>
      <c r="C424" s="7"/>
      <c r="D424" s="14"/>
      <c r="E424" s="7"/>
      <c r="F424" s="7"/>
      <c r="G424" s="7"/>
      <c r="H424" s="7"/>
      <c r="I424" s="7"/>
      <c r="J424" s="7"/>
      <c r="K424" s="7"/>
      <c r="L424" s="7"/>
      <c r="M424" s="7"/>
    </row>
    <row r="425">
      <c r="A425" s="11"/>
      <c r="B425" s="7"/>
      <c r="C425" s="7"/>
      <c r="D425" s="14"/>
      <c r="E425" s="7"/>
      <c r="F425" s="7"/>
      <c r="G425" s="7"/>
      <c r="H425" s="7"/>
      <c r="I425" s="7"/>
      <c r="J425" s="7"/>
      <c r="K425" s="7"/>
      <c r="L425" s="7"/>
      <c r="M425" s="7"/>
    </row>
    <row r="426">
      <c r="A426" s="11"/>
      <c r="B426" s="7"/>
      <c r="C426" s="7"/>
      <c r="D426" s="14"/>
      <c r="E426" s="7"/>
      <c r="F426" s="7"/>
      <c r="G426" s="7"/>
      <c r="H426" s="7"/>
      <c r="I426" s="7"/>
      <c r="J426" s="7"/>
      <c r="K426" s="7"/>
      <c r="L426" s="7"/>
      <c r="M426" s="7"/>
    </row>
    <row r="427">
      <c r="A427" s="11"/>
      <c r="B427" s="7"/>
      <c r="C427" s="7"/>
      <c r="D427" s="14"/>
      <c r="E427" s="7"/>
      <c r="F427" s="7"/>
      <c r="G427" s="7"/>
      <c r="H427" s="7"/>
      <c r="I427" s="7"/>
      <c r="J427" s="7"/>
      <c r="K427" s="7"/>
      <c r="L427" s="7"/>
      <c r="M427" s="7"/>
    </row>
    <row r="428">
      <c r="A428" s="11"/>
      <c r="B428" s="7"/>
      <c r="C428" s="7"/>
      <c r="D428" s="14"/>
      <c r="E428" s="7"/>
      <c r="F428" s="7"/>
      <c r="G428" s="7"/>
      <c r="H428" s="7"/>
      <c r="I428" s="7"/>
      <c r="J428" s="7"/>
      <c r="K428" s="7"/>
      <c r="L428" s="7"/>
      <c r="M428" s="7"/>
    </row>
    <row r="429">
      <c r="A429" s="11"/>
      <c r="B429" s="7"/>
      <c r="C429" s="7"/>
      <c r="D429" s="14"/>
      <c r="E429" s="7"/>
      <c r="F429" s="7"/>
      <c r="G429" s="7"/>
      <c r="H429" s="7"/>
      <c r="I429" s="7"/>
      <c r="J429" s="7"/>
      <c r="K429" s="7"/>
      <c r="L429" s="7"/>
      <c r="M429" s="7"/>
    </row>
    <row r="430">
      <c r="A430" s="11"/>
      <c r="B430" s="7"/>
      <c r="C430" s="7"/>
      <c r="D430" s="14"/>
      <c r="E430" s="7"/>
      <c r="F430" s="7"/>
      <c r="G430" s="7"/>
      <c r="H430" s="7"/>
      <c r="I430" s="7"/>
      <c r="J430" s="7"/>
      <c r="K430" s="7"/>
      <c r="L430" s="7"/>
      <c r="M430" s="7"/>
    </row>
    <row r="431">
      <c r="A431" s="11"/>
      <c r="B431" s="7"/>
      <c r="C431" s="7"/>
      <c r="D431" s="14"/>
      <c r="E431" s="7"/>
      <c r="F431" s="7"/>
      <c r="G431" s="7"/>
      <c r="H431" s="7"/>
      <c r="I431" s="7"/>
      <c r="J431" s="7"/>
      <c r="K431" s="7"/>
      <c r="L431" s="7"/>
      <c r="M431" s="7"/>
    </row>
    <row r="432">
      <c r="A432" s="11"/>
      <c r="B432" s="7"/>
      <c r="C432" s="7"/>
      <c r="D432" s="14"/>
      <c r="E432" s="7"/>
      <c r="F432" s="7"/>
      <c r="G432" s="7"/>
      <c r="H432" s="7"/>
      <c r="I432" s="7"/>
      <c r="J432" s="7"/>
      <c r="K432" s="7"/>
      <c r="L432" s="7"/>
      <c r="M432" s="7"/>
    </row>
    <row r="433">
      <c r="A433" s="11"/>
      <c r="B433" s="7"/>
      <c r="C433" s="7"/>
      <c r="D433" s="14"/>
      <c r="E433" s="7"/>
      <c r="F433" s="7"/>
      <c r="G433" s="7"/>
      <c r="H433" s="7"/>
      <c r="I433" s="7"/>
      <c r="J433" s="7"/>
      <c r="K433" s="7"/>
      <c r="L433" s="7"/>
      <c r="M433" s="7"/>
    </row>
    <row r="434">
      <c r="A434" s="11"/>
      <c r="B434" s="7"/>
      <c r="C434" s="7"/>
      <c r="D434" s="14"/>
      <c r="E434" s="7"/>
      <c r="F434" s="7"/>
      <c r="G434" s="7"/>
      <c r="H434" s="7"/>
      <c r="I434" s="7"/>
      <c r="J434" s="7"/>
      <c r="K434" s="7"/>
      <c r="L434" s="7"/>
      <c r="M434" s="7"/>
    </row>
    <row r="435">
      <c r="A435" s="11"/>
      <c r="B435" s="7"/>
      <c r="C435" s="7"/>
      <c r="D435" s="14"/>
      <c r="E435" s="7"/>
      <c r="F435" s="7"/>
      <c r="G435" s="7"/>
      <c r="H435" s="7"/>
      <c r="I435" s="7"/>
      <c r="J435" s="7"/>
      <c r="K435" s="7"/>
      <c r="L435" s="7"/>
      <c r="M435" s="7"/>
    </row>
    <row r="436">
      <c r="A436" s="11"/>
      <c r="B436" s="7"/>
      <c r="C436" s="7"/>
      <c r="D436" s="14"/>
      <c r="E436" s="7"/>
      <c r="F436" s="7"/>
      <c r="G436" s="7"/>
      <c r="H436" s="7"/>
      <c r="I436" s="7"/>
      <c r="J436" s="7"/>
      <c r="K436" s="7"/>
      <c r="L436" s="7"/>
      <c r="M436" s="7"/>
    </row>
    <row r="437">
      <c r="A437" s="11"/>
      <c r="B437" s="7"/>
      <c r="C437" s="7"/>
      <c r="D437" s="14"/>
      <c r="E437" s="7"/>
      <c r="F437" s="7"/>
      <c r="G437" s="7"/>
      <c r="H437" s="7"/>
      <c r="I437" s="7"/>
      <c r="J437" s="7"/>
      <c r="K437" s="7"/>
      <c r="L437" s="7"/>
      <c r="M437" s="7"/>
    </row>
    <row r="438">
      <c r="A438" s="11"/>
      <c r="B438" s="7"/>
      <c r="C438" s="7"/>
      <c r="D438" s="14"/>
      <c r="E438" s="7"/>
      <c r="F438" s="7"/>
      <c r="G438" s="7"/>
      <c r="H438" s="7"/>
      <c r="I438" s="7"/>
      <c r="J438" s="7"/>
      <c r="K438" s="7"/>
      <c r="L438" s="7"/>
      <c r="M438" s="7"/>
    </row>
    <row r="439">
      <c r="A439" s="11"/>
      <c r="B439" s="7"/>
      <c r="C439" s="7"/>
      <c r="D439" s="14"/>
      <c r="E439" s="7"/>
      <c r="F439" s="7"/>
      <c r="G439" s="7"/>
      <c r="H439" s="7"/>
      <c r="I439" s="7"/>
      <c r="J439" s="7"/>
      <c r="K439" s="7"/>
      <c r="L439" s="7"/>
      <c r="M439" s="7"/>
    </row>
    <row r="440">
      <c r="A440" s="11"/>
      <c r="B440" s="7"/>
      <c r="C440" s="7"/>
      <c r="D440" s="14"/>
      <c r="E440" s="7"/>
      <c r="F440" s="7"/>
      <c r="G440" s="7"/>
      <c r="H440" s="7"/>
      <c r="I440" s="7"/>
      <c r="J440" s="7"/>
      <c r="K440" s="7"/>
      <c r="L440" s="7"/>
      <c r="M440" s="7"/>
    </row>
    <row r="441">
      <c r="A441" s="11"/>
      <c r="B441" s="7"/>
      <c r="C441" s="7"/>
      <c r="D441" s="14"/>
      <c r="E441" s="7"/>
      <c r="F441" s="7"/>
      <c r="G441" s="7"/>
      <c r="H441" s="7"/>
      <c r="I441" s="7"/>
      <c r="J441" s="7"/>
      <c r="K441" s="7"/>
      <c r="L441" s="7"/>
      <c r="M441" s="7"/>
    </row>
    <row r="442">
      <c r="A442" s="11"/>
      <c r="B442" s="7"/>
      <c r="C442" s="7"/>
      <c r="D442" s="14"/>
      <c r="E442" s="7"/>
      <c r="F442" s="7"/>
      <c r="G442" s="7"/>
      <c r="H442" s="7"/>
      <c r="I442" s="7"/>
      <c r="J442" s="7"/>
      <c r="K442" s="7"/>
      <c r="L442" s="7"/>
      <c r="M44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3" max="3" width="17.13"/>
    <col customWidth="1" min="4" max="4" width="15.75"/>
    <col customWidth="1" min="5" max="5" width="17.38"/>
    <col customWidth="1" min="6" max="6" width="19.0"/>
    <col customWidth="1" min="7" max="7" width="25.25"/>
    <col customWidth="1" min="8" max="8" width="24.38"/>
    <col customWidth="1" min="9" max="9" width="20.25"/>
    <col customWidth="1" min="10" max="10" width="24.0"/>
    <col customWidth="1" min="11" max="11" width="21.25"/>
    <col customWidth="1" min="12" max="12" width="38.0"/>
    <col customWidth="1" min="13" max="13" width="40.13"/>
    <col customWidth="1" min="14" max="17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6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10" t="s">
        <v>11</v>
      </c>
      <c r="B5" s="12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10" t="s">
        <v>20</v>
      </c>
      <c r="B6" s="16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18" t="s">
        <v>27</v>
      </c>
      <c r="B7" s="12">
        <v>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0" t="s">
        <v>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6" t="str">
        <f>IFERROR(__xludf.DUMMYFUNCTION("QUERY('Roster Info'!A:U,""SELECT A, B, D, E, H, I, J, K, L, M, N, O, P, Q, R, S, T, U WHERE (LOWER(F) contains LOWER(""""""&amp;B5&amp;"""""")) AND (LOWER(H) contains LOWER(""""""&amp;B6&amp;"""""")) AND ((R+S+T) &lt;= ""&amp;B7&amp;"")"", true)"),"Unique ID")</f>
        <v>Unique ID</v>
      </c>
      <c r="B10" s="6" t="str">
        <f>IFERROR(__xludf.DUMMYFUNCTION("""COMPUTED_VALUE"""),"Artist name")</f>
        <v>Artist name</v>
      </c>
      <c r="C10" s="6" t="str">
        <f>IFERROR(__xludf.DUMMYFUNCTION("""COMPUTED_VALUE"""),"Preferred Pronouns")</f>
        <v>Preferred Pronouns</v>
      </c>
      <c r="D10" s="26" t="str">
        <f>IFERROR(__xludf.DUMMYFUNCTION("""COMPUTED_VALUE"""),"Heritage")</f>
        <v>Heritage</v>
      </c>
      <c r="E10" s="27" t="str">
        <f>IFERROR(__xludf.DUMMYFUNCTION("""COMPUTED_VALUE"""),"Type of Act")</f>
        <v>Type of Act</v>
      </c>
      <c r="F10" s="27" t="str">
        <f>IFERROR(__xludf.DUMMYFUNCTION("""COMPUTED_VALUE"""),"Genre")</f>
        <v>Genre</v>
      </c>
      <c r="G10" s="27" t="str">
        <f>IFERROR(__xludf.DUMMYFUNCTION("""COMPUTED_VALUE"""),"Contact Details")</f>
        <v>Contact Details</v>
      </c>
      <c r="H10" s="27" t="str">
        <f>IFERROR(__xludf.DUMMYFUNCTION("""COMPUTED_VALUE"""),"Instagram")</f>
        <v>Instagram</v>
      </c>
      <c r="I10" s="6" t="str">
        <f>IFERROR(__xludf.DUMMYFUNCTION("""COMPUTED_VALUE"""),"Soundcloud")</f>
        <v>Soundcloud</v>
      </c>
      <c r="J10" s="6" t="str">
        <f>IFERROR(__xludf.DUMMYFUNCTION("""COMPUTED_VALUE"""),"TikTok")</f>
        <v>TikTok</v>
      </c>
      <c r="K10" s="6" t="str">
        <f>IFERROR(__xludf.DUMMYFUNCTION("""COMPUTED_VALUE"""),"Any other social media")</f>
        <v>Any other social media</v>
      </c>
      <c r="L10" s="6" t="str">
        <f>IFERROR(__xludf.DUMMYFUNCTION("""COMPUTED_VALUE"""),"Link to Previous Work")</f>
        <v>Link to Previous Work</v>
      </c>
      <c r="M10" s="27" t="str">
        <f>IFERROR(__xludf.DUMMYFUNCTION("""COMPUTED_VALUE"""),"Most Recent Date Booked")</f>
        <v>Most Recent Date Booked</v>
      </c>
      <c r="N10" s="27" t="str">
        <f>IFERROR(__xludf.DUMMYFUNCTION("""COMPUTED_VALUE"""),"Event Name")</f>
        <v>Event Name</v>
      </c>
      <c r="O10" s="27" t="str">
        <f>IFERROR(__xludf.DUMMYFUNCTION("""COMPUTED_VALUE"""),"Small Gigs booked for")</f>
        <v>Small Gigs booked for</v>
      </c>
      <c r="P10" s="27" t="str">
        <f>IFERROR(__xludf.DUMMYFUNCTION("""COMPUTED_VALUE"""),"Medium Gigs booked for")</f>
        <v>Medium Gigs booked for</v>
      </c>
      <c r="Q10" s="27" t="str">
        <f>IFERROR(__xludf.DUMMYFUNCTION("""COMPUTED_VALUE"""),"Large Gigs booked for")</f>
        <v>Large Gigs booked for</v>
      </c>
      <c r="R10" s="28" t="str">
        <f>IFERROR(__xludf.DUMMYFUNCTION("""COMPUTED_VALUE"""),"Gig Score (S =1, M =2 , L=3)")</f>
        <v>Gig Score (S =1, M =2 , L=3)</v>
      </c>
    </row>
    <row r="11">
      <c r="A11" s="29">
        <f>IFERROR(__xludf.DUMMYFUNCTION("""COMPUTED_VALUE"""),205.0)</f>
        <v>205</v>
      </c>
      <c r="B11" s="29" t="str">
        <f>IFERROR(__xludf.DUMMYFUNCTION("""COMPUTED_VALUE"""),"Michael Diamond")</f>
        <v>Michael Diamond</v>
      </c>
      <c r="C11" s="29"/>
      <c r="D11" s="29"/>
      <c r="E11" s="29" t="str">
        <f>IFERROR(__xludf.DUMMYFUNCTION("""COMPUTED_VALUE"""),"DJ, Live Act")</f>
        <v>DJ, Live Act</v>
      </c>
      <c r="F11" s="29" t="str">
        <f>IFERROR(__xludf.DUMMYFUNCTION("""COMPUTED_VALUE"""),"Electronic, Jazz")</f>
        <v>Electronic, Jazz</v>
      </c>
      <c r="G11" s="29" t="str">
        <f>IFERROR(__xludf.DUMMYFUNCTION("""COMPUTED_VALUE"""),"diamond.sounduk@gmail.com")</f>
        <v>diamond.sounduk@gmail.com</v>
      </c>
      <c r="H11" s="30" t="str">
        <f>IFERROR(__xludf.DUMMYFUNCTION("""COMPUTED_VALUE"""),"https://www.instagram.com/diamond.sound/")</f>
        <v>https://www.instagram.com/diamond.sound/</v>
      </c>
      <c r="I11" s="30" t="str">
        <f>IFERROR(__xludf.DUMMYFUNCTION("""COMPUTED_VALUE"""),"https://soundcloud.com/michaeldiamonduk")</f>
        <v>https://soundcloud.com/michaeldiamonduk</v>
      </c>
      <c r="J11" s="29"/>
      <c r="K11" s="29"/>
      <c r="L11" s="30" t="str">
        <f>IFERROR(__xludf.DUMMYFUNCTION("""COMPUTED_VALUE"""),"https://linktr.ee/diamond.sound")</f>
        <v>https://linktr.ee/diamond.sound</v>
      </c>
      <c r="M11" s="31">
        <f>IFERROR(__xludf.DUMMYFUNCTION("""COMPUTED_VALUE"""),45205.0)</f>
        <v>45205</v>
      </c>
      <c r="N11" s="29" t="str">
        <f>IFERROR(__xludf.DUMMYFUNCTION("""COMPUTED_VALUE"""),"Science Gallery London: Machine Mythologies Oct 2023")</f>
        <v>Science Gallery London: Machine Mythologies Oct 2023</v>
      </c>
      <c r="O11" s="29">
        <f>IFERROR(__xludf.DUMMYFUNCTION("""COMPUTED_VALUE"""),1.0)</f>
        <v>1</v>
      </c>
      <c r="P11" s="29">
        <f>IFERROR(__xludf.DUMMYFUNCTION("""COMPUTED_VALUE"""),0.0)</f>
        <v>0</v>
      </c>
      <c r="Q11" s="29">
        <f>IFERROR(__xludf.DUMMYFUNCTION("""COMPUTED_VALUE"""),0.0)</f>
        <v>0</v>
      </c>
      <c r="R11" s="7">
        <f>IFERROR(__xludf.DUMMYFUNCTION("""COMPUTED_VALUE"""),1.0)</f>
        <v>1</v>
      </c>
    </row>
    <row r="12">
      <c r="A12" s="32">
        <f>IFERROR(__xludf.DUMMYFUNCTION("""COMPUTED_VALUE"""),207.0)</f>
        <v>207</v>
      </c>
      <c r="B12" s="32" t="str">
        <f>IFERROR(__xludf.DUMMYFUNCTION("""COMPUTED_VALUE"""),"Rainmann")</f>
        <v>Rainmann</v>
      </c>
      <c r="C12" s="32"/>
      <c r="D12" s="32"/>
      <c r="E12" s="32" t="str">
        <f>IFERROR(__xludf.DUMMYFUNCTION("""COMPUTED_VALUE"""),"DJ, Live Act")</f>
        <v>DJ, Live Act</v>
      </c>
      <c r="F12" s="32" t="str">
        <f>IFERROR(__xludf.DUMMYFUNCTION("""COMPUTED_VALUE"""),"Tech House, Rap, Hip Hop, Deep House, House")</f>
        <v>Tech House, Rap, Hip Hop, Deep House, House</v>
      </c>
      <c r="G12" s="32" t="str">
        <f>IFERROR(__xludf.DUMMYFUNCTION("""COMPUTED_VALUE"""),"rainmann@tuta.io")</f>
        <v>rainmann@tuta.io</v>
      </c>
      <c r="H12" s="32"/>
      <c r="I12" s="33" t="str">
        <f>IFERROR(__xludf.DUMMYFUNCTION("""COMPUTED_VALUE"""),"https://soundcloud.com/rainm4nn")</f>
        <v>https://soundcloud.com/rainm4nn</v>
      </c>
      <c r="J12" s="32"/>
      <c r="K12" s="32"/>
      <c r="L12" s="33" t="str">
        <f>IFERROR(__xludf.DUMMYFUNCTION("""COMPUTED_VALUE"""),"https://linktr.ee/rainmann")</f>
        <v>https://linktr.ee/rainmann</v>
      </c>
      <c r="M12" s="34">
        <f>IFERROR(__xludf.DUMMYFUNCTION("""COMPUTED_VALUE"""),0.0)</f>
        <v>0</v>
      </c>
      <c r="N12" s="32" t="str">
        <f>IFERROR(__xludf.DUMMYFUNCTION("""COMPUTED_VALUE"""),"#N/A")</f>
        <v>#N/A</v>
      </c>
      <c r="O12" s="32">
        <f>IFERROR(__xludf.DUMMYFUNCTION("""COMPUTED_VALUE"""),0.0)</f>
        <v>0</v>
      </c>
      <c r="P12" s="32">
        <f>IFERROR(__xludf.DUMMYFUNCTION("""COMPUTED_VALUE"""),0.0)</f>
        <v>0</v>
      </c>
      <c r="Q12" s="32">
        <f>IFERROR(__xludf.DUMMYFUNCTION("""COMPUTED_VALUE"""),0.0)</f>
        <v>0</v>
      </c>
      <c r="R12" s="7">
        <f>IFERROR(__xludf.DUMMYFUNCTION("""COMPUTED_VALUE"""),0.0)</f>
        <v>0</v>
      </c>
    </row>
    <row r="13">
      <c r="A13" s="29">
        <f>IFERROR(__xludf.DUMMYFUNCTION("""COMPUTED_VALUE"""),213.0)</f>
        <v>213</v>
      </c>
      <c r="B13" s="29" t="str">
        <f>IFERROR(__xludf.DUMMYFUNCTION("""COMPUTED_VALUE"""),"Kishan")</f>
        <v>Kishan</v>
      </c>
      <c r="C13" s="29"/>
      <c r="D13" s="29"/>
      <c r="E13" s="29" t="str">
        <f>IFERROR(__xludf.DUMMYFUNCTION("""COMPUTED_VALUE"""),"DJ")</f>
        <v>DJ</v>
      </c>
      <c r="F13" s="29" t="str">
        <f>IFERROR(__xludf.DUMMYFUNCTION("""COMPUTED_VALUE"""),"UKG, House, Hip Hop/Afrobeat, 140, Jungle, DnB etc")</f>
        <v>UKG, House, Hip Hop/Afrobeat, 140, Jungle, DnB etc</v>
      </c>
      <c r="G13" s="29" t="str">
        <f>IFERROR(__xludf.DUMMYFUNCTION("""COMPUTED_VALUE"""),"music@kishan.co.uk")</f>
        <v>music@kishan.co.uk</v>
      </c>
      <c r="H13" s="30" t="str">
        <f>IFERROR(__xludf.DUMMYFUNCTION("""COMPUTED_VALUE"""),"https://www.instagram.com/kishanthakrar/")</f>
        <v>https://www.instagram.com/kishanthakrar/</v>
      </c>
      <c r="I13" s="30" t="str">
        <f>IFERROR(__xludf.DUMMYFUNCTION("""COMPUTED_VALUE"""),"https://soundcloud.com/kishanthakrar")</f>
        <v>https://soundcloud.com/kishanthakrar</v>
      </c>
      <c r="J13" s="29"/>
      <c r="K13" s="29"/>
      <c r="L13" s="30" t="str">
        <f>IFERROR(__xludf.DUMMYFUNCTION("""COMPUTED_VALUE"""),"https://www.liinks.co/kishan")</f>
        <v>https://www.liinks.co/kishan</v>
      </c>
      <c r="M13" s="31">
        <f>IFERROR(__xludf.DUMMYFUNCTION("""COMPUTED_VALUE"""),44701.0)</f>
        <v>44701</v>
      </c>
      <c r="N13" s="29" t="str">
        <f>IFERROR(__xludf.DUMMYFUNCTION("""COMPUTED_VALUE"""),"Corsica Studios: 20/05/2022")</f>
        <v>Corsica Studios: 20/05/2022</v>
      </c>
      <c r="O13" s="29">
        <f>IFERROR(__xludf.DUMMYFUNCTION("""COMPUTED_VALUE"""),0.0)</f>
        <v>0</v>
      </c>
      <c r="P13" s="29">
        <f>IFERROR(__xludf.DUMMYFUNCTION("""COMPUTED_VALUE"""),1.0)</f>
        <v>1</v>
      </c>
      <c r="Q13" s="29">
        <f>IFERROR(__xludf.DUMMYFUNCTION("""COMPUTED_VALUE"""),0.0)</f>
        <v>0</v>
      </c>
      <c r="R13" s="7">
        <f>IFERROR(__xludf.DUMMYFUNCTION("""COMPUTED_VALUE"""),2.0)</f>
        <v>2</v>
      </c>
    </row>
    <row r="14">
      <c r="A14" s="32">
        <f>IFERROR(__xludf.DUMMYFUNCTION("""COMPUTED_VALUE"""),219.0)</f>
        <v>219</v>
      </c>
      <c r="B14" s="32" t="str">
        <f>IFERROR(__xludf.DUMMYFUNCTION("""COMPUTED_VALUE"""),"Mandle")</f>
        <v>Mandle</v>
      </c>
      <c r="C14" s="32"/>
      <c r="D14" s="32"/>
      <c r="E14" s="32" t="str">
        <f>IFERROR(__xludf.DUMMYFUNCTION("""COMPUTED_VALUE"""),"DJ")</f>
        <v>DJ</v>
      </c>
      <c r="F14" s="32" t="str">
        <f>IFERROR(__xludf.DUMMYFUNCTION("""COMPUTED_VALUE"""),"House, Techno, Breaks, Jungle, Disco")</f>
        <v>House, Techno, Breaks, Jungle, Disco</v>
      </c>
      <c r="G14" s="32" t="str">
        <f>IFERROR(__xludf.DUMMYFUNCTION("""COMPUTED_VALUE"""),"mandle.demain@gmail.com")</f>
        <v>mandle.demain@gmail.com</v>
      </c>
      <c r="H14" s="32"/>
      <c r="I14" s="33" t="str">
        <f>IFERROR(__xludf.DUMMYFUNCTION("""COMPUTED_VALUE"""),"https://soundcloud.com/djmandle")</f>
        <v>https://soundcloud.com/djmandle</v>
      </c>
      <c r="J14" s="32"/>
      <c r="K14" s="32"/>
      <c r="L14" s="33" t="str">
        <f>IFERROR(__xludf.DUMMYFUNCTION("""COMPUTED_VALUE"""),"https://soundcloud.com/djmandle")</f>
        <v>https://soundcloud.com/djmandle</v>
      </c>
      <c r="M14" s="34">
        <f>IFERROR(__xludf.DUMMYFUNCTION("""COMPUTED_VALUE"""),0.0)</f>
        <v>0</v>
      </c>
      <c r="N14" s="32" t="str">
        <f>IFERROR(__xludf.DUMMYFUNCTION("""COMPUTED_VALUE"""),"#N/A")</f>
        <v>#N/A</v>
      </c>
      <c r="O14" s="32">
        <f>IFERROR(__xludf.DUMMYFUNCTION("""COMPUTED_VALUE"""),0.0)</f>
        <v>0</v>
      </c>
      <c r="P14" s="32">
        <f>IFERROR(__xludf.DUMMYFUNCTION("""COMPUTED_VALUE"""),0.0)</f>
        <v>0</v>
      </c>
      <c r="Q14" s="32">
        <f>IFERROR(__xludf.DUMMYFUNCTION("""COMPUTED_VALUE"""),0.0)</f>
        <v>0</v>
      </c>
      <c r="R14" s="7">
        <f>IFERROR(__xludf.DUMMYFUNCTION("""COMPUTED_VALUE"""),0.0)</f>
        <v>0</v>
      </c>
    </row>
    <row r="15">
      <c r="A15" s="29">
        <f>IFERROR(__xludf.DUMMYFUNCTION("""COMPUTED_VALUE"""),226.0)</f>
        <v>226</v>
      </c>
      <c r="B15" s="29" t="str">
        <f>IFERROR(__xludf.DUMMYFUNCTION("""COMPUTED_VALUE"""),"Sunayah")</f>
        <v>Sunayah</v>
      </c>
      <c r="C15" s="29"/>
      <c r="D15" s="29"/>
      <c r="E15" s="29" t="str">
        <f>IFERROR(__xludf.DUMMYFUNCTION("""COMPUTED_VALUE"""),"DJ")</f>
        <v>DJ</v>
      </c>
      <c r="F15" s="29" t="str">
        <f>IFERROR(__xludf.DUMMYFUNCTION("""COMPUTED_VALUE"""),"house, amapiano, baile funk, uk funky, RnB")</f>
        <v>house, amapiano, baile funk, uk funky, RnB</v>
      </c>
      <c r="G15" s="29" t="str">
        <f>IFERROR(__xludf.DUMMYFUNCTION("""COMPUTED_VALUE"""),"sunayah.arshad@gmail.com")</f>
        <v>sunayah.arshad@gmail.com</v>
      </c>
      <c r="H15" s="30" t="str">
        <f>IFERROR(__xludf.DUMMYFUNCTION("""COMPUTED_VALUE"""),"https://www.instagram.com/sunayah._/?hl=en")</f>
        <v>https://www.instagram.com/sunayah._/?hl=en</v>
      </c>
      <c r="I15" s="30" t="str">
        <f>IFERROR(__xludf.DUMMYFUNCTION("""COMPUTED_VALUE"""),"https://soundcloud.com/sunayah")</f>
        <v>https://soundcloud.com/sunayah</v>
      </c>
      <c r="J15" s="29"/>
      <c r="K15" s="29"/>
      <c r="L15" s="30" t="str">
        <f>IFERROR(__xludf.DUMMYFUNCTION("""COMPUTED_VALUE"""),"https://soundcloud.com/sunayah")</f>
        <v>https://soundcloud.com/sunayah</v>
      </c>
      <c r="M15" s="31">
        <f>IFERROR(__xludf.DUMMYFUNCTION("""COMPUTED_VALUE"""),44701.0)</f>
        <v>44701</v>
      </c>
      <c r="N15" s="29" t="str">
        <f>IFERROR(__xludf.DUMMYFUNCTION("""COMPUTED_VALUE"""),"Corsica Studios: 20/05/2022")</f>
        <v>Corsica Studios: 20/05/2022</v>
      </c>
      <c r="O15" s="29">
        <f>IFERROR(__xludf.DUMMYFUNCTION("""COMPUTED_VALUE"""),0.0)</f>
        <v>0</v>
      </c>
      <c r="P15" s="29">
        <f>IFERROR(__xludf.DUMMYFUNCTION("""COMPUTED_VALUE"""),1.0)</f>
        <v>1</v>
      </c>
      <c r="Q15" s="29">
        <f>IFERROR(__xludf.DUMMYFUNCTION("""COMPUTED_VALUE"""),0.0)</f>
        <v>0</v>
      </c>
      <c r="R15" s="7">
        <f>IFERROR(__xludf.DUMMYFUNCTION("""COMPUTED_VALUE"""),2.0)</f>
        <v>2</v>
      </c>
    </row>
    <row r="16">
      <c r="A16" s="32">
        <f>IFERROR(__xludf.DUMMYFUNCTION("""COMPUTED_VALUE"""),229.0)</f>
        <v>229</v>
      </c>
      <c r="B16" s="32" t="str">
        <f>IFERROR(__xludf.DUMMYFUNCTION("""COMPUTED_VALUE"""),"Solar Plexus")</f>
        <v>Solar Plexus</v>
      </c>
      <c r="C16" s="32"/>
      <c r="D16" s="32"/>
      <c r="E16" s="32" t="str">
        <f>IFERROR(__xludf.DUMMYFUNCTION("""COMPUTED_VALUE"""),"DJ")</f>
        <v>DJ</v>
      </c>
      <c r="F16" s="32" t="str">
        <f>IFERROR(__xludf.DUMMYFUNCTION("""COMPUTED_VALUE"""),"ukg / uk dubstep / grime / breaks / 160 / jungle")</f>
        <v>ukg / uk dubstep / grime / breaks / 160 / jungle</v>
      </c>
      <c r="G16" s="32"/>
      <c r="H16" s="33" t="str">
        <f>IFERROR(__xludf.DUMMYFUNCTION("""COMPUTED_VALUE"""),"https://www.instagram.com/djsolarplexus/?hl=en-gb")</f>
        <v>https://www.instagram.com/djsolarplexus/?hl=en-gb</v>
      </c>
      <c r="I16" s="33" t="str">
        <f>IFERROR(__xludf.DUMMYFUNCTION("""COMPUTED_VALUE"""),"https://soundcloud.com/djsolarplexus?ref=clipboard&amp;p=i&amp;c=1&amp;si=DA130D71E4104EB5BE04BC096A497BAF&amp;utm_source=clipboard&amp;utm_medium=text&amp;utm_campaign=social_sharing")</f>
        <v>https://soundcloud.com/djsolarplexus?ref=clipboard&amp;p=i&amp;c=1&amp;si=DA130D71E4104EB5BE04BC096A497BAF&amp;utm_source=clipboard&amp;utm_medium=text&amp;utm_campaign=social_sharing</v>
      </c>
      <c r="J16" s="32"/>
      <c r="K16" s="32"/>
      <c r="L16" s="33" t="str">
        <f>IFERROR(__xludf.DUMMYFUNCTION("""COMPUTED_VALUE"""),"https://soundcloud.com/djsolarplexus?ref=clipboard&amp;p=i&amp;c=1&amp;si=DA130D71E4104EB5BE04BC096A497BAF&amp;utm_source=clipboard&amp;utm_medium=text&amp;utm_campaign=social_sharing")</f>
        <v>https://soundcloud.com/djsolarplexus?ref=clipboard&amp;p=i&amp;c=1&amp;si=DA130D71E4104EB5BE04BC096A497BAF&amp;utm_source=clipboard&amp;utm_medium=text&amp;utm_campaign=social_sharing</v>
      </c>
      <c r="M16" s="34">
        <f>IFERROR(__xludf.DUMMYFUNCTION("""COMPUTED_VALUE"""),0.0)</f>
        <v>0</v>
      </c>
      <c r="N16" s="32" t="str">
        <f>IFERROR(__xludf.DUMMYFUNCTION("""COMPUTED_VALUE"""),"#N/A")</f>
        <v>#N/A</v>
      </c>
      <c r="O16" s="32">
        <f>IFERROR(__xludf.DUMMYFUNCTION("""COMPUTED_VALUE"""),0.0)</f>
        <v>0</v>
      </c>
      <c r="P16" s="32">
        <f>IFERROR(__xludf.DUMMYFUNCTION("""COMPUTED_VALUE"""),0.0)</f>
        <v>0</v>
      </c>
      <c r="Q16" s="32">
        <f>IFERROR(__xludf.DUMMYFUNCTION("""COMPUTED_VALUE"""),0.0)</f>
        <v>0</v>
      </c>
      <c r="R16" s="7">
        <f>IFERROR(__xludf.DUMMYFUNCTION("""COMPUTED_VALUE"""),0.0)</f>
        <v>0</v>
      </c>
    </row>
    <row r="17">
      <c r="A17" s="29">
        <f>IFERROR(__xludf.DUMMYFUNCTION("""COMPUTED_VALUE"""),230.0)</f>
        <v>230</v>
      </c>
      <c r="B17" s="29" t="str">
        <f>IFERROR(__xludf.DUMMYFUNCTION("""COMPUTED_VALUE"""),"Basra")</f>
        <v>Basra</v>
      </c>
      <c r="C17" s="29"/>
      <c r="D17" s="29"/>
      <c r="E17" s="29" t="str">
        <f>IFERROR(__xludf.DUMMYFUNCTION("""COMPUTED_VALUE"""),"DJ")</f>
        <v>DJ</v>
      </c>
      <c r="F17" s="29" t="str">
        <f>IFERROR(__xludf.DUMMYFUNCTION("""COMPUTED_VALUE"""),"DnB")</f>
        <v>DnB</v>
      </c>
      <c r="G17" s="29" t="str">
        <f>IFERROR(__xludf.DUMMYFUNCTION("""COMPUTED_VALUE"""),"Harrybasra1@gmail.com")</f>
        <v>Harrybasra1@gmail.com</v>
      </c>
      <c r="H17" s="29"/>
      <c r="I17" s="30" t="str">
        <f>IFERROR(__xludf.DUMMYFUNCTION("""COMPUTED_VALUE"""),"https://soundcloud.com/hazbro/tracks")</f>
        <v>https://soundcloud.com/hazbro/tracks</v>
      </c>
      <c r="J17" s="29"/>
      <c r="K17" s="29"/>
      <c r="L17" s="30" t="str">
        <f>IFERROR(__xludf.DUMMYFUNCTION("""COMPUTED_VALUE"""),"https://soundcloud.com/hazbro/tracks")</f>
        <v>https://soundcloud.com/hazbro/tracks</v>
      </c>
      <c r="M17" s="31">
        <f>IFERROR(__xludf.DUMMYFUNCTION("""COMPUTED_VALUE"""),0.0)</f>
        <v>0</v>
      </c>
      <c r="N17" s="29" t="str">
        <f>IFERROR(__xludf.DUMMYFUNCTION("""COMPUTED_VALUE"""),"#N/A")</f>
        <v>#N/A</v>
      </c>
      <c r="O17" s="29">
        <f>IFERROR(__xludf.DUMMYFUNCTION("""COMPUTED_VALUE"""),0.0)</f>
        <v>0</v>
      </c>
      <c r="P17" s="29">
        <f>IFERROR(__xludf.DUMMYFUNCTION("""COMPUTED_VALUE"""),0.0)</f>
        <v>0</v>
      </c>
      <c r="Q17" s="29">
        <f>IFERROR(__xludf.DUMMYFUNCTION("""COMPUTED_VALUE"""),0.0)</f>
        <v>0</v>
      </c>
      <c r="R17" s="7">
        <f>IFERROR(__xludf.DUMMYFUNCTION("""COMPUTED_VALUE"""),0.0)</f>
        <v>0</v>
      </c>
    </row>
    <row r="18">
      <c r="A18" s="32">
        <f>IFERROR(__xludf.DUMMYFUNCTION("""COMPUTED_VALUE"""),243.0)</f>
        <v>243</v>
      </c>
      <c r="B18" s="32" t="str">
        <f>IFERROR(__xludf.DUMMYFUNCTION("""COMPUTED_VALUE"""),"Liyo / RISE / JDS")</f>
        <v>Liyo / RISE / JDS</v>
      </c>
      <c r="C18" s="32"/>
      <c r="D18" s="32"/>
      <c r="E18" s="32" t="str">
        <f>IFERROR(__xludf.DUMMYFUNCTION("""COMPUTED_VALUE"""),"DJ")</f>
        <v>DJ</v>
      </c>
      <c r="F18" s="32" t="str">
        <f>IFERROR(__xludf.DUMMYFUNCTION("""COMPUTED_VALUE"""),"Techno, Dubstep, Jungle, Garage, Electro etc etc")</f>
        <v>Techno, Dubstep, Jungle, Garage, Electro etc etc</v>
      </c>
      <c r="G18" s="32" t="str">
        <f>IFERROR(__xludf.DUMMYFUNCTION("""COMPUTED_VALUE"""),"josh@onehouse.com")</f>
        <v>josh@onehouse.com</v>
      </c>
      <c r="H18" s="33" t="str">
        <f>IFERROR(__xludf.DUMMYFUNCTION("""COMPUTED_VALUE"""),"https://www.instagram.com/j___d___s___/")</f>
        <v>https://www.instagram.com/j___d___s___/</v>
      </c>
      <c r="I18" s="32"/>
      <c r="J18" s="32"/>
      <c r="K18" s="32"/>
      <c r="L18" s="33" t="str">
        <f>IFERROR(__xludf.DUMMYFUNCTION("""COMPUTED_VALUE"""),"https://www.instagram.com/j___d___s___/")</f>
        <v>https://www.instagram.com/j___d___s___/</v>
      </c>
      <c r="M18" s="34">
        <f>IFERROR(__xludf.DUMMYFUNCTION("""COMPUTED_VALUE"""),0.0)</f>
        <v>0</v>
      </c>
      <c r="N18" s="32" t="str">
        <f>IFERROR(__xludf.DUMMYFUNCTION("""COMPUTED_VALUE"""),"#N/A")</f>
        <v>#N/A</v>
      </c>
      <c r="O18" s="32">
        <f>IFERROR(__xludf.DUMMYFUNCTION("""COMPUTED_VALUE"""),0.0)</f>
        <v>0</v>
      </c>
      <c r="P18" s="32">
        <f>IFERROR(__xludf.DUMMYFUNCTION("""COMPUTED_VALUE"""),0.0)</f>
        <v>0</v>
      </c>
      <c r="Q18" s="32">
        <f>IFERROR(__xludf.DUMMYFUNCTION("""COMPUTED_VALUE"""),0.0)</f>
        <v>0</v>
      </c>
      <c r="R18" s="7">
        <f>IFERROR(__xludf.DUMMYFUNCTION("""COMPUTED_VALUE"""),0.0)</f>
        <v>0</v>
      </c>
    </row>
    <row r="19">
      <c r="A19" s="29">
        <f>IFERROR(__xludf.DUMMYFUNCTION("""COMPUTED_VALUE"""),250.0)</f>
        <v>250</v>
      </c>
      <c r="B19" s="29" t="str">
        <f>IFERROR(__xludf.DUMMYFUNCTION("""COMPUTED_VALUE"""),"JAY TAPES")</f>
        <v>JAY TAPES</v>
      </c>
      <c r="C19" s="29"/>
      <c r="D19" s="29"/>
      <c r="E19" s="29" t="str">
        <f>IFERROR(__xludf.DUMMYFUNCTION("""COMPUTED_VALUE"""),"DJ")</f>
        <v>DJ</v>
      </c>
      <c r="F19" s="29" t="str">
        <f>IFERROR(__xludf.DUMMYFUNCTION("""COMPUTED_VALUE"""),"House, Techno, Electro, Breaks, Dubstep, Footwork, Reggaeton /Baile, Jungle, etc")</f>
        <v>House, Techno, Electro, Breaks, Dubstep, Footwork, Reggaeton /Baile, Jungle, etc</v>
      </c>
      <c r="G19" s="29" t="str">
        <f>IFERROR(__xludf.DUMMYFUNCTION("""COMPUTED_VALUE"""),"jaytapesmusic@gmail.com")</f>
        <v>jaytapesmusic@gmail.com</v>
      </c>
      <c r="H19" s="30" t="str">
        <f>IFERROR(__xludf.DUMMYFUNCTION("""COMPUTED_VALUE"""),"https://www.instagram.com/jay.tapes/")</f>
        <v>https://www.instagram.com/jay.tapes/</v>
      </c>
      <c r="I19" s="30" t="str">
        <f>IFERROR(__xludf.DUMMYFUNCTION("""COMPUTED_VALUE"""),"https://soundcloud.com/jaytapes")</f>
        <v>https://soundcloud.com/jaytapes</v>
      </c>
      <c r="J19" s="30" t="str">
        <f>IFERROR(__xludf.DUMMYFUNCTION("""COMPUTED_VALUE"""),"https://www.tiktok.com/@jaytapes")</f>
        <v>https://www.tiktok.com/@jaytapes</v>
      </c>
      <c r="K19" s="30" t="str">
        <f>IFERROR(__xludf.DUMMYFUNCTION("""COMPUTED_VALUE"""),"https://linktr.ee/jaytapes")</f>
        <v>https://linktr.ee/jaytapes</v>
      </c>
      <c r="L19" s="30" t="str">
        <f>IFERROR(__xludf.DUMMYFUNCTION("""COMPUTED_VALUE"""),"https://www.mixcloud.com/jaytapesmusic/")</f>
        <v>https://www.mixcloud.com/jaytapesmusic/</v>
      </c>
      <c r="M19" s="31">
        <f>IFERROR(__xludf.DUMMYFUNCTION("""COMPUTED_VALUE"""),0.0)</f>
        <v>0</v>
      </c>
      <c r="N19" s="29" t="str">
        <f>IFERROR(__xludf.DUMMYFUNCTION("""COMPUTED_VALUE"""),"#N/A")</f>
        <v>#N/A</v>
      </c>
      <c r="O19" s="29">
        <f>IFERROR(__xludf.DUMMYFUNCTION("""COMPUTED_VALUE"""),0.0)</f>
        <v>0</v>
      </c>
      <c r="P19" s="29">
        <f>IFERROR(__xludf.DUMMYFUNCTION("""COMPUTED_VALUE"""),0.0)</f>
        <v>0</v>
      </c>
      <c r="Q19" s="29">
        <f>IFERROR(__xludf.DUMMYFUNCTION("""COMPUTED_VALUE"""),0.0)</f>
        <v>0</v>
      </c>
      <c r="R19" s="7">
        <f>IFERROR(__xludf.DUMMYFUNCTION("""COMPUTED_VALUE"""),0.0)</f>
        <v>0</v>
      </c>
    </row>
    <row r="20">
      <c r="A20" s="32">
        <f>IFERROR(__xludf.DUMMYFUNCTION("""COMPUTED_VALUE"""),253.0)</f>
        <v>253</v>
      </c>
      <c r="B20" s="32" t="str">
        <f>IFERROR(__xludf.DUMMYFUNCTION("""COMPUTED_VALUE"""),"Alvi Island")</f>
        <v>Alvi Island</v>
      </c>
      <c r="C20" s="32"/>
      <c r="D20" s="32"/>
      <c r="E20" s="32" t="str">
        <f>IFERROR(__xludf.DUMMYFUNCTION("""COMPUTED_VALUE"""),"DJ")</f>
        <v>DJ</v>
      </c>
      <c r="F20" s="32" t="str">
        <f>IFERROR(__xludf.DUMMYFUNCTION("""COMPUTED_VALUE"""),"UK Garage, Grime")</f>
        <v>UK Garage, Grime</v>
      </c>
      <c r="G20" s="32"/>
      <c r="H20" s="33" t="str">
        <f>IFERROR(__xludf.DUMMYFUNCTION("""COMPUTED_VALUE"""),"https://www.instagram.com/alvi_island/")</f>
        <v>https://www.instagram.com/alvi_island/</v>
      </c>
      <c r="I20" s="33" t="str">
        <f>IFERROR(__xludf.DUMMYFUNCTION("""COMPUTED_VALUE"""),"https://soundcloud.app.goo.gl/X94u2oBg7626c3bB8 ")</f>
        <v>https://soundcloud.app.goo.gl/X94u2oBg7626c3bB8 </v>
      </c>
      <c r="J20" s="32"/>
      <c r="K20" s="32"/>
      <c r="L20" s="33" t="str">
        <f>IFERROR(__xludf.DUMMYFUNCTION("""COMPUTED_VALUE"""),"https://youtube.com/channel/UCm8utJlMuE9LFvnS3SWN1XQ")</f>
        <v>https://youtube.com/channel/UCm8utJlMuE9LFvnS3SWN1XQ</v>
      </c>
      <c r="M20" s="34">
        <f>IFERROR(__xludf.DUMMYFUNCTION("""COMPUTED_VALUE"""),0.0)</f>
        <v>0</v>
      </c>
      <c r="N20" s="32" t="str">
        <f>IFERROR(__xludf.DUMMYFUNCTION("""COMPUTED_VALUE"""),"#N/A")</f>
        <v>#N/A</v>
      </c>
      <c r="O20" s="32">
        <f>IFERROR(__xludf.DUMMYFUNCTION("""COMPUTED_VALUE"""),0.0)</f>
        <v>0</v>
      </c>
      <c r="P20" s="32">
        <f>IFERROR(__xludf.DUMMYFUNCTION("""COMPUTED_VALUE"""),0.0)</f>
        <v>0</v>
      </c>
      <c r="Q20" s="32">
        <f>IFERROR(__xludf.DUMMYFUNCTION("""COMPUTED_VALUE"""),0.0)</f>
        <v>0</v>
      </c>
      <c r="R20" s="7">
        <f>IFERROR(__xludf.DUMMYFUNCTION("""COMPUTED_VALUE"""),0.0)</f>
        <v>0</v>
      </c>
    </row>
    <row r="21">
      <c r="A21" s="29">
        <f>IFERROR(__xludf.DUMMYFUNCTION("""COMPUTED_VALUE"""),256.0)</f>
        <v>256</v>
      </c>
      <c r="B21" s="29" t="str">
        <f>IFERROR(__xludf.DUMMYFUNCTION("""COMPUTED_VALUE"""),"Abana")</f>
        <v>Abana</v>
      </c>
      <c r="C21" s="29"/>
      <c r="D21" s="29"/>
      <c r="E21" s="29" t="str">
        <f>IFERROR(__xludf.DUMMYFUNCTION("""COMPUTED_VALUE"""),"DJ")</f>
        <v>DJ</v>
      </c>
      <c r="F21" s="29" t="str">
        <f>IFERROR(__xludf.DUMMYFUNCTION("""COMPUTED_VALUE"""),"house / electro / electronic / UK (all genres)")</f>
        <v>house / electro / electronic / UK (all genres)</v>
      </c>
      <c r="G21" s="29"/>
      <c r="H21" s="30" t="str">
        <f>IFERROR(__xludf.DUMMYFUNCTION("""COMPUTED_VALUE"""),"https://www.instagram.com/abanamusic/")</f>
        <v>https://www.instagram.com/abanamusic/</v>
      </c>
      <c r="I21" s="29"/>
      <c r="J21" s="29"/>
      <c r="K21" s="29"/>
      <c r="L21" s="30" t="str">
        <f>IFERROR(__xludf.DUMMYFUNCTION("""COMPUTED_VALUE"""),"https://linktr.ee/abana")</f>
        <v>https://linktr.ee/abana</v>
      </c>
      <c r="M21" s="31">
        <f>IFERROR(__xludf.DUMMYFUNCTION("""COMPUTED_VALUE"""),0.0)</f>
        <v>0</v>
      </c>
      <c r="N21" s="29" t="str">
        <f>IFERROR(__xludf.DUMMYFUNCTION("""COMPUTED_VALUE"""),"#N/A")</f>
        <v>#N/A</v>
      </c>
      <c r="O21" s="29">
        <f>IFERROR(__xludf.DUMMYFUNCTION("""COMPUTED_VALUE"""),0.0)</f>
        <v>0</v>
      </c>
      <c r="P21" s="29">
        <f>IFERROR(__xludf.DUMMYFUNCTION("""COMPUTED_VALUE"""),0.0)</f>
        <v>0</v>
      </c>
      <c r="Q21" s="29">
        <f>IFERROR(__xludf.DUMMYFUNCTION("""COMPUTED_VALUE"""),0.0)</f>
        <v>0</v>
      </c>
      <c r="R21" s="7">
        <f>IFERROR(__xludf.DUMMYFUNCTION("""COMPUTED_VALUE"""),0.0)</f>
        <v>0</v>
      </c>
    </row>
    <row r="22">
      <c r="A22" s="32">
        <f>IFERROR(__xludf.DUMMYFUNCTION("""COMPUTED_VALUE"""),261.0)</f>
        <v>261</v>
      </c>
      <c r="B22" s="32" t="str">
        <f>IFERROR(__xludf.DUMMYFUNCTION("""COMPUTED_VALUE"""),"Cralias / DJ animebby ")</f>
        <v>Cralias / DJ animebby </v>
      </c>
      <c r="C22" s="32"/>
      <c r="D22" s="32"/>
      <c r="E22" s="32" t="str">
        <f>IFERROR(__xludf.DUMMYFUNCTION("""COMPUTED_VALUE"""),"DJ")</f>
        <v>DJ</v>
      </c>
      <c r="F22" s="32" t="str">
        <f>IFERROR(__xludf.DUMMYFUNCTION("""COMPUTED_VALUE"""),"Cralias - UK bass/grime/club track (120 -140 stuff. DJ animebby - jungle/cheeky remixes/Nightcore/donk / happy hardcore (160-180 stuff)")</f>
        <v>Cralias - UK bass/grime/club track (120 -140 stuff. DJ animebby - jungle/cheeky remixes/Nightcore/donk / happy hardcore (160-180 stuff)</v>
      </c>
      <c r="G22" s="32"/>
      <c r="H22" s="32"/>
      <c r="I22" s="33" t="str">
        <f>IFERROR(__xludf.DUMMYFUNCTION("""COMPUTED_VALUE"""),"SoundCloud.com/djanimebby")</f>
        <v>SoundCloud.com/djanimebby</v>
      </c>
      <c r="J22" s="32"/>
      <c r="K22" s="33" t="str">
        <f>IFERROR(__xludf.DUMMYFUNCTION("""COMPUTED_VALUE"""),"SoundCloud.com/cralias")</f>
        <v>SoundCloud.com/cralias</v>
      </c>
      <c r="L22" s="33" t="str">
        <f>IFERROR(__xludf.DUMMYFUNCTION("""COMPUTED_VALUE"""),"Cralias.bandcamp.com")</f>
        <v>Cralias.bandcamp.com</v>
      </c>
      <c r="M22" s="34">
        <f>IFERROR(__xludf.DUMMYFUNCTION("""COMPUTED_VALUE"""),0.0)</f>
        <v>0</v>
      </c>
      <c r="N22" s="32" t="str">
        <f>IFERROR(__xludf.DUMMYFUNCTION("""COMPUTED_VALUE"""),"#N/A")</f>
        <v>#N/A</v>
      </c>
      <c r="O22" s="32">
        <f>IFERROR(__xludf.DUMMYFUNCTION("""COMPUTED_VALUE"""),0.0)</f>
        <v>0</v>
      </c>
      <c r="P22" s="32">
        <f>IFERROR(__xludf.DUMMYFUNCTION("""COMPUTED_VALUE"""),0.0)</f>
        <v>0</v>
      </c>
      <c r="Q22" s="32">
        <f>IFERROR(__xludf.DUMMYFUNCTION("""COMPUTED_VALUE"""),0.0)</f>
        <v>0</v>
      </c>
      <c r="R22" s="7">
        <f>IFERROR(__xludf.DUMMYFUNCTION("""COMPUTED_VALUE"""),0.0)</f>
        <v>0</v>
      </c>
    </row>
    <row r="23">
      <c r="A23" s="29">
        <f>IFERROR(__xludf.DUMMYFUNCTION("""COMPUTED_VALUE"""),347.0)</f>
        <v>347</v>
      </c>
      <c r="B23" s="29" t="str">
        <f>IFERROR(__xludf.DUMMYFUNCTION("""COMPUTED_VALUE"""),"DJ Kye")</f>
        <v>DJ Kye</v>
      </c>
      <c r="C23" s="29"/>
      <c r="D23" s="29"/>
      <c r="E23" s="29" t="str">
        <f>IFERROR(__xludf.DUMMYFUNCTION("""COMPUTED_VALUE"""),"DJ")</f>
        <v>DJ</v>
      </c>
      <c r="F23" s="29"/>
      <c r="G23" s="29" t="str">
        <f>IFERROR(__xludf.DUMMYFUNCTION("""COMPUTED_VALUE"""),"N/A")</f>
        <v>N/A</v>
      </c>
      <c r="H23" s="29"/>
      <c r="I23" s="29"/>
      <c r="J23" s="29"/>
      <c r="K23" s="29"/>
      <c r="L23" s="29"/>
      <c r="M23" s="31">
        <f>IFERROR(__xludf.DUMMYFUNCTION("""COMPUTED_VALUE"""),44944.0)</f>
        <v>44944</v>
      </c>
      <c r="N23" s="29" t="str">
        <f>IFERROR(__xludf.DUMMYFUNCTION("""COMPUTED_VALUE"""),"Live at the Jazz Cafe")</f>
        <v>Live at the Jazz Cafe</v>
      </c>
      <c r="O23" s="29">
        <f>IFERROR(__xludf.DUMMYFUNCTION("""COMPUTED_VALUE"""),1.0)</f>
        <v>1</v>
      </c>
      <c r="P23" s="29">
        <f>IFERROR(__xludf.DUMMYFUNCTION("""COMPUTED_VALUE"""),0.0)</f>
        <v>0</v>
      </c>
      <c r="Q23" s="29">
        <f>IFERROR(__xludf.DUMMYFUNCTION("""COMPUTED_VALUE"""),0.0)</f>
        <v>0</v>
      </c>
      <c r="R23" s="7">
        <f>IFERROR(__xludf.DUMMYFUNCTION("""COMPUTED_VALUE"""),1.0)</f>
        <v>1</v>
      </c>
    </row>
    <row r="24">
      <c r="A24" s="32">
        <f>IFERROR(__xludf.DUMMYFUNCTION("""COMPUTED_VALUE"""),349.0)</f>
        <v>349</v>
      </c>
      <c r="B24" s="32" t="str">
        <f>IFERROR(__xludf.DUMMYFUNCTION("""COMPUTED_VALUE"""),"Surya Sen")</f>
        <v>Surya Sen</v>
      </c>
      <c r="C24" s="32"/>
      <c r="D24" s="32"/>
      <c r="E24" s="32" t="str">
        <f>IFERROR(__xludf.DUMMYFUNCTION("""COMPUTED_VALUE"""),"DJ, Live Act")</f>
        <v>DJ, Live Act</v>
      </c>
      <c r="F24" s="32"/>
      <c r="G24" s="32" t="str">
        <f>IFERROR(__xludf.DUMMYFUNCTION("""COMPUTED_VALUE"""),"N/A")</f>
        <v>N/A</v>
      </c>
      <c r="H24" s="32"/>
      <c r="I24" s="32"/>
      <c r="J24" s="32"/>
      <c r="K24" s="32"/>
      <c r="L24" s="32"/>
      <c r="M24" s="34">
        <f>IFERROR(__xludf.DUMMYFUNCTION("""COMPUTED_VALUE"""),44944.0)</f>
        <v>44944</v>
      </c>
      <c r="N24" s="32" t="str">
        <f>IFERROR(__xludf.DUMMYFUNCTION("""COMPUTED_VALUE"""),"Live at the Jazz Cafe")</f>
        <v>Live at the Jazz Cafe</v>
      </c>
      <c r="O24" s="32">
        <f>IFERROR(__xludf.DUMMYFUNCTION("""COMPUTED_VALUE"""),1.0)</f>
        <v>1</v>
      </c>
      <c r="P24" s="32">
        <f>IFERROR(__xludf.DUMMYFUNCTION("""COMPUTED_VALUE"""),0.0)</f>
        <v>0</v>
      </c>
      <c r="Q24" s="32">
        <f>IFERROR(__xludf.DUMMYFUNCTION("""COMPUTED_VALUE"""),0.0)</f>
        <v>0</v>
      </c>
      <c r="R24" s="7">
        <f>IFERROR(__xludf.DUMMYFUNCTION("""COMPUTED_VALUE"""),1.0)</f>
        <v>1</v>
      </c>
    </row>
    <row r="25">
      <c r="A25" s="29">
        <f>IFERROR(__xludf.DUMMYFUNCTION("""COMPUTED_VALUE"""),357.0)</f>
        <v>357</v>
      </c>
      <c r="B25" s="29" t="str">
        <f>IFERROR(__xludf.DUMMYFUNCTION("""COMPUTED_VALUE"""),"ISHU")</f>
        <v>ISHU</v>
      </c>
      <c r="C25" s="29"/>
      <c r="D25" s="29"/>
      <c r="E25" s="29" t="str">
        <f>IFERROR(__xludf.DUMMYFUNCTION("""COMPUTED_VALUE"""),"DJ")</f>
        <v>DJ</v>
      </c>
      <c r="F25" s="29"/>
      <c r="G25" s="29" t="str">
        <f>IFERROR(__xludf.DUMMYFUNCTION("""COMPUTED_VALUE"""),"N/A")</f>
        <v>N/A</v>
      </c>
      <c r="H25" s="29"/>
      <c r="I25" s="29"/>
      <c r="J25" s="29"/>
      <c r="K25" s="29"/>
      <c r="L25" s="29"/>
      <c r="M25" s="31">
        <f>IFERROR(__xludf.DUMMYFUNCTION("""COMPUTED_VALUE"""),44961.0)</f>
        <v>44961</v>
      </c>
      <c r="N25" s="29" t="str">
        <f>IFERROR(__xludf.DUMMYFUNCTION("""COMPUTED_VALUE"""),"Peckham Audio")</f>
        <v>Peckham Audio</v>
      </c>
      <c r="O25" s="29">
        <f>IFERROR(__xludf.DUMMYFUNCTION("""COMPUTED_VALUE"""),0.0)</f>
        <v>0</v>
      </c>
      <c r="P25" s="29">
        <f>IFERROR(__xludf.DUMMYFUNCTION("""COMPUTED_VALUE"""),1.0)</f>
        <v>1</v>
      </c>
      <c r="Q25" s="29">
        <f>IFERROR(__xludf.DUMMYFUNCTION("""COMPUTED_VALUE"""),0.0)</f>
        <v>0</v>
      </c>
      <c r="R25" s="7">
        <f>IFERROR(__xludf.DUMMYFUNCTION("""COMPUTED_VALUE"""),2.0)</f>
        <v>2</v>
      </c>
    </row>
    <row r="26">
      <c r="A26" s="32">
        <f>IFERROR(__xludf.DUMMYFUNCTION("""COMPUTED_VALUE"""),359.0)</f>
        <v>359</v>
      </c>
      <c r="B26" s="32" t="str">
        <f>IFERROR(__xludf.DUMMYFUNCTION("""COMPUTED_VALUE"""),"Riya Mistry")</f>
        <v>Riya Mistry</v>
      </c>
      <c r="C26" s="32"/>
      <c r="D26" s="32"/>
      <c r="E26" s="32" t="str">
        <f>IFERROR(__xludf.DUMMYFUNCTION("""COMPUTED_VALUE"""),"DJ")</f>
        <v>DJ</v>
      </c>
      <c r="F26" s="32"/>
      <c r="G26" s="32" t="str">
        <f>IFERROR(__xludf.DUMMYFUNCTION("""COMPUTED_VALUE"""),"N/A")</f>
        <v>N/A</v>
      </c>
      <c r="H26" s="32"/>
      <c r="I26" s="32"/>
      <c r="J26" s="32"/>
      <c r="K26" s="32"/>
      <c r="L26" s="32"/>
      <c r="M26" s="34">
        <f>IFERROR(__xludf.DUMMYFUNCTION("""COMPUTED_VALUE"""),45072.0)</f>
        <v>45072</v>
      </c>
      <c r="N26" s="32" t="str">
        <f>IFERROR(__xludf.DUMMYFUNCTION("""COMPUTED_VALUE"""),"Jazz Cafe")</f>
        <v>Jazz Cafe</v>
      </c>
      <c r="O26" s="32">
        <f>IFERROR(__xludf.DUMMYFUNCTION("""COMPUTED_VALUE"""),0.0)</f>
        <v>0</v>
      </c>
      <c r="P26" s="32">
        <f>IFERROR(__xludf.DUMMYFUNCTION("""COMPUTED_VALUE"""),1.0)</f>
        <v>1</v>
      </c>
      <c r="Q26" s="32">
        <f>IFERROR(__xludf.DUMMYFUNCTION("""COMPUTED_VALUE"""),0.0)</f>
        <v>0</v>
      </c>
      <c r="R26" s="7">
        <f>IFERROR(__xludf.DUMMYFUNCTION("""COMPUTED_VALUE"""),2.0)</f>
        <v>2</v>
      </c>
    </row>
    <row r="27">
      <c r="A27" s="29">
        <f>IFERROR(__xludf.DUMMYFUNCTION("""COMPUTED_VALUE"""),360.0)</f>
        <v>360</v>
      </c>
      <c r="B27" s="29" t="str">
        <f>IFERROR(__xludf.DUMMYFUNCTION("""COMPUTED_VALUE"""),"Tash LC")</f>
        <v>Tash LC</v>
      </c>
      <c r="C27" s="29"/>
      <c r="D27" s="29"/>
      <c r="E27" s="29" t="str">
        <f>IFERROR(__xludf.DUMMYFUNCTION("""COMPUTED_VALUE"""),"DJ")</f>
        <v>DJ</v>
      </c>
      <c r="F27" s="29"/>
      <c r="G27" s="29" t="str">
        <f>IFERROR(__xludf.DUMMYFUNCTION("""COMPUTED_VALUE"""),"N/A")</f>
        <v>N/A</v>
      </c>
      <c r="H27" s="29"/>
      <c r="I27" s="29"/>
      <c r="J27" s="29"/>
      <c r="K27" s="29"/>
      <c r="L27" s="29"/>
      <c r="M27" s="31">
        <f>IFERROR(__xludf.DUMMYFUNCTION("""COMPUTED_VALUE"""),45072.0)</f>
        <v>45072</v>
      </c>
      <c r="N27" s="29" t="str">
        <f>IFERROR(__xludf.DUMMYFUNCTION("""COMPUTED_VALUE"""),"Jazz Cafe")</f>
        <v>Jazz Cafe</v>
      </c>
      <c r="O27" s="29">
        <f>IFERROR(__xludf.DUMMYFUNCTION("""COMPUTED_VALUE"""),0.0)</f>
        <v>0</v>
      </c>
      <c r="P27" s="29">
        <f>IFERROR(__xludf.DUMMYFUNCTION("""COMPUTED_VALUE"""),1.0)</f>
        <v>1</v>
      </c>
      <c r="Q27" s="29">
        <f>IFERROR(__xludf.DUMMYFUNCTION("""COMPUTED_VALUE"""),0.0)</f>
        <v>0</v>
      </c>
      <c r="R27" s="7">
        <f>IFERROR(__xludf.DUMMYFUNCTION("""COMPUTED_VALUE"""),2.0)</f>
        <v>2</v>
      </c>
    </row>
    <row r="28">
      <c r="A28" s="32">
        <f>IFERROR(__xludf.DUMMYFUNCTION("""COMPUTED_VALUE"""),361.0)</f>
        <v>361</v>
      </c>
      <c r="B28" s="32" t="str">
        <f>IFERROR(__xludf.DUMMYFUNCTION("""COMPUTED_VALUE"""),"Caprice Suhn")</f>
        <v>Caprice Suhn</v>
      </c>
      <c r="C28" s="32"/>
      <c r="D28" s="32"/>
      <c r="E28" s="32" t="str">
        <f>IFERROR(__xludf.DUMMYFUNCTION("""COMPUTED_VALUE"""),"DJ")</f>
        <v>DJ</v>
      </c>
      <c r="F28" s="32"/>
      <c r="G28" s="32" t="str">
        <f>IFERROR(__xludf.DUMMYFUNCTION("""COMPUTED_VALUE"""),"N/A")</f>
        <v>N/A</v>
      </c>
      <c r="H28" s="32"/>
      <c r="I28" s="32"/>
      <c r="J28" s="32"/>
      <c r="K28" s="32"/>
      <c r="L28" s="32"/>
      <c r="M28" s="34">
        <f>IFERROR(__xludf.DUMMYFUNCTION("""COMPUTED_VALUE"""),45044.0)</f>
        <v>45044</v>
      </c>
      <c r="N28" s="32" t="str">
        <f>IFERROR(__xludf.DUMMYFUNCTION("""COMPUTED_VALUE"""),"The Cause Free Party")</f>
        <v>The Cause Free Party</v>
      </c>
      <c r="O28" s="32">
        <f>IFERROR(__xludf.DUMMYFUNCTION("""COMPUTED_VALUE"""),0.0)</f>
        <v>0</v>
      </c>
      <c r="P28" s="32">
        <f>IFERROR(__xludf.DUMMYFUNCTION("""COMPUTED_VALUE"""),1.0)</f>
        <v>1</v>
      </c>
      <c r="Q28" s="32">
        <f>IFERROR(__xludf.DUMMYFUNCTION("""COMPUTED_VALUE"""),0.0)</f>
        <v>0</v>
      </c>
      <c r="R28" s="7">
        <f>IFERROR(__xludf.DUMMYFUNCTION("""COMPUTED_VALUE"""),2.0)</f>
        <v>2</v>
      </c>
    </row>
    <row r="29">
      <c r="A29" s="29">
        <f>IFERROR(__xludf.DUMMYFUNCTION("""COMPUTED_VALUE"""),362.0)</f>
        <v>362</v>
      </c>
      <c r="B29" s="29" t="str">
        <f>IFERROR(__xludf.DUMMYFUNCTION("""COMPUTED_VALUE"""),"Ayura")</f>
        <v>Ayura</v>
      </c>
      <c r="C29" s="29"/>
      <c r="D29" s="29"/>
      <c r="E29" s="29" t="str">
        <f>IFERROR(__xludf.DUMMYFUNCTION("""COMPUTED_VALUE"""),"DJ")</f>
        <v>DJ</v>
      </c>
      <c r="F29" s="29"/>
      <c r="G29" s="29" t="str">
        <f>IFERROR(__xludf.DUMMYFUNCTION("""COMPUTED_VALUE"""),"N/A")</f>
        <v>N/A</v>
      </c>
      <c r="H29" s="29"/>
      <c r="I29" s="29"/>
      <c r="J29" s="29"/>
      <c r="K29" s="29"/>
      <c r="L29" s="29"/>
      <c r="M29" s="31">
        <f>IFERROR(__xludf.DUMMYFUNCTION("""COMPUTED_VALUE"""),45044.0)</f>
        <v>45044</v>
      </c>
      <c r="N29" s="29" t="str">
        <f>IFERROR(__xludf.DUMMYFUNCTION("""COMPUTED_VALUE"""),"The Cause Free Party")</f>
        <v>The Cause Free Party</v>
      </c>
      <c r="O29" s="29">
        <f>IFERROR(__xludf.DUMMYFUNCTION("""COMPUTED_VALUE"""),0.0)</f>
        <v>0</v>
      </c>
      <c r="P29" s="29">
        <f>IFERROR(__xludf.DUMMYFUNCTION("""COMPUTED_VALUE"""),1.0)</f>
        <v>1</v>
      </c>
      <c r="Q29" s="29">
        <f>IFERROR(__xludf.DUMMYFUNCTION("""COMPUTED_VALUE"""),0.0)</f>
        <v>0</v>
      </c>
      <c r="R29" s="7">
        <f>IFERROR(__xludf.DUMMYFUNCTION("""COMPUTED_VALUE"""),2.0)</f>
        <v>2</v>
      </c>
    </row>
    <row r="30">
      <c r="A30" s="32">
        <f>IFERROR(__xludf.DUMMYFUNCTION("""COMPUTED_VALUE"""),366.0)</f>
        <v>366</v>
      </c>
      <c r="B30" s="32" t="str">
        <f>IFERROR(__xludf.DUMMYFUNCTION("""COMPUTED_VALUE"""),"Noudle")</f>
        <v>Noudle</v>
      </c>
      <c r="C30" s="32"/>
      <c r="D30" s="32"/>
      <c r="E30" s="32" t="str">
        <f>IFERROR(__xludf.DUMMYFUNCTION("""COMPUTED_VALUE"""),"DJ")</f>
        <v>DJ</v>
      </c>
      <c r="F30" s="32"/>
      <c r="G30" s="32" t="str">
        <f>IFERROR(__xludf.DUMMYFUNCTION("""COMPUTED_VALUE"""),"N/A")</f>
        <v>N/A</v>
      </c>
      <c r="H30" s="32"/>
      <c r="I30" s="32"/>
      <c r="J30" s="32"/>
      <c r="K30" s="32"/>
      <c r="L30" s="32"/>
      <c r="M30" s="34">
        <f>IFERROR(__xludf.DUMMYFUNCTION("""COMPUTED_VALUE"""),44763.0)</f>
        <v>44763</v>
      </c>
      <c r="N30" s="32" t="str">
        <f>IFERROR(__xludf.DUMMYFUNCTION("""COMPUTED_VALUE"""),"Secret Garden Party")</f>
        <v>Secret Garden Party</v>
      </c>
      <c r="O30" s="32">
        <f>IFERROR(__xludf.DUMMYFUNCTION("""COMPUTED_VALUE"""),0.0)</f>
        <v>0</v>
      </c>
      <c r="P30" s="32">
        <f>IFERROR(__xludf.DUMMYFUNCTION("""COMPUTED_VALUE"""),0.0)</f>
        <v>0</v>
      </c>
      <c r="Q30" s="32">
        <f>IFERROR(__xludf.DUMMYFUNCTION("""COMPUTED_VALUE"""),1.0)</f>
        <v>1</v>
      </c>
      <c r="R30" s="7">
        <f>IFERROR(__xludf.DUMMYFUNCTION("""COMPUTED_VALUE"""),3.0)</f>
        <v>3</v>
      </c>
    </row>
    <row r="31">
      <c r="A31" s="29">
        <f>IFERROR(__xludf.DUMMYFUNCTION("""COMPUTED_VALUE"""),372.0)</f>
        <v>372</v>
      </c>
      <c r="B31" s="29" t="str">
        <f>IFERROR(__xludf.DUMMYFUNCTION("""COMPUTED_VALUE"""),"Dalila")</f>
        <v>Dalila</v>
      </c>
      <c r="C31" s="29"/>
      <c r="D31" s="29"/>
      <c r="E31" s="29" t="str">
        <f>IFERROR(__xludf.DUMMYFUNCTION("""COMPUTED_VALUE"""),"DJ")</f>
        <v>DJ</v>
      </c>
      <c r="F31" s="29"/>
      <c r="G31" s="29"/>
      <c r="H31" s="29"/>
      <c r="I31" s="29"/>
      <c r="J31" s="29"/>
      <c r="K31" s="29"/>
      <c r="L31" s="29"/>
      <c r="M31" s="31">
        <f>IFERROR(__xludf.DUMMYFUNCTION("""COMPUTED_VALUE"""),44805.0)</f>
        <v>44805</v>
      </c>
      <c r="N31" s="29" t="str">
        <f>IFERROR(__xludf.DUMMYFUNCTION("""COMPUTED_VALUE"""),"Ministry of Sound 2022")</f>
        <v>Ministry of Sound 2022</v>
      </c>
      <c r="O31" s="29">
        <f>IFERROR(__xludf.DUMMYFUNCTION("""COMPUTED_VALUE"""),0.0)</f>
        <v>0</v>
      </c>
      <c r="P31" s="29">
        <f>IFERROR(__xludf.DUMMYFUNCTION("""COMPUTED_VALUE"""),1.0)</f>
        <v>1</v>
      </c>
      <c r="Q31" s="29">
        <f>IFERROR(__xludf.DUMMYFUNCTION("""COMPUTED_VALUE"""),0.0)</f>
        <v>0</v>
      </c>
      <c r="R31" s="7">
        <f>IFERROR(__xludf.DUMMYFUNCTION("""COMPUTED_VALUE"""),2.0)</f>
        <v>2</v>
      </c>
    </row>
    <row r="32">
      <c r="A32" s="32">
        <f>IFERROR(__xludf.DUMMYFUNCTION("""COMPUTED_VALUE"""),374.0)</f>
        <v>374</v>
      </c>
      <c r="B32" s="32" t="str">
        <f>IFERROR(__xludf.DUMMYFUNCTION("""COMPUTED_VALUE"""),"Leila Iman")</f>
        <v>Leila Iman</v>
      </c>
      <c r="C32" s="32"/>
      <c r="D32" s="32"/>
      <c r="E32" s="32" t="str">
        <f>IFERROR(__xludf.DUMMYFUNCTION("""COMPUTED_VALUE"""),"DJ")</f>
        <v>DJ</v>
      </c>
      <c r="F32" s="32"/>
      <c r="G32" s="32"/>
      <c r="H32" s="32"/>
      <c r="I32" s="32"/>
      <c r="J32" s="32"/>
      <c r="K32" s="32"/>
      <c r="L32" s="32"/>
      <c r="M32" s="34">
        <f>IFERROR(__xludf.DUMMYFUNCTION("""COMPUTED_VALUE"""),45164.0)</f>
        <v>45164</v>
      </c>
      <c r="N32" s="32" t="str">
        <f>IFERROR(__xludf.DUMMYFUNCTION("""COMPUTED_VALUE"""),"Lost Village Festival 2023")</f>
        <v>Lost Village Festival 2023</v>
      </c>
      <c r="O32" s="32">
        <f>IFERROR(__xludf.DUMMYFUNCTION("""COMPUTED_VALUE"""),0.0)</f>
        <v>0</v>
      </c>
      <c r="P32" s="32">
        <f>IFERROR(__xludf.DUMMYFUNCTION("""COMPUTED_VALUE"""),0.0)</f>
        <v>0</v>
      </c>
      <c r="Q32" s="32">
        <f>IFERROR(__xludf.DUMMYFUNCTION("""COMPUTED_VALUE"""),1.0)</f>
        <v>1</v>
      </c>
      <c r="R32" s="7">
        <f>IFERROR(__xludf.DUMMYFUNCTION("""COMPUTED_VALUE"""),3.0)</f>
        <v>3</v>
      </c>
    </row>
    <row r="33">
      <c r="A33" s="29">
        <f>IFERROR(__xludf.DUMMYFUNCTION("""COMPUTED_VALUE"""),375.0)</f>
        <v>375</v>
      </c>
      <c r="B33" s="29" t="str">
        <f>IFERROR(__xludf.DUMMYFUNCTION("""COMPUTED_VALUE"""),"Goutham")</f>
        <v>Goutham</v>
      </c>
      <c r="C33" s="29"/>
      <c r="D33" s="29"/>
      <c r="E33" s="29" t="str">
        <f>IFERROR(__xludf.DUMMYFUNCTION("""COMPUTED_VALUE"""),"DJ")</f>
        <v>DJ</v>
      </c>
      <c r="F33" s="29"/>
      <c r="G33" s="29"/>
      <c r="H33" s="29"/>
      <c r="I33" s="29"/>
      <c r="J33" s="29"/>
      <c r="K33" s="29"/>
      <c r="L33" s="29"/>
      <c r="M33" s="31">
        <f>IFERROR(__xludf.DUMMYFUNCTION("""COMPUTED_VALUE"""),45164.0)</f>
        <v>45164</v>
      </c>
      <c r="N33" s="29" t="str">
        <f>IFERROR(__xludf.DUMMYFUNCTION("""COMPUTED_VALUE"""),"Lost Village Festival 2023")</f>
        <v>Lost Village Festival 2023</v>
      </c>
      <c r="O33" s="29">
        <f>IFERROR(__xludf.DUMMYFUNCTION("""COMPUTED_VALUE"""),0.0)</f>
        <v>0</v>
      </c>
      <c r="P33" s="29">
        <f>IFERROR(__xludf.DUMMYFUNCTION("""COMPUTED_VALUE"""),0.0)</f>
        <v>0</v>
      </c>
      <c r="Q33" s="29">
        <f>IFERROR(__xludf.DUMMYFUNCTION("""COMPUTED_VALUE"""),1.0)</f>
        <v>1</v>
      </c>
      <c r="R33" s="7">
        <f>IFERROR(__xludf.DUMMYFUNCTION("""COMPUTED_VALUE"""),3.0)</f>
        <v>3</v>
      </c>
    </row>
    <row r="34">
      <c r="A34" s="32">
        <f>IFERROR(__xludf.DUMMYFUNCTION("""COMPUTED_VALUE"""),376.0)</f>
        <v>376</v>
      </c>
      <c r="B34" s="32" t="str">
        <f>IFERROR(__xludf.DUMMYFUNCTION("""COMPUTED_VALUE"""),"LUCIDE")</f>
        <v>LUCIDE</v>
      </c>
      <c r="C34" s="32"/>
      <c r="D34" s="32"/>
      <c r="E34" s="32" t="str">
        <f>IFERROR(__xludf.DUMMYFUNCTION("""COMPUTED_VALUE"""),"DJ / Live Act")</f>
        <v>DJ / Live Act</v>
      </c>
      <c r="F34" s="32"/>
      <c r="G34" s="32"/>
      <c r="H34" s="32"/>
      <c r="I34" s="32"/>
      <c r="J34" s="32"/>
      <c r="K34" s="32"/>
      <c r="L34" s="32"/>
      <c r="M34" s="34">
        <f>IFERROR(__xludf.DUMMYFUNCTION("""COMPUTED_VALUE"""),45164.0)</f>
        <v>45164</v>
      </c>
      <c r="N34" s="32" t="str">
        <f>IFERROR(__xludf.DUMMYFUNCTION("""COMPUTED_VALUE"""),"Lost Village Festival 2023")</f>
        <v>Lost Village Festival 2023</v>
      </c>
      <c r="O34" s="32">
        <f>IFERROR(__xludf.DUMMYFUNCTION("""COMPUTED_VALUE"""),0.0)</f>
        <v>0</v>
      </c>
      <c r="P34" s="32">
        <f>IFERROR(__xludf.DUMMYFUNCTION("""COMPUTED_VALUE"""),0.0)</f>
        <v>0</v>
      </c>
      <c r="Q34" s="32">
        <f>IFERROR(__xludf.DUMMYFUNCTION("""COMPUTED_VALUE"""),1.0)</f>
        <v>1</v>
      </c>
      <c r="R34" s="7">
        <f>IFERROR(__xludf.DUMMYFUNCTION("""COMPUTED_VALUE"""),3.0)</f>
        <v>3</v>
      </c>
    </row>
    <row r="35">
      <c r="A35" s="29">
        <f>IFERROR(__xludf.DUMMYFUNCTION("""COMPUTED_VALUE"""),378.0)</f>
        <v>378</v>
      </c>
      <c r="B35" s="29" t="str">
        <f>IFERROR(__xludf.DUMMYFUNCTION("""COMPUTED_VALUE"""),"Ryan Lanji")</f>
        <v>Ryan Lanji</v>
      </c>
      <c r="C35" s="29"/>
      <c r="D35" s="29"/>
      <c r="E35" s="29" t="str">
        <f>IFERROR(__xludf.DUMMYFUNCTION("""COMPUTED_VALUE"""),"DJ")</f>
        <v>DJ</v>
      </c>
      <c r="F35" s="29"/>
      <c r="G35" s="29"/>
      <c r="H35" s="29"/>
      <c r="I35" s="29"/>
      <c r="J35" s="29"/>
      <c r="K35" s="29"/>
      <c r="L35" s="29"/>
      <c r="M35" s="31">
        <f>IFERROR(__xludf.DUMMYFUNCTION("""COMPUTED_VALUE"""),44339.0)</f>
        <v>44339</v>
      </c>
      <c r="N35" s="29" t="str">
        <f>IFERROR(__xludf.DUMMYFUNCTION("""COMPUTED_VALUE"""),"COVID Relief for India Fundraiser Colour Factory 2021")</f>
        <v>COVID Relief for India Fundraiser Colour Factory 2021</v>
      </c>
      <c r="O35" s="29">
        <f>IFERROR(__xludf.DUMMYFUNCTION("""COMPUTED_VALUE"""),1.0)</f>
        <v>1</v>
      </c>
      <c r="P35" s="29">
        <f>IFERROR(__xludf.DUMMYFUNCTION("""COMPUTED_VALUE"""),0.0)</f>
        <v>0</v>
      </c>
      <c r="Q35" s="29">
        <f>IFERROR(__xludf.DUMMYFUNCTION("""COMPUTED_VALUE"""),0.0)</f>
        <v>0</v>
      </c>
      <c r="R35" s="7">
        <f>IFERROR(__xludf.DUMMYFUNCTION("""COMPUTED_VALUE"""),1.0)</f>
        <v>1</v>
      </c>
    </row>
    <row r="36">
      <c r="A36" s="32">
        <f>IFERROR(__xludf.DUMMYFUNCTION("""COMPUTED_VALUE"""),379.0)</f>
        <v>379</v>
      </c>
      <c r="B36" s="32" t="str">
        <f>IFERROR(__xludf.DUMMYFUNCTION("""COMPUTED_VALUE"""),"Manuka Honey")</f>
        <v>Manuka Honey</v>
      </c>
      <c r="C36" s="32"/>
      <c r="D36" s="32"/>
      <c r="E36" s="32" t="str">
        <f>IFERROR(__xludf.DUMMYFUNCTION("""COMPUTED_VALUE"""),"DJ")</f>
        <v>DJ</v>
      </c>
      <c r="F36" s="32"/>
      <c r="G36" s="32"/>
      <c r="H36" s="32"/>
      <c r="I36" s="32"/>
      <c r="J36" s="32"/>
      <c r="K36" s="32"/>
      <c r="L36" s="32"/>
      <c r="M36" s="34">
        <f>IFERROR(__xludf.DUMMYFUNCTION("""COMPUTED_VALUE"""),44339.0)</f>
        <v>44339</v>
      </c>
      <c r="N36" s="32" t="str">
        <f>IFERROR(__xludf.DUMMYFUNCTION("""COMPUTED_VALUE"""),"COVID Relief for India Fundraiser Colour Factory 2021")</f>
        <v>COVID Relief for India Fundraiser Colour Factory 2021</v>
      </c>
      <c r="O36" s="32">
        <f>IFERROR(__xludf.DUMMYFUNCTION("""COMPUTED_VALUE"""),1.0)</f>
        <v>1</v>
      </c>
      <c r="P36" s="32">
        <f>IFERROR(__xludf.DUMMYFUNCTION("""COMPUTED_VALUE"""),0.0)</f>
        <v>0</v>
      </c>
      <c r="Q36" s="32">
        <f>IFERROR(__xludf.DUMMYFUNCTION("""COMPUTED_VALUE"""),0.0)</f>
        <v>0</v>
      </c>
      <c r="R36" s="7">
        <f>IFERROR(__xludf.DUMMYFUNCTION("""COMPUTED_VALUE"""),1.0)</f>
        <v>1</v>
      </c>
    </row>
    <row r="37">
      <c r="A37" s="29">
        <f>IFERROR(__xludf.DUMMYFUNCTION("""COMPUTED_VALUE"""),381.0)</f>
        <v>381</v>
      </c>
      <c r="B37" s="29" t="str">
        <f>IFERROR(__xludf.DUMMYFUNCTION("""COMPUTED_VALUE"""),"Complexion")</f>
        <v>Complexion</v>
      </c>
      <c r="C37" s="29"/>
      <c r="D37" s="29"/>
      <c r="E37" s="29" t="str">
        <f>IFERROR(__xludf.DUMMYFUNCTION("""COMPUTED_VALUE"""),"DJ")</f>
        <v>DJ</v>
      </c>
      <c r="F37" s="29"/>
      <c r="G37" s="29"/>
      <c r="H37" s="29"/>
      <c r="I37" s="29"/>
      <c r="J37" s="29"/>
      <c r="K37" s="29"/>
      <c r="L37" s="29"/>
      <c r="M37" s="31">
        <f>IFERROR(__xludf.DUMMYFUNCTION("""COMPUTED_VALUE"""),44286.0)</f>
        <v>44286</v>
      </c>
      <c r="N37" s="29" t="str">
        <f>IFERROR(__xludf.DUMMYFUNCTION("""COMPUTED_VALUE"""),"Solidarity with our Farmers Stream 2021")</f>
        <v>Solidarity with our Farmers Stream 2021</v>
      </c>
      <c r="O37" s="29">
        <f>IFERROR(__xludf.DUMMYFUNCTION("""COMPUTED_VALUE"""),0.0)</f>
        <v>0</v>
      </c>
      <c r="P37" s="29">
        <f>IFERROR(__xludf.DUMMYFUNCTION("""COMPUTED_VALUE"""),0.0)</f>
        <v>0</v>
      </c>
      <c r="Q37" s="29">
        <f>IFERROR(__xludf.DUMMYFUNCTION("""COMPUTED_VALUE"""),1.0)</f>
        <v>1</v>
      </c>
      <c r="R37" s="7">
        <f>IFERROR(__xludf.DUMMYFUNCTION("""COMPUTED_VALUE"""),3.0)</f>
        <v>3</v>
      </c>
    </row>
    <row r="38">
      <c r="A38" s="32">
        <f>IFERROR(__xludf.DUMMYFUNCTION("""COMPUTED_VALUE"""),383.0)</f>
        <v>383</v>
      </c>
      <c r="B38" s="32" t="str">
        <f>IFERROR(__xludf.DUMMYFUNCTION("""COMPUTED_VALUE"""),"Haseeb Iqbal")</f>
        <v>Haseeb Iqbal</v>
      </c>
      <c r="C38" s="32"/>
      <c r="D38" s="32"/>
      <c r="E38" s="32" t="str">
        <f>IFERROR(__xludf.DUMMYFUNCTION("""COMPUTED_VALUE"""),"DJ")</f>
        <v>DJ</v>
      </c>
      <c r="F38" s="32"/>
      <c r="G38" s="32"/>
      <c r="H38" s="32"/>
      <c r="I38" s="32"/>
      <c r="J38" s="32"/>
      <c r="K38" s="32"/>
      <c r="L38" s="32"/>
      <c r="M38" s="34">
        <f>IFERROR(__xludf.DUMMYFUNCTION("""COMPUTED_VALUE"""),44286.0)</f>
        <v>44286</v>
      </c>
      <c r="N38" s="32" t="str">
        <f>IFERROR(__xludf.DUMMYFUNCTION("""COMPUTED_VALUE"""),"Solidarity with our Farmers Stream 2021")</f>
        <v>Solidarity with our Farmers Stream 2021</v>
      </c>
      <c r="O38" s="32">
        <f>IFERROR(__xludf.DUMMYFUNCTION("""COMPUTED_VALUE"""),0.0)</f>
        <v>0</v>
      </c>
      <c r="P38" s="32">
        <f>IFERROR(__xludf.DUMMYFUNCTION("""COMPUTED_VALUE"""),0.0)</f>
        <v>0</v>
      </c>
      <c r="Q38" s="32">
        <f>IFERROR(__xludf.DUMMYFUNCTION("""COMPUTED_VALUE"""),1.0)</f>
        <v>1</v>
      </c>
      <c r="R38" s="7">
        <f>IFERROR(__xludf.DUMMYFUNCTION("""COMPUTED_VALUE"""),3.0)</f>
        <v>3</v>
      </c>
    </row>
    <row r="39">
      <c r="A39" s="29">
        <f>IFERROR(__xludf.DUMMYFUNCTION("""COMPUTED_VALUE"""),384.0)</f>
        <v>384</v>
      </c>
      <c r="B39" s="29" t="str">
        <f>IFERROR(__xludf.DUMMYFUNCTION("""COMPUTED_VALUE"""),"Nabihah Iqbal")</f>
        <v>Nabihah Iqbal</v>
      </c>
      <c r="C39" s="29"/>
      <c r="D39" s="29"/>
      <c r="E39" s="29" t="str">
        <f>IFERROR(__xludf.DUMMYFUNCTION("""COMPUTED_VALUE"""),"DJ / Live Act")</f>
        <v>DJ / Live Act</v>
      </c>
      <c r="F39" s="29"/>
      <c r="G39" s="29"/>
      <c r="H39" s="29"/>
      <c r="I39" s="29"/>
      <c r="J39" s="29"/>
      <c r="K39" s="29"/>
      <c r="L39" s="29"/>
      <c r="M39" s="31">
        <f>IFERROR(__xludf.DUMMYFUNCTION("""COMPUTED_VALUE"""),44286.0)</f>
        <v>44286</v>
      </c>
      <c r="N39" s="29" t="str">
        <f>IFERROR(__xludf.DUMMYFUNCTION("""COMPUTED_VALUE"""),"Solidarity with our Farmers Stream 2021")</f>
        <v>Solidarity with our Farmers Stream 2021</v>
      </c>
      <c r="O39" s="29">
        <f>IFERROR(__xludf.DUMMYFUNCTION("""COMPUTED_VALUE"""),0.0)</f>
        <v>0</v>
      </c>
      <c r="P39" s="29">
        <f>IFERROR(__xludf.DUMMYFUNCTION("""COMPUTED_VALUE"""),0.0)</f>
        <v>0</v>
      </c>
      <c r="Q39" s="29">
        <f>IFERROR(__xludf.DUMMYFUNCTION("""COMPUTED_VALUE"""),1.0)</f>
        <v>1</v>
      </c>
      <c r="R39" s="7">
        <f>IFERROR(__xludf.DUMMYFUNCTION("""COMPUTED_VALUE"""),3.0)</f>
        <v>3</v>
      </c>
    </row>
    <row r="40">
      <c r="A40" s="32">
        <f>IFERROR(__xludf.DUMMYFUNCTION("""COMPUTED_VALUE"""),388.0)</f>
        <v>388</v>
      </c>
      <c r="B40" s="32" t="str">
        <f>IFERROR(__xludf.DUMMYFUNCTION("""COMPUTED_VALUE"""),"barbiedollinthetajmahal")</f>
        <v>barbiedollinthetajmahal</v>
      </c>
      <c r="C40" s="32"/>
      <c r="D40" s="32"/>
      <c r="E40" s="32" t="str">
        <f>IFERROR(__xludf.DUMMYFUNCTION("""COMPUTED_VALUE"""),"DJ")</f>
        <v>DJ</v>
      </c>
      <c r="F40" s="32"/>
      <c r="G40" s="32"/>
      <c r="H40" s="32"/>
      <c r="I40" s="32"/>
      <c r="J40" s="32"/>
      <c r="K40" s="32"/>
      <c r="L40" s="32"/>
      <c r="M40" s="34">
        <f>IFERROR(__xludf.DUMMYFUNCTION("""COMPUTED_VALUE"""),45156.0)</f>
        <v>45156</v>
      </c>
      <c r="N40" s="32" t="str">
        <f>IFERROR(__xludf.DUMMYFUNCTION("""COMPUTED_VALUE"""),"Phonox Residency August 2023")</f>
        <v>Phonox Residency August 2023</v>
      </c>
      <c r="O40" s="32">
        <f>IFERROR(__xludf.DUMMYFUNCTION("""COMPUTED_VALUE"""),0.0)</f>
        <v>0</v>
      </c>
      <c r="P40" s="32">
        <f>IFERROR(__xludf.DUMMYFUNCTION("""COMPUTED_VALUE"""),1.0)</f>
        <v>1</v>
      </c>
      <c r="Q40" s="32">
        <f>IFERROR(__xludf.DUMMYFUNCTION("""COMPUTED_VALUE"""),0.0)</f>
        <v>0</v>
      </c>
      <c r="R40" s="7">
        <f>IFERROR(__xludf.DUMMYFUNCTION("""COMPUTED_VALUE"""),2.0)</f>
        <v>2</v>
      </c>
    </row>
    <row r="41">
      <c r="A41" s="29">
        <f>IFERROR(__xludf.DUMMYFUNCTION("""COMPUTED_VALUE"""),389.0)</f>
        <v>389</v>
      </c>
      <c r="B41" s="29" t="str">
        <f>IFERROR(__xludf.DUMMYFUNCTION("""COMPUTED_VALUE"""),"Ges-e")</f>
        <v>Ges-e</v>
      </c>
      <c r="C41" s="29"/>
      <c r="D41" s="29"/>
      <c r="E41" s="29" t="str">
        <f>IFERROR(__xludf.DUMMYFUNCTION("""COMPUTED_VALUE"""),"DJ")</f>
        <v>DJ</v>
      </c>
      <c r="F41" s="29"/>
      <c r="G41" s="29"/>
      <c r="H41" s="29"/>
      <c r="I41" s="29"/>
      <c r="J41" s="29"/>
      <c r="K41" s="29"/>
      <c r="L41" s="29"/>
      <c r="M41" s="31">
        <f>IFERROR(__xludf.DUMMYFUNCTION("""COMPUTED_VALUE"""),45163.0)</f>
        <v>45163</v>
      </c>
      <c r="N41" s="29" t="str">
        <f>IFERROR(__xludf.DUMMYFUNCTION("""COMPUTED_VALUE"""),"Phonox Residency August 2023")</f>
        <v>Phonox Residency August 2023</v>
      </c>
      <c r="O41" s="29">
        <f>IFERROR(__xludf.DUMMYFUNCTION("""COMPUTED_VALUE"""),0.0)</f>
        <v>0</v>
      </c>
      <c r="P41" s="29">
        <f>IFERROR(__xludf.DUMMYFUNCTION("""COMPUTED_VALUE"""),1.0)</f>
        <v>1</v>
      </c>
      <c r="Q41" s="29">
        <f>IFERROR(__xludf.DUMMYFUNCTION("""COMPUTED_VALUE"""),0.0)</f>
        <v>0</v>
      </c>
      <c r="R41" s="7">
        <f>IFERROR(__xludf.DUMMYFUNCTION("""COMPUTED_VALUE"""),2.0)</f>
        <v>2</v>
      </c>
    </row>
    <row r="42">
      <c r="A42" s="32">
        <f>IFERROR(__xludf.DUMMYFUNCTION("""COMPUTED_VALUE"""),391.0)</f>
        <v>391</v>
      </c>
      <c r="B42" s="32" t="str">
        <f>IFERROR(__xludf.DUMMYFUNCTION("""COMPUTED_VALUE"""),"Mixtress")</f>
        <v>Mixtress</v>
      </c>
      <c r="C42" s="32"/>
      <c r="D42" s="32"/>
      <c r="E42" s="32" t="str">
        <f>IFERROR(__xludf.DUMMYFUNCTION("""COMPUTED_VALUE"""),"DJ")</f>
        <v>DJ</v>
      </c>
      <c r="F42" s="32" t="str">
        <f>IFERROR(__xludf.DUMMYFUNCTION("""COMPUTED_VALUE"""),"ARDCORE")</f>
        <v>ARDCORE</v>
      </c>
      <c r="G42" s="32"/>
      <c r="H42" s="32"/>
      <c r="I42" s="32"/>
      <c r="J42" s="32"/>
      <c r="K42" s="32"/>
      <c r="L42" s="32"/>
      <c r="M42" s="34">
        <f>IFERROR(__xludf.DUMMYFUNCTION("""COMPUTED_VALUE"""),45163.0)</f>
        <v>45163</v>
      </c>
      <c r="N42" s="32" t="str">
        <f>IFERROR(__xludf.DUMMYFUNCTION("""COMPUTED_VALUE"""),"Phonox Residency August 2023")</f>
        <v>Phonox Residency August 2023</v>
      </c>
      <c r="O42" s="32">
        <f>IFERROR(__xludf.DUMMYFUNCTION("""COMPUTED_VALUE"""),0.0)</f>
        <v>0</v>
      </c>
      <c r="P42" s="32">
        <f>IFERROR(__xludf.DUMMYFUNCTION("""COMPUTED_VALUE"""),1.0)</f>
        <v>1</v>
      </c>
      <c r="Q42" s="32">
        <f>IFERROR(__xludf.DUMMYFUNCTION("""COMPUTED_VALUE"""),0.0)</f>
        <v>0</v>
      </c>
      <c r="R42" s="7">
        <f>IFERROR(__xludf.DUMMYFUNCTION("""COMPUTED_VALUE"""),2.0)</f>
        <v>2</v>
      </c>
    </row>
    <row r="43">
      <c r="A43" s="29">
        <f>IFERROR(__xludf.DUMMYFUNCTION("""COMPUTED_VALUE"""),392.0)</f>
        <v>392</v>
      </c>
      <c r="B43" s="29" t="str">
        <f>IFERROR(__xludf.DUMMYFUNCTION("""COMPUTED_VALUE"""),"Nuphlo")</f>
        <v>Nuphlo</v>
      </c>
      <c r="C43" s="29"/>
      <c r="D43" s="29"/>
      <c r="E43" s="29" t="str">
        <f>IFERROR(__xludf.DUMMYFUNCTION("""COMPUTED_VALUE"""),"DJ")</f>
        <v>DJ</v>
      </c>
      <c r="F43" s="29"/>
      <c r="G43" s="29"/>
      <c r="H43" s="29"/>
      <c r="I43" s="29"/>
      <c r="J43" s="29"/>
      <c r="K43" s="29"/>
      <c r="L43" s="29"/>
      <c r="M43" s="31">
        <f>IFERROR(__xludf.DUMMYFUNCTION("""COMPUTED_VALUE"""),45163.0)</f>
        <v>45163</v>
      </c>
      <c r="N43" s="29" t="str">
        <f>IFERROR(__xludf.DUMMYFUNCTION("""COMPUTED_VALUE"""),"Phonox Residency August 2023")</f>
        <v>Phonox Residency August 2023</v>
      </c>
      <c r="O43" s="29">
        <f>IFERROR(__xludf.DUMMYFUNCTION("""COMPUTED_VALUE"""),0.0)</f>
        <v>0</v>
      </c>
      <c r="P43" s="29">
        <f>IFERROR(__xludf.DUMMYFUNCTION("""COMPUTED_VALUE"""),1.0)</f>
        <v>1</v>
      </c>
      <c r="Q43" s="29">
        <f>IFERROR(__xludf.DUMMYFUNCTION("""COMPUTED_VALUE"""),0.0)</f>
        <v>0</v>
      </c>
      <c r="R43" s="7">
        <f>IFERROR(__xludf.DUMMYFUNCTION("""COMPUTED_VALUE"""),2.0)</f>
        <v>2</v>
      </c>
    </row>
    <row r="44">
      <c r="A44" s="32">
        <f>IFERROR(__xludf.DUMMYFUNCTION("""COMPUTED_VALUE"""),393.0)</f>
        <v>393</v>
      </c>
      <c r="B44" s="32" t="str">
        <f>IFERROR(__xludf.DUMMYFUNCTION("""COMPUTED_VALUE"""),"Osmani Soundz")</f>
        <v>Osmani Soundz</v>
      </c>
      <c r="C44" s="32"/>
      <c r="D44" s="32"/>
      <c r="E44" s="32" t="str">
        <f>IFERROR(__xludf.DUMMYFUNCTION("""COMPUTED_VALUE"""),"DJ")</f>
        <v>DJ</v>
      </c>
      <c r="F44" s="32"/>
      <c r="G44" s="32"/>
      <c r="H44" s="32"/>
      <c r="I44" s="32"/>
      <c r="J44" s="32"/>
      <c r="K44" s="32"/>
      <c r="L44" s="32"/>
      <c r="M44" s="34">
        <f>IFERROR(__xludf.DUMMYFUNCTION("""COMPUTED_VALUE"""),45163.0)</f>
        <v>45163</v>
      </c>
      <c r="N44" s="32" t="str">
        <f>IFERROR(__xludf.DUMMYFUNCTION("""COMPUTED_VALUE"""),"Phonox Residency August 2023")</f>
        <v>Phonox Residency August 2023</v>
      </c>
      <c r="O44" s="32">
        <f>IFERROR(__xludf.DUMMYFUNCTION("""COMPUTED_VALUE"""),0.0)</f>
        <v>0</v>
      </c>
      <c r="P44" s="32">
        <f>IFERROR(__xludf.DUMMYFUNCTION("""COMPUTED_VALUE"""),1.0)</f>
        <v>1</v>
      </c>
      <c r="Q44" s="32">
        <f>IFERROR(__xludf.DUMMYFUNCTION("""COMPUTED_VALUE"""),0.0)</f>
        <v>0</v>
      </c>
      <c r="R44" s="7">
        <f>IFERROR(__xludf.DUMMYFUNCTION("""COMPUTED_VALUE"""),2.0)</f>
        <v>2</v>
      </c>
    </row>
    <row r="45">
      <c r="A45" s="29">
        <f>IFERROR(__xludf.DUMMYFUNCTION("""COMPUTED_VALUE"""),394.0)</f>
        <v>394</v>
      </c>
      <c r="B45" s="29" t="str">
        <f>IFERROR(__xludf.DUMMYFUNCTION("""COMPUTED_VALUE"""),"Shandy")</f>
        <v>Shandy</v>
      </c>
      <c r="C45" s="29"/>
      <c r="D45" s="29"/>
      <c r="E45" s="29" t="str">
        <f>IFERROR(__xludf.DUMMYFUNCTION("""COMPUTED_VALUE"""),"DJ")</f>
        <v>DJ</v>
      </c>
      <c r="F45" s="29"/>
      <c r="G45" s="29"/>
      <c r="H45" s="29"/>
      <c r="I45" s="29"/>
      <c r="J45" s="29"/>
      <c r="K45" s="29"/>
      <c r="L45" s="29"/>
      <c r="M45" s="31">
        <f>IFERROR(__xludf.DUMMYFUNCTION("""COMPUTED_VALUE"""),45163.0)</f>
        <v>45163</v>
      </c>
      <c r="N45" s="29" t="str">
        <f>IFERROR(__xludf.DUMMYFUNCTION("""COMPUTED_VALUE"""),"Phonox Residency August 2023")</f>
        <v>Phonox Residency August 2023</v>
      </c>
      <c r="O45" s="29">
        <f>IFERROR(__xludf.DUMMYFUNCTION("""COMPUTED_VALUE"""),0.0)</f>
        <v>0</v>
      </c>
      <c r="P45" s="29">
        <f>IFERROR(__xludf.DUMMYFUNCTION("""COMPUTED_VALUE"""),1.0)</f>
        <v>1</v>
      </c>
      <c r="Q45" s="29">
        <f>IFERROR(__xludf.DUMMYFUNCTION("""COMPUTED_VALUE"""),0.0)</f>
        <v>0</v>
      </c>
      <c r="R45" s="7">
        <f>IFERROR(__xludf.DUMMYFUNCTION("""COMPUTED_VALUE"""),2.0)</f>
        <v>2</v>
      </c>
    </row>
    <row r="46">
      <c r="A46" s="32">
        <f>IFERROR(__xludf.DUMMYFUNCTION("""COMPUTED_VALUE"""),397.0)</f>
        <v>397</v>
      </c>
      <c r="B46" s="32" t="str">
        <f>IFERROR(__xludf.DUMMYFUNCTION("""COMPUTED_VALUE"""),"Rouhangeze")</f>
        <v>Rouhangeze</v>
      </c>
      <c r="C46" s="32"/>
      <c r="D46" s="32"/>
      <c r="E46" s="32" t="str">
        <f>IFERROR(__xludf.DUMMYFUNCTION("""COMPUTED_VALUE"""),"DJ")</f>
        <v>DJ</v>
      </c>
      <c r="F46" s="32" t="str">
        <f>IFERROR(__xludf.DUMMYFUNCTION("""COMPUTED_VALUE"""),"Jazz and soulful")</f>
        <v>Jazz and soulful</v>
      </c>
      <c r="G46" s="32"/>
      <c r="H46" s="32"/>
      <c r="I46" s="32"/>
      <c r="J46" s="32"/>
      <c r="K46" s="32"/>
      <c r="L46" s="32"/>
      <c r="M46" s="34">
        <f>IFERROR(__xludf.DUMMYFUNCTION("""COMPUTED_VALUE"""),45273.0)</f>
        <v>45273</v>
      </c>
      <c r="N46" s="32" t="str">
        <f>IFERROR(__xludf.DUMMYFUNCTION("""COMPUTED_VALUE"""),"Skate Lates Somerset House Dec 2023")</f>
        <v>Skate Lates Somerset House Dec 2023</v>
      </c>
      <c r="O46" s="32">
        <f>IFERROR(__xludf.DUMMYFUNCTION("""COMPUTED_VALUE"""),1.0)</f>
        <v>1</v>
      </c>
      <c r="P46" s="32">
        <f>IFERROR(__xludf.DUMMYFUNCTION("""COMPUTED_VALUE"""),0.0)</f>
        <v>0</v>
      </c>
      <c r="Q46" s="32">
        <f>IFERROR(__xludf.DUMMYFUNCTION("""COMPUTED_VALUE"""),0.0)</f>
        <v>0</v>
      </c>
      <c r="R46" s="7">
        <f>IFERROR(__xludf.DUMMYFUNCTION("""COMPUTED_VALUE"""),1.0)</f>
        <v>1</v>
      </c>
    </row>
    <row r="47">
      <c r="A47" s="29">
        <f>IFERROR(__xludf.DUMMYFUNCTION("""COMPUTED_VALUE"""),398.0)</f>
        <v>398</v>
      </c>
      <c r="B47" s="29" t="str">
        <f>IFERROR(__xludf.DUMMYFUNCTION("""COMPUTED_VALUE"""),"JJamz")</f>
        <v>JJamz</v>
      </c>
      <c r="C47" s="29"/>
      <c r="D47" s="29"/>
      <c r="E47" s="29" t="str">
        <f>IFERROR(__xludf.DUMMYFUNCTION("""COMPUTED_VALUE"""),"DJ")</f>
        <v>DJ</v>
      </c>
      <c r="F47" s="29" t="str">
        <f>IFERROR(__xludf.DUMMYFUNCTION("""COMPUTED_VALUE"""),"House and bits")</f>
        <v>House and bits</v>
      </c>
      <c r="G47" s="29"/>
      <c r="H47" s="29"/>
      <c r="I47" s="29"/>
      <c r="J47" s="29"/>
      <c r="K47" s="29"/>
      <c r="L47" s="29"/>
      <c r="M47" s="31">
        <f>IFERROR(__xludf.DUMMYFUNCTION("""COMPUTED_VALUE"""),45273.0)</f>
        <v>45273</v>
      </c>
      <c r="N47" s="29" t="str">
        <f>IFERROR(__xludf.DUMMYFUNCTION("""COMPUTED_VALUE"""),"Skate Lates Somerset House Dec 2023")</f>
        <v>Skate Lates Somerset House Dec 2023</v>
      </c>
      <c r="O47" s="29">
        <f>IFERROR(__xludf.DUMMYFUNCTION("""COMPUTED_VALUE"""),1.0)</f>
        <v>1</v>
      </c>
      <c r="P47" s="29">
        <f>IFERROR(__xludf.DUMMYFUNCTION("""COMPUTED_VALUE"""),0.0)</f>
        <v>0</v>
      </c>
      <c r="Q47" s="29">
        <f>IFERROR(__xludf.DUMMYFUNCTION("""COMPUTED_VALUE"""),0.0)</f>
        <v>0</v>
      </c>
      <c r="R47" s="7">
        <f>IFERROR(__xludf.DUMMYFUNCTION("""COMPUTED_VALUE"""),1.0)</f>
        <v>1</v>
      </c>
    </row>
    <row r="48">
      <c r="A48" s="32">
        <f>IFERROR(__xludf.DUMMYFUNCTION("""COMPUTED_VALUE"""),399.0)</f>
        <v>399</v>
      </c>
      <c r="B48" s="32" t="str">
        <f>IFERROR(__xludf.DUMMYFUNCTION("""COMPUTED_VALUE"""),"Kalbaisakhi")</f>
        <v>Kalbaisakhi</v>
      </c>
      <c r="C48" s="32"/>
      <c r="D48" s="32"/>
      <c r="E48" s="32" t="str">
        <f>IFERROR(__xludf.DUMMYFUNCTION("""COMPUTED_VALUE"""),"DJ")</f>
        <v>DJ</v>
      </c>
      <c r="F48" s="32"/>
      <c r="G48" s="32"/>
      <c r="H48" s="32"/>
      <c r="I48" s="32"/>
      <c r="J48" s="32"/>
      <c r="K48" s="32"/>
      <c r="L48" s="32"/>
      <c r="M48" s="34">
        <f>IFERROR(__xludf.DUMMYFUNCTION("""COMPUTED_VALUE"""),0.0)</f>
        <v>0</v>
      </c>
      <c r="N48" s="32" t="str">
        <f>IFERROR(__xludf.DUMMYFUNCTION("""COMPUTED_VALUE"""),"#N/A")</f>
        <v>#N/A</v>
      </c>
      <c r="O48" s="32">
        <f>IFERROR(__xludf.DUMMYFUNCTION("""COMPUTED_VALUE"""),0.0)</f>
        <v>0</v>
      </c>
      <c r="P48" s="32">
        <f>IFERROR(__xludf.DUMMYFUNCTION("""COMPUTED_VALUE"""),0.0)</f>
        <v>0</v>
      </c>
      <c r="Q48" s="32">
        <f>IFERROR(__xludf.DUMMYFUNCTION("""COMPUTED_VALUE"""),0.0)</f>
        <v>0</v>
      </c>
      <c r="R48" s="7">
        <f>IFERROR(__xludf.DUMMYFUNCTION("""COMPUTED_VALUE"""),0.0)</f>
        <v>0</v>
      </c>
    </row>
    <row r="49">
      <c r="A49" s="29">
        <f>IFERROR(__xludf.DUMMYFUNCTION("""COMPUTED_VALUE"""),402.0)</f>
        <v>402</v>
      </c>
      <c r="B49" s="29" t="str">
        <f>IFERROR(__xludf.DUMMYFUNCTION("""COMPUTED_VALUE"""),"Mya Mehmi")</f>
        <v>Mya Mehmi</v>
      </c>
      <c r="C49" s="29"/>
      <c r="D49" s="29"/>
      <c r="E49" s="29" t="str">
        <f>IFERROR(__xludf.DUMMYFUNCTION("""COMPUTED_VALUE"""),"DJ / LIVE Act")</f>
        <v>DJ / LIVE Act</v>
      </c>
      <c r="F49" s="29"/>
      <c r="G49" s="29"/>
      <c r="H49" s="29"/>
      <c r="I49" s="29"/>
      <c r="J49" s="29"/>
      <c r="K49" s="29"/>
      <c r="L49" s="29"/>
      <c r="M49" s="31">
        <f>IFERROR(__xludf.DUMMYFUNCTION("""COMPUTED_VALUE"""),45262.0)</f>
        <v>45262</v>
      </c>
      <c r="N49" s="29" t="str">
        <f>IFERROR(__xludf.DUMMYFUNCTION("""COMPUTED_VALUE"""),"Earth Hackney Dec 2023")</f>
        <v>Earth Hackney Dec 2023</v>
      </c>
      <c r="O49" s="29">
        <f>IFERROR(__xludf.DUMMYFUNCTION("""COMPUTED_VALUE"""),0.0)</f>
        <v>0</v>
      </c>
      <c r="P49" s="29">
        <f>IFERROR(__xludf.DUMMYFUNCTION("""COMPUTED_VALUE"""),1.0)</f>
        <v>1</v>
      </c>
      <c r="Q49" s="29">
        <f>IFERROR(__xludf.DUMMYFUNCTION("""COMPUTED_VALUE"""),0.0)</f>
        <v>0</v>
      </c>
      <c r="R49" s="7">
        <f>IFERROR(__xludf.DUMMYFUNCTION("""COMPUTED_VALUE"""),2.0)</f>
        <v>2</v>
      </c>
    </row>
    <row r="50">
      <c r="A50" s="32">
        <f>IFERROR(__xludf.DUMMYFUNCTION("""COMPUTED_VALUE"""),403.0)</f>
        <v>403</v>
      </c>
      <c r="B50" s="32" t="str">
        <f>IFERROR(__xludf.DUMMYFUNCTION("""COMPUTED_VALUE"""),"Nadine Noor")</f>
        <v>Nadine Noor</v>
      </c>
      <c r="C50" s="32"/>
      <c r="D50" s="32"/>
      <c r="E50" s="32" t="str">
        <f>IFERROR(__xludf.DUMMYFUNCTION("""COMPUTED_VALUE"""),"DJ")</f>
        <v>DJ</v>
      </c>
      <c r="F50" s="32"/>
      <c r="G50" s="32"/>
      <c r="H50" s="32"/>
      <c r="I50" s="32"/>
      <c r="J50" s="32"/>
      <c r="K50" s="32"/>
      <c r="L50" s="32"/>
      <c r="M50" s="34">
        <f>IFERROR(__xludf.DUMMYFUNCTION("""COMPUTED_VALUE"""),45262.0)</f>
        <v>45262</v>
      </c>
      <c r="N50" s="32" t="str">
        <f>IFERROR(__xludf.DUMMYFUNCTION("""COMPUTED_VALUE"""),"Earth Hackney December 2023")</f>
        <v>Earth Hackney December 2023</v>
      </c>
      <c r="O50" s="32">
        <f>IFERROR(__xludf.DUMMYFUNCTION("""COMPUTED_VALUE"""),0.0)</f>
        <v>0</v>
      </c>
      <c r="P50" s="32">
        <f>IFERROR(__xludf.DUMMYFUNCTION("""COMPUTED_VALUE"""),1.0)</f>
        <v>1</v>
      </c>
      <c r="Q50" s="32">
        <f>IFERROR(__xludf.DUMMYFUNCTION("""COMPUTED_VALUE"""),0.0)</f>
        <v>0</v>
      </c>
      <c r="R50" s="7">
        <f>IFERROR(__xludf.DUMMYFUNCTION("""COMPUTED_VALUE"""),2.0)</f>
        <v>2</v>
      </c>
    </row>
    <row r="51">
      <c r="A51" s="29">
        <f>IFERROR(__xludf.DUMMYFUNCTION("""COMPUTED_VALUE"""),404.0)</f>
        <v>404</v>
      </c>
      <c r="B51" s="29" t="str">
        <f>IFERROR(__xludf.DUMMYFUNCTION("""COMPUTED_VALUE"""),"A.G.")</f>
        <v>A.G.</v>
      </c>
      <c r="C51" s="29"/>
      <c r="D51" s="29"/>
      <c r="E51" s="29" t="str">
        <f>IFERROR(__xludf.DUMMYFUNCTION("""COMPUTED_VALUE"""),"DJ")</f>
        <v>DJ</v>
      </c>
      <c r="F51" s="29"/>
      <c r="G51" s="29"/>
      <c r="H51" s="29"/>
      <c r="I51" s="29"/>
      <c r="J51" s="29"/>
      <c r="K51" s="29"/>
      <c r="L51" s="29"/>
      <c r="M51" s="31">
        <f>IFERROR(__xludf.DUMMYFUNCTION("""COMPUTED_VALUE"""),45262.0)</f>
        <v>45262</v>
      </c>
      <c r="N51" s="29" t="str">
        <f>IFERROR(__xludf.DUMMYFUNCTION("""COMPUTED_VALUE"""),"Earth Hackney Dec 2023")</f>
        <v>Earth Hackney Dec 2023</v>
      </c>
      <c r="O51" s="29">
        <f>IFERROR(__xludf.DUMMYFUNCTION("""COMPUTED_VALUE"""),0.0)</f>
        <v>0</v>
      </c>
      <c r="P51" s="29">
        <f>IFERROR(__xludf.DUMMYFUNCTION("""COMPUTED_VALUE"""),1.0)</f>
        <v>1</v>
      </c>
      <c r="Q51" s="29">
        <f>IFERROR(__xludf.DUMMYFUNCTION("""COMPUTED_VALUE"""),0.0)</f>
        <v>0</v>
      </c>
      <c r="R51" s="7">
        <f>IFERROR(__xludf.DUMMYFUNCTION("""COMPUTED_VALUE"""),2.0)</f>
        <v>2</v>
      </c>
    </row>
    <row r="52">
      <c r="A52" s="32">
        <f>IFERROR(__xludf.DUMMYFUNCTION("""COMPUTED_VALUE"""),405.0)</f>
        <v>405</v>
      </c>
      <c r="B52" s="32" t="str">
        <f>IFERROR(__xludf.DUMMYFUNCTION("""COMPUTED_VALUE"""),"Basmati")</f>
        <v>Basmati</v>
      </c>
      <c r="C52" s="32"/>
      <c r="D52" s="32"/>
      <c r="E52" s="32" t="str">
        <f>IFERROR(__xludf.DUMMYFUNCTION("""COMPUTED_VALUE"""),"DJ")</f>
        <v>DJ</v>
      </c>
      <c r="F52" s="32"/>
      <c r="G52" s="32"/>
      <c r="H52" s="32"/>
      <c r="I52" s="32"/>
      <c r="J52" s="32"/>
      <c r="K52" s="32"/>
      <c r="L52" s="32"/>
      <c r="M52" s="34">
        <f>IFERROR(__xludf.DUMMYFUNCTION("""COMPUTED_VALUE"""),45262.0)</f>
        <v>45262</v>
      </c>
      <c r="N52" s="32" t="str">
        <f>IFERROR(__xludf.DUMMYFUNCTION("""COMPUTED_VALUE"""),"Earth Hackney Dec 2023")</f>
        <v>Earth Hackney Dec 2023</v>
      </c>
      <c r="O52" s="32">
        <f>IFERROR(__xludf.DUMMYFUNCTION("""COMPUTED_VALUE"""),0.0)</f>
        <v>0</v>
      </c>
      <c r="P52" s="32">
        <f>IFERROR(__xludf.DUMMYFUNCTION("""COMPUTED_VALUE"""),1.0)</f>
        <v>1</v>
      </c>
      <c r="Q52" s="32">
        <f>IFERROR(__xludf.DUMMYFUNCTION("""COMPUTED_VALUE"""),0.0)</f>
        <v>0</v>
      </c>
      <c r="R52" s="7">
        <f>IFERROR(__xludf.DUMMYFUNCTION("""COMPUTED_VALUE"""),2.0)</f>
        <v>2</v>
      </c>
    </row>
    <row r="53">
      <c r="A53" s="29">
        <f>IFERROR(__xludf.DUMMYFUNCTION("""COMPUTED_VALUE"""),407.0)</f>
        <v>407</v>
      </c>
      <c r="B53" s="29" t="str">
        <f>IFERROR(__xludf.DUMMYFUNCTION("""COMPUTED_VALUE"""),"Robu")</f>
        <v>Robu</v>
      </c>
      <c r="C53" s="29"/>
      <c r="D53" s="29"/>
      <c r="E53" s="29" t="str">
        <f>IFERROR(__xludf.DUMMYFUNCTION("""COMPUTED_VALUE"""),"DJ/Producer")</f>
        <v>DJ/Producer</v>
      </c>
      <c r="F53" s="29"/>
      <c r="G53" s="29"/>
      <c r="H53" s="30" t="str">
        <f>IFERROR(__xludf.DUMMYFUNCTION("""COMPUTED_VALUE"""),"https://www.instagram.com/robumusic/?hl=en")</f>
        <v>https://www.instagram.com/robumusic/?hl=en</v>
      </c>
      <c r="I53" s="30" t="str">
        <f>IFERROR(__xludf.DUMMYFUNCTION("""COMPUTED_VALUE"""),"https://soundcloud.com/robumusic")</f>
        <v>https://soundcloud.com/robumusic</v>
      </c>
      <c r="J53" s="29"/>
      <c r="K53" s="29"/>
      <c r="L53" s="29"/>
      <c r="M53" s="31">
        <f>IFERROR(__xludf.DUMMYFUNCTION("""COMPUTED_VALUE"""),0.0)</f>
        <v>0</v>
      </c>
      <c r="N53" s="29" t="str">
        <f>IFERROR(__xludf.DUMMYFUNCTION("""COMPUTED_VALUE"""),"#N/A")</f>
        <v>#N/A</v>
      </c>
      <c r="O53" s="29">
        <f>IFERROR(__xludf.DUMMYFUNCTION("""COMPUTED_VALUE"""),0.0)</f>
        <v>0</v>
      </c>
      <c r="P53" s="29">
        <f>IFERROR(__xludf.DUMMYFUNCTION("""COMPUTED_VALUE"""),0.0)</f>
        <v>0</v>
      </c>
      <c r="Q53" s="29">
        <f>IFERROR(__xludf.DUMMYFUNCTION("""COMPUTED_VALUE"""),0.0)</f>
        <v>0</v>
      </c>
      <c r="R53" s="7">
        <f>IFERROR(__xludf.DUMMYFUNCTION("""COMPUTED_VALUE"""),0.0)</f>
        <v>0</v>
      </c>
    </row>
    <row r="54">
      <c r="A54" s="32">
        <f>IFERROR(__xludf.DUMMYFUNCTION("""COMPUTED_VALUE"""),408.0)</f>
        <v>408</v>
      </c>
      <c r="B54" s="32" t="str">
        <f>IFERROR(__xludf.DUMMYFUNCTION("""COMPUTED_VALUE"""),"Insowmya")</f>
        <v>Insowmya</v>
      </c>
      <c r="C54" s="32"/>
      <c r="D54" s="32"/>
      <c r="E54" s="32" t="str">
        <f>IFERROR(__xludf.DUMMYFUNCTION("""COMPUTED_VALUE"""),"DJ/Producer")</f>
        <v>DJ/Producer</v>
      </c>
      <c r="F54" s="32" t="str">
        <f>IFERROR(__xludf.DUMMYFUNCTION("""COMPUTED_VALUE"""),"Electro / Hip Hop")</f>
        <v>Electro / Hip Hop</v>
      </c>
      <c r="G54" s="32"/>
      <c r="H54" s="33" t="str">
        <f>IFERROR(__xludf.DUMMYFUNCTION("""COMPUTED_VALUE"""),"https://www.instagram.com/insowmya/?hl=en")</f>
        <v>https://www.instagram.com/insowmya/?hl=en</v>
      </c>
      <c r="I54" s="32"/>
      <c r="J54" s="32"/>
      <c r="K54" s="32"/>
      <c r="L54" s="33" t="str">
        <f>IFERROR(__xludf.DUMMYFUNCTION("""COMPUTED_VALUE"""),"https://www.youtube.com/watch?v=3zKk_Lp7_tk")</f>
        <v>https://www.youtube.com/watch?v=3zKk_Lp7_tk</v>
      </c>
      <c r="M54" s="34">
        <f>IFERROR(__xludf.DUMMYFUNCTION("""COMPUTED_VALUE"""),0.0)</f>
        <v>0</v>
      </c>
      <c r="N54" s="32" t="str">
        <f>IFERROR(__xludf.DUMMYFUNCTION("""COMPUTED_VALUE"""),"#N/A")</f>
        <v>#N/A</v>
      </c>
      <c r="O54" s="32">
        <f>IFERROR(__xludf.DUMMYFUNCTION("""COMPUTED_VALUE"""),0.0)</f>
        <v>0</v>
      </c>
      <c r="P54" s="32">
        <f>IFERROR(__xludf.DUMMYFUNCTION("""COMPUTED_VALUE"""),0.0)</f>
        <v>0</v>
      </c>
      <c r="Q54" s="32">
        <f>IFERROR(__xludf.DUMMYFUNCTION("""COMPUTED_VALUE"""),0.0)</f>
        <v>0</v>
      </c>
      <c r="R54" s="7">
        <f>IFERROR(__xludf.DUMMYFUNCTION("""COMPUTED_VALUE"""),0.0)</f>
        <v>0</v>
      </c>
    </row>
    <row r="55">
      <c r="A55" s="29">
        <f>IFERROR(__xludf.DUMMYFUNCTION("""COMPUTED_VALUE"""),409.0)</f>
        <v>409</v>
      </c>
      <c r="B55" s="29" t="str">
        <f>IFERROR(__xludf.DUMMYFUNCTION("""COMPUTED_VALUE"""),"Benteki")</f>
        <v>Benteki</v>
      </c>
      <c r="C55" s="29"/>
      <c r="D55" s="29"/>
      <c r="E55" s="29" t="str">
        <f>IFERROR(__xludf.DUMMYFUNCTION("""COMPUTED_VALUE"""),"DJ")</f>
        <v>DJ</v>
      </c>
      <c r="F55" s="29"/>
      <c r="G55" s="29"/>
      <c r="H55" s="30" t="str">
        <f>IFERROR(__xludf.DUMMYFUNCTION("""COMPUTED_VALUE"""),"https://www.instagram.com/benteki_/?igsh=ZzV0NHg1amlta2N1")</f>
        <v>https://www.instagram.com/benteki_/?igsh=ZzV0NHg1amlta2N1</v>
      </c>
      <c r="I55" s="29"/>
      <c r="J55" s="29"/>
      <c r="K55" s="29"/>
      <c r="L55" s="29"/>
      <c r="M55" s="31">
        <f>IFERROR(__xludf.DUMMYFUNCTION("""COMPUTED_VALUE"""),0.0)</f>
        <v>0</v>
      </c>
      <c r="N55" s="29" t="str">
        <f>IFERROR(__xludf.DUMMYFUNCTION("""COMPUTED_VALUE"""),"#N/A")</f>
        <v>#N/A</v>
      </c>
      <c r="O55" s="29">
        <f>IFERROR(__xludf.DUMMYFUNCTION("""COMPUTED_VALUE"""),0.0)</f>
        <v>0</v>
      </c>
      <c r="P55" s="29">
        <f>IFERROR(__xludf.DUMMYFUNCTION("""COMPUTED_VALUE"""),0.0)</f>
        <v>0</v>
      </c>
      <c r="Q55" s="29">
        <f>IFERROR(__xludf.DUMMYFUNCTION("""COMPUTED_VALUE"""),0.0)</f>
        <v>0</v>
      </c>
      <c r="R55" s="7">
        <f>IFERROR(__xludf.DUMMYFUNCTION("""COMPUTED_VALUE"""),0.0)</f>
        <v>0</v>
      </c>
    </row>
    <row r="56">
      <c r="A56" s="32">
        <f>IFERROR(__xludf.DUMMYFUNCTION("""COMPUTED_VALUE"""),418.0)</f>
        <v>418</v>
      </c>
      <c r="B56" s="32" t="str">
        <f>IFERROR(__xludf.DUMMYFUNCTION("""COMPUTED_VALUE"""),"Sway Of The Verses")</f>
        <v>Sway Of The Verses</v>
      </c>
      <c r="C56" s="32"/>
      <c r="D56" s="32"/>
      <c r="E56" s="32" t="str">
        <f>IFERROR(__xludf.DUMMYFUNCTION("""COMPUTED_VALUE"""),"DJ")</f>
        <v>DJ</v>
      </c>
      <c r="F56" s="32" t="str">
        <f>IFERROR(__xludf.DUMMYFUNCTION("""COMPUTED_VALUE"""),"Indian Classical, Bhangra, Rap, Drill, House, Techno")</f>
        <v>Indian Classical, Bhangra, Rap, Drill, House, Techno</v>
      </c>
      <c r="G56" s="32" t="str">
        <f>IFERROR(__xludf.DUMMYFUNCTION("""COMPUTED_VALUE"""),"pritpal@kikuchi-online.com")</f>
        <v>pritpal@kikuchi-online.com</v>
      </c>
      <c r="H56" s="33" t="str">
        <f>IFERROR(__xludf.DUMMYFUNCTION("""COMPUTED_VALUE"""),"https://www.instagram.com/swayoftheverses/")</f>
        <v>https://www.instagram.com/swayoftheverses/</v>
      </c>
      <c r="I56" s="32"/>
      <c r="J56" s="32"/>
      <c r="K56" s="32"/>
      <c r="L56" s="33" t="str">
        <f>IFERROR(__xludf.DUMMYFUNCTION("""COMPUTED_VALUE"""),"https://linktr.ee/swayoftheverses")</f>
        <v>https://linktr.ee/swayoftheverses</v>
      </c>
      <c r="M56" s="34">
        <f>IFERROR(__xludf.DUMMYFUNCTION("""COMPUTED_VALUE"""),0.0)</f>
        <v>0</v>
      </c>
      <c r="N56" s="32" t="str">
        <f>IFERROR(__xludf.DUMMYFUNCTION("""COMPUTED_VALUE"""),"#N/A")</f>
        <v>#N/A</v>
      </c>
      <c r="O56" s="32">
        <f>IFERROR(__xludf.DUMMYFUNCTION("""COMPUTED_VALUE"""),0.0)</f>
        <v>0</v>
      </c>
      <c r="P56" s="32">
        <f>IFERROR(__xludf.DUMMYFUNCTION("""COMPUTED_VALUE"""),0.0)</f>
        <v>0</v>
      </c>
      <c r="Q56" s="32">
        <f>IFERROR(__xludf.DUMMYFUNCTION("""COMPUTED_VALUE"""),0.0)</f>
        <v>0</v>
      </c>
      <c r="R56" s="7">
        <f>IFERROR(__xludf.DUMMYFUNCTION("""COMPUTED_VALUE"""),0.0)</f>
        <v>0</v>
      </c>
    </row>
    <row r="57">
      <c r="A57" s="29">
        <f>IFERROR(__xludf.DUMMYFUNCTION("""COMPUTED_VALUE"""),422.0)</f>
        <v>422</v>
      </c>
      <c r="B57" s="29" t="str">
        <f>IFERROR(__xludf.DUMMYFUNCTION("""COMPUTED_VALUE"""),"Sharan")</f>
        <v>Sharan</v>
      </c>
      <c r="C57" s="29"/>
      <c r="D57" s="29"/>
      <c r="E57" s="29" t="str">
        <f>IFERROR(__xludf.DUMMYFUNCTION("""COMPUTED_VALUE"""),"DJ")</f>
        <v>DJ</v>
      </c>
      <c r="F57" s="29"/>
      <c r="G57" s="29" t="str">
        <f>IFERROR(__xludf.DUMMYFUNCTION("""COMPUTED_VALUE"""),"sharans4@hotmail.com")</f>
        <v>sharans4@hotmail.com</v>
      </c>
      <c r="H57" s="30" t="str">
        <f>IFERROR(__xludf.DUMMYFUNCTION("""COMPUTED_VALUE"""),"https://www.instagram.com/shhh.run/")</f>
        <v>https://www.instagram.com/shhh.run/</v>
      </c>
      <c r="I57" s="29"/>
      <c r="J57" s="29"/>
      <c r="K57" s="29"/>
      <c r="L57" s="29"/>
      <c r="M57" s="31">
        <f>IFERROR(__xludf.DUMMYFUNCTION("""COMPUTED_VALUE"""),0.0)</f>
        <v>0</v>
      </c>
      <c r="N57" s="29" t="str">
        <f>IFERROR(__xludf.DUMMYFUNCTION("""COMPUTED_VALUE"""),"#N/A")</f>
        <v>#N/A</v>
      </c>
      <c r="O57" s="29">
        <f>IFERROR(__xludf.DUMMYFUNCTION("""COMPUTED_VALUE"""),0.0)</f>
        <v>0</v>
      </c>
      <c r="P57" s="29">
        <f>IFERROR(__xludf.DUMMYFUNCTION("""COMPUTED_VALUE"""),0.0)</f>
        <v>0</v>
      </c>
      <c r="Q57" s="29">
        <f>IFERROR(__xludf.DUMMYFUNCTION("""COMPUTED_VALUE"""),0.0)</f>
        <v>0</v>
      </c>
      <c r="R57" s="7">
        <f>IFERROR(__xludf.DUMMYFUNCTION("""COMPUTED_VALUE"""),0.0)</f>
        <v>0</v>
      </c>
    </row>
    <row r="58">
      <c r="A58" s="32">
        <f>IFERROR(__xludf.DUMMYFUNCTION("""COMPUTED_VALUE"""),423.0)</f>
        <v>423</v>
      </c>
      <c r="B58" s="32" t="str">
        <f>IFERROR(__xludf.DUMMYFUNCTION("""COMPUTED_VALUE"""),"Kaya M")</f>
        <v>Kaya M</v>
      </c>
      <c r="C58" s="32"/>
      <c r="D58" s="32"/>
      <c r="E58" s="32" t="str">
        <f>IFERROR(__xludf.DUMMYFUNCTION("""COMPUTED_VALUE"""),"DJ")</f>
        <v>DJ</v>
      </c>
      <c r="F58" s="32"/>
      <c r="G58" s="32" t="str">
        <f>IFERROR(__xludf.DUMMYFUNCTION("""COMPUTED_VALUE"""),"kaya@kanefm.com")</f>
        <v>kaya@kanefm.com</v>
      </c>
      <c r="H58" s="33" t="str">
        <f>IFERROR(__xludf.DUMMYFUNCTION("""COMPUTED_VALUE"""),"https://www.instagram.com/kayamgram/")</f>
        <v>https://www.instagram.com/kayamgram/</v>
      </c>
      <c r="I58" s="32"/>
      <c r="J58" s="32"/>
      <c r="K58" s="32"/>
      <c r="L58" s="33" t="str">
        <f>IFERROR(__xludf.DUMMYFUNCTION("""COMPUTED_VALUE"""),"https://linktr.ee/kayaatkanefm")</f>
        <v>https://linktr.ee/kayaatkanefm</v>
      </c>
      <c r="M58" s="34">
        <f>IFERROR(__xludf.DUMMYFUNCTION("""COMPUTED_VALUE"""),0.0)</f>
        <v>0</v>
      </c>
      <c r="N58" s="32" t="str">
        <f>IFERROR(__xludf.DUMMYFUNCTION("""COMPUTED_VALUE"""),"#N/A")</f>
        <v>#N/A</v>
      </c>
      <c r="O58" s="32">
        <f>IFERROR(__xludf.DUMMYFUNCTION("""COMPUTED_VALUE"""),0.0)</f>
        <v>0</v>
      </c>
      <c r="P58" s="32">
        <f>IFERROR(__xludf.DUMMYFUNCTION("""COMPUTED_VALUE"""),0.0)</f>
        <v>0</v>
      </c>
      <c r="Q58" s="32">
        <f>IFERROR(__xludf.DUMMYFUNCTION("""COMPUTED_VALUE"""),0.0)</f>
        <v>0</v>
      </c>
      <c r="R58" s="7">
        <f>IFERROR(__xludf.DUMMYFUNCTION("""COMPUTED_VALUE"""),0.0)</f>
        <v>0</v>
      </c>
    </row>
    <row r="59">
      <c r="A59" s="29">
        <f>IFERROR(__xludf.DUMMYFUNCTION("""COMPUTED_VALUE"""),424.0)</f>
        <v>424</v>
      </c>
      <c r="B59" s="29" t="str">
        <f>IFERROR(__xludf.DUMMYFUNCTION("""COMPUTED_VALUE"""),"V.I.V.E.K.")</f>
        <v>V.I.V.E.K.</v>
      </c>
      <c r="C59" s="29"/>
      <c r="D59" s="29"/>
      <c r="E59" s="29" t="str">
        <f>IFERROR(__xludf.DUMMYFUNCTION("""COMPUTED_VALUE"""),"DJ")</f>
        <v>DJ</v>
      </c>
      <c r="F59" s="29" t="str">
        <f>IFERROR(__xludf.DUMMYFUNCTION("""COMPUTED_VALUE"""),"Dubstep")</f>
        <v>Dubstep</v>
      </c>
      <c r="G59" s="29" t="str">
        <f>IFERROR(__xludf.DUMMYFUNCTION("""COMPUTED_VALUE"""),"nikki@synchronicity.agency")</f>
        <v>nikki@synchronicity.agency</v>
      </c>
      <c r="H59" s="30" t="str">
        <f>IFERROR(__xludf.DUMMYFUNCTION("""COMPUTED_VALUE"""),"https://www.instagram.com/viveksystem/")</f>
        <v>https://www.instagram.com/viveksystem/</v>
      </c>
      <c r="I59" s="29"/>
      <c r="J59" s="29"/>
      <c r="K59" s="29"/>
      <c r="L59" s="30" t="str">
        <f>IFERROR(__xludf.DUMMYFUNCTION("""COMPUTED_VALUE"""),"https://vivek.bandcamp.com/")</f>
        <v>https://vivek.bandcamp.com/</v>
      </c>
      <c r="M59" s="31">
        <f>IFERROR(__xludf.DUMMYFUNCTION("""COMPUTED_VALUE"""),0.0)</f>
        <v>0</v>
      </c>
      <c r="N59" s="29" t="str">
        <f>IFERROR(__xludf.DUMMYFUNCTION("""COMPUTED_VALUE"""),"#N/A")</f>
        <v>#N/A</v>
      </c>
      <c r="O59" s="29">
        <f>IFERROR(__xludf.DUMMYFUNCTION("""COMPUTED_VALUE"""),0.0)</f>
        <v>0</v>
      </c>
      <c r="P59" s="29">
        <f>IFERROR(__xludf.DUMMYFUNCTION("""COMPUTED_VALUE"""),0.0)</f>
        <v>0</v>
      </c>
      <c r="Q59" s="29">
        <f>IFERROR(__xludf.DUMMYFUNCTION("""COMPUTED_VALUE"""),0.0)</f>
        <v>0</v>
      </c>
      <c r="R59" s="7">
        <f>IFERROR(__xludf.DUMMYFUNCTION("""COMPUTED_VALUE"""),0.0)</f>
        <v>0</v>
      </c>
    </row>
    <row r="60">
      <c r="A60" s="32">
        <f>IFERROR(__xludf.DUMMYFUNCTION("""COMPUTED_VALUE"""),425.0)</f>
        <v>425</v>
      </c>
      <c r="B60" s="32" t="str">
        <f>IFERROR(__xludf.DUMMYFUNCTION("""COMPUTED_VALUE"""),"4resh")</f>
        <v>4resh</v>
      </c>
      <c r="C60" s="32" t="str">
        <f>IFERROR(__xludf.DUMMYFUNCTION("""COMPUTED_VALUE"""),"she/her")</f>
        <v>she/her</v>
      </c>
      <c r="D60" s="32"/>
      <c r="E60" s="32" t="str">
        <f>IFERROR(__xludf.DUMMYFUNCTION("""COMPUTED_VALUE"""),"DJ")</f>
        <v>DJ</v>
      </c>
      <c r="F60" s="32" t="str">
        <f>IFERROR(__xludf.DUMMYFUNCTION("""COMPUTED_VALUE"""),"Hip hop, rap")</f>
        <v>Hip hop, rap</v>
      </c>
      <c r="G60" s="32" t="str">
        <f>IFERROR(__xludf.DUMMYFUNCTION("""COMPUTED_VALUE"""),"esha.sikander@gmail.com")</f>
        <v>esha.sikander@gmail.com</v>
      </c>
      <c r="H60" s="33" t="str">
        <f>IFERROR(__xludf.DUMMYFUNCTION("""COMPUTED_VALUE"""),"https://www.instagram.com/__4resh/")</f>
        <v>https://www.instagram.com/__4resh/</v>
      </c>
      <c r="I60" s="32"/>
      <c r="J60" s="32"/>
      <c r="K60" s="32"/>
      <c r="L60" s="32"/>
      <c r="M60" s="34">
        <f>IFERROR(__xludf.DUMMYFUNCTION("""COMPUTED_VALUE"""),0.0)</f>
        <v>0</v>
      </c>
      <c r="N60" s="32" t="str">
        <f>IFERROR(__xludf.DUMMYFUNCTION("""COMPUTED_VALUE"""),"#N/A")</f>
        <v>#N/A</v>
      </c>
      <c r="O60" s="32">
        <f>IFERROR(__xludf.DUMMYFUNCTION("""COMPUTED_VALUE"""),0.0)</f>
        <v>0</v>
      </c>
      <c r="P60" s="32">
        <f>IFERROR(__xludf.DUMMYFUNCTION("""COMPUTED_VALUE"""),0.0)</f>
        <v>0</v>
      </c>
      <c r="Q60" s="32">
        <f>IFERROR(__xludf.DUMMYFUNCTION("""COMPUTED_VALUE"""),0.0)</f>
        <v>0</v>
      </c>
      <c r="R60" s="7">
        <f>IFERROR(__xludf.DUMMYFUNCTION("""COMPUTED_VALUE"""),0.0)</f>
        <v>0</v>
      </c>
    </row>
    <row r="61">
      <c r="A61" s="29"/>
      <c r="B61" s="29" t="str">
        <f>IFERROR(__xludf.DUMMYFUNCTION("""COMPUTED_VALUE"""),"DJ Gilla")</f>
        <v>DJ Gilla</v>
      </c>
      <c r="C61" s="29" t="str">
        <f>IFERROR(__xludf.DUMMYFUNCTION("""COMPUTED_VALUE"""),"he/him")</f>
        <v>he/him</v>
      </c>
      <c r="D61" s="29"/>
      <c r="E61" s="29" t="str">
        <f>IFERROR(__xludf.DUMMYFUNCTION("""COMPUTED_VALUE"""),"DJ")</f>
        <v>DJ</v>
      </c>
      <c r="F61" s="29" t="str">
        <f>IFERROR(__xludf.DUMMYFUNCTION("""COMPUTED_VALUE"""),"Jazz, Soul, Groove, First Word Records Owner")</f>
        <v>Jazz, Soul, Groove, First Word Records Owner</v>
      </c>
      <c r="G61" s="29" t="str">
        <f>IFERROR(__xludf.DUMMYFUNCTION("""COMPUTED_VALUE"""),"aly@firstwordrecords.com ")</f>
        <v>aly@firstwordrecords.com </v>
      </c>
      <c r="H61" s="30" t="str">
        <f>IFERROR(__xludf.DUMMYFUNCTION("""COMPUTED_VALUE"""),"https://www.instagram.com/djgillaldn/")</f>
        <v>https://www.instagram.com/djgillaldn/</v>
      </c>
      <c r="I61" s="29"/>
      <c r="J61" s="29"/>
      <c r="K61" s="29"/>
      <c r="L61" s="30" t="str">
        <f>IFERROR(__xludf.DUMMYFUNCTION("""COMPUTED_VALUE"""),"https://linktr.ee/djgillaldn")</f>
        <v>https://linktr.ee/djgillaldn</v>
      </c>
      <c r="M61" s="31"/>
      <c r="N61" s="29"/>
      <c r="O61" s="29"/>
      <c r="P61" s="29"/>
      <c r="Q61" s="29"/>
      <c r="R61" s="7"/>
    </row>
    <row r="62">
      <c r="A62" s="32">
        <f>IFERROR(__xludf.DUMMYFUNCTION("""COMPUTED_VALUE"""),427.0)</f>
        <v>427</v>
      </c>
      <c r="B62" s="32" t="str">
        <f>IFERROR(__xludf.DUMMYFUNCTION("""COMPUTED_VALUE"""),"Alootwins")</f>
        <v>Alootwins</v>
      </c>
      <c r="C62" s="32" t="str">
        <f>IFERROR(__xludf.DUMMYFUNCTION("""COMPUTED_VALUE"""),"She")</f>
        <v>She</v>
      </c>
      <c r="D62" s="32" t="str">
        <f>IFERROR(__xludf.DUMMYFUNCTION("""COMPUTED_VALUE"""),"Pakistan ")</f>
        <v>Pakistan </v>
      </c>
      <c r="E62" s="32" t="str">
        <f>IFERROR(__xludf.DUMMYFUNCTION("""COMPUTED_VALUE"""),"DJ")</f>
        <v>DJ</v>
      </c>
      <c r="F62" s="32" t="str">
        <f>IFERROR(__xludf.DUMMYFUNCTION("""COMPUTED_VALUE"""),"RnB, Hiphop, Afrobeats, Baile, Bhangra, Bollywood")</f>
        <v>RnB, Hiphop, Afrobeats, Baile, Bhangra, Bollywood</v>
      </c>
      <c r="G62" s="32" t="str">
        <f>IFERROR(__xludf.DUMMYFUNCTION("""COMPUTED_VALUE"""),"alootwins@yahoo.com")</f>
        <v>alootwins@yahoo.com</v>
      </c>
      <c r="H62" s="32"/>
      <c r="I62" s="33" t="str">
        <f>IFERROR(__xludf.DUMMYFUNCTION("""COMPUTED_VALUE"""),"https://on.soundcloud.com/MWSvaX8kC2NJqTx18")</f>
        <v>https://on.soundcloud.com/MWSvaX8kC2NJqTx18</v>
      </c>
      <c r="J62" s="33" t="str">
        <f>IFERROR(__xludf.DUMMYFUNCTION("""COMPUTED_VALUE"""),"https://www.tiktok.com/@alootwins?_t=8og5EiT6fkv&amp;_r=1")</f>
        <v>https://www.tiktok.com/@alootwins?_t=8og5EiT6fkv&amp;_r=1</v>
      </c>
      <c r="K62" s="32"/>
      <c r="L62" s="32"/>
      <c r="M62" s="34"/>
      <c r="N62" s="32"/>
      <c r="O62" s="32"/>
      <c r="P62" s="32"/>
      <c r="Q62" s="32"/>
      <c r="R62" s="7"/>
    </row>
    <row r="63">
      <c r="A63" s="29">
        <f>IFERROR(__xludf.DUMMYFUNCTION("""COMPUTED_VALUE"""),428.0)</f>
        <v>428</v>
      </c>
      <c r="B63" s="29" t="str">
        <f>IFERROR(__xludf.DUMMYFUNCTION("""COMPUTED_VALUE"""),"JAY TAPES")</f>
        <v>JAY TAPES</v>
      </c>
      <c r="C63" s="29" t="str">
        <f>IFERROR(__xludf.DUMMYFUNCTION("""COMPUTED_VALUE"""),"He/him")</f>
        <v>He/him</v>
      </c>
      <c r="D63" s="29" t="str">
        <f>IFERROR(__xludf.DUMMYFUNCTION("""COMPUTED_VALUE"""),"Indian")</f>
        <v>Indian</v>
      </c>
      <c r="E63" s="29" t="str">
        <f>IFERROR(__xludf.DUMMYFUNCTION("""COMPUTED_VALUE"""),"DJ")</f>
        <v>DJ</v>
      </c>
      <c r="F63" s="29" t="str">
        <f>IFERROR(__xludf.DUMMYFUNCTION("""COMPUTED_VALUE"""),"House, techno, minimal, baile, broken beat, jersey club")</f>
        <v>House, techno, minimal, baile, broken beat, jersey club</v>
      </c>
      <c r="G63" s="29" t="str">
        <f>IFERROR(__xludf.DUMMYFUNCTION("""COMPUTED_VALUE"""),"jaytapesmusic@gmail.com")</f>
        <v>jaytapesmusic@gmail.com</v>
      </c>
      <c r="H63" s="30" t="str">
        <f>IFERROR(__xludf.DUMMYFUNCTION("""COMPUTED_VALUE"""),"http://instagram.com/jay.tapes")</f>
        <v>http://instagram.com/jay.tapes</v>
      </c>
      <c r="I63" s="30" t="str">
        <f>IFERROR(__xludf.DUMMYFUNCTION("""COMPUTED_VALUE"""),"soundcloud.com/jaytapes")</f>
        <v>soundcloud.com/jaytapes</v>
      </c>
      <c r="J63" s="29"/>
      <c r="K63" s="30" t="str">
        <f>IFERROR(__xludf.DUMMYFUNCTION("""COMPUTED_VALUE"""),"https://www.mixcloud.com/jaytapesmusic/")</f>
        <v>https://www.mixcloud.com/jaytapesmusic/</v>
      </c>
      <c r="L63" s="30" t="str">
        <f>IFERROR(__xludf.DUMMYFUNCTION("""COMPUTED_VALUE"""),"https://www.dropbox.com/scl/fo/8rzywvolev4ty02xalhf1/AJkk0fIkKcjZrvfku2_iTiE?rlkey=rm3b7pzl1txx75vsjy2ex6ghj&amp;dl=0")</f>
        <v>https://www.dropbox.com/scl/fo/8rzywvolev4ty02xalhf1/AJkk0fIkKcjZrvfku2_iTiE?rlkey=rm3b7pzl1txx75vsjy2ex6ghj&amp;dl=0</v>
      </c>
      <c r="M63" s="31"/>
      <c r="N63" s="29"/>
      <c r="O63" s="29"/>
      <c r="P63" s="29"/>
      <c r="Q63" s="29"/>
      <c r="R63" s="7"/>
    </row>
    <row r="64">
      <c r="A64" s="32">
        <f>IFERROR(__xludf.DUMMYFUNCTION("""COMPUTED_VALUE"""),429.0)</f>
        <v>429</v>
      </c>
      <c r="B64" s="32" t="str">
        <f>IFERROR(__xludf.DUMMYFUNCTION("""COMPUTED_VALUE"""),"Karishma")</f>
        <v>Karishma</v>
      </c>
      <c r="C64" s="32" t="str">
        <f>IFERROR(__xludf.DUMMYFUNCTION("""COMPUTED_VALUE"""),"She/her")</f>
        <v>She/her</v>
      </c>
      <c r="D64" s="32" t="str">
        <f>IFERROR(__xludf.DUMMYFUNCTION("""COMPUTED_VALUE"""),"Indian - Punjabi")</f>
        <v>Indian - Punjabi</v>
      </c>
      <c r="E64" s="32" t="str">
        <f>IFERROR(__xludf.DUMMYFUNCTION("""COMPUTED_VALUE"""),"DJ")</f>
        <v>DJ</v>
      </c>
      <c r="F64" s="32" t="str">
        <f>IFERROR(__xludf.DUMMYFUNCTION("""COMPUTED_VALUE"""),"Jungle/dnb ")</f>
        <v>Jungle/dnb </v>
      </c>
      <c r="G64" s="32" t="str">
        <f>IFERROR(__xludf.DUMMYFUNCTION("""COMPUTED_VALUE"""),"karishmaphandj@gmail.com")</f>
        <v>karishmaphandj@gmail.com</v>
      </c>
      <c r="H64" s="33" t="str">
        <f>IFERROR(__xludf.DUMMYFUNCTION("""COMPUTED_VALUE"""),"https://www.instagram.com/_.k.arishma/")</f>
        <v>https://www.instagram.com/_.k.arishma/</v>
      </c>
      <c r="I64" s="33" t="str">
        <f>IFERROR(__xludf.DUMMYFUNCTION("""COMPUTED_VALUE"""),"https://soundcloud.com/karishma-phandey")</f>
        <v>https://soundcloud.com/karishma-phandey</v>
      </c>
      <c r="J64" s="32" t="str">
        <f>IFERROR(__xludf.DUMMYFUNCTION("""COMPUTED_VALUE"""),"n/a")</f>
        <v>n/a</v>
      </c>
      <c r="K64" s="32" t="str">
        <f>IFERROR(__xludf.DUMMYFUNCTION("""COMPUTED_VALUE"""),"n/a")</f>
        <v>n/a</v>
      </c>
      <c r="L64" s="33" t="str">
        <f>IFERROR(__xludf.DUMMYFUNCTION("""COMPUTED_VALUE"""),"https://soundcloud.com/karishma-phandey/liquid-funk-2?si=8b67b5b2a59243df810722be45205bd1&amp;utm_source=clipboard&amp;utm_medium=text&amp;utm_campaign=social_sharing")</f>
        <v>https://soundcloud.com/karishma-phandey/liquid-funk-2?si=8b67b5b2a59243df810722be45205bd1&amp;utm_source=clipboard&amp;utm_medium=text&amp;utm_campaign=social_sharing</v>
      </c>
      <c r="M64" s="34"/>
      <c r="N64" s="32"/>
      <c r="O64" s="32"/>
      <c r="P64" s="32"/>
      <c r="Q64" s="32"/>
      <c r="R64" s="7"/>
    </row>
    <row r="65">
      <c r="A65" s="29">
        <f>IFERROR(__xludf.DUMMYFUNCTION("""COMPUTED_VALUE"""),430.0)</f>
        <v>430</v>
      </c>
      <c r="B65" s="29" t="str">
        <f>IFERROR(__xludf.DUMMYFUNCTION("""COMPUTED_VALUE"""),"Nush/DJ SK Nush")</f>
        <v>Nush/DJ SK Nush</v>
      </c>
      <c r="C65" s="29" t="str">
        <f>IFERROR(__xludf.DUMMYFUNCTION("""COMPUTED_VALUE"""),"They/them")</f>
        <v>They/them</v>
      </c>
      <c r="D65" s="29" t="str">
        <f>IFERROR(__xludf.DUMMYFUNCTION("""COMPUTED_VALUE"""),"British-born Sri Lankan Tamil ")</f>
        <v>British-born Sri Lankan Tamil </v>
      </c>
      <c r="E65" s="29" t="str">
        <f>IFERROR(__xludf.DUMMYFUNCTION("""COMPUTED_VALUE"""),"DJ, Live Act")</f>
        <v>DJ, Live Act</v>
      </c>
      <c r="F65" s="29" t="str">
        <f>IFERROR(__xludf.DUMMYFUNCTION("""COMPUTED_VALUE"""),"Lofi World Fusion (as an artist) and open format for DJing but mainly: Tamil, RnB, Afrobeats, Bashment")</f>
        <v>Lofi World Fusion (as an artist) and open format for DJing but mainly: Tamil, RnB, Afrobeats, Bashment</v>
      </c>
      <c r="G65" s="29" t="str">
        <f>IFERROR(__xludf.DUMMYFUNCTION("""COMPUTED_VALUE"""),"admin@nush.studio ")</f>
        <v>admin@nush.studio </v>
      </c>
      <c r="H65" s="29" t="str">
        <f>IFERROR(__xludf.DUMMYFUNCTION("""COMPUTED_VALUE"""),"https://www.instagram.com/musicbynush https://www.instagram.com/mixedbynush ")</f>
        <v>https://www.instagram.com/musicbynush https://www.instagram.com/mixedbynush </v>
      </c>
      <c r="I65" s="30" t="str">
        <f>IFERROR(__xludf.DUMMYFUNCTION("""COMPUTED_VALUE"""),"https://www.soundcloud.com/musicbynush ")</f>
        <v>https://www.soundcloud.com/musicbynush </v>
      </c>
      <c r="J65" s="30" t="str">
        <f>IFERROR(__xludf.DUMMYFUNCTION("""COMPUTED_VALUE"""),"https://www.tiktok.com/musicbynush ")</f>
        <v>https://www.tiktok.com/musicbynush </v>
      </c>
      <c r="K65" s="29"/>
      <c r="L65" s="29" t="str">
        <f>IFERROR(__xludf.DUMMYFUNCTION("""COMPUTED_VALUE"""),"https://www.soundcloud.com/musicbynush 
My new mixes are solely on @mixedbynush on instagram!  ")</f>
        <v>https://www.soundcloud.com/musicbynush 
My new mixes are solely on @mixedbynush on instagram!  </v>
      </c>
      <c r="M65" s="31"/>
      <c r="N65" s="29"/>
      <c r="O65" s="29"/>
      <c r="P65" s="29"/>
      <c r="Q65" s="29"/>
      <c r="R65" s="7"/>
    </row>
    <row r="66">
      <c r="A66" s="32">
        <f>IFERROR(__xludf.DUMMYFUNCTION("""COMPUTED_VALUE"""),433.0)</f>
        <v>433</v>
      </c>
      <c r="B66" s="32" t="str">
        <f>IFERROR(__xludf.DUMMYFUNCTION("""COMPUTED_VALUE"""),"Meds")</f>
        <v>Meds</v>
      </c>
      <c r="C66" s="32" t="str">
        <f>IFERROR(__xludf.DUMMYFUNCTION("""COMPUTED_VALUE"""),"He/Him")</f>
        <v>He/Him</v>
      </c>
      <c r="D66" s="32" t="str">
        <f>IFERROR(__xludf.DUMMYFUNCTION("""COMPUTED_VALUE"""),"Bangladeshi")</f>
        <v>Bangladeshi</v>
      </c>
      <c r="E66" s="32" t="str">
        <f>IFERROR(__xludf.DUMMYFUNCTION("""COMPUTED_VALUE"""),"DJ")</f>
        <v>DJ</v>
      </c>
      <c r="F66" s="32" t="str">
        <f>IFERROR(__xludf.DUMMYFUNCTION("""COMPUTED_VALUE"""),"House &amp; Techno")</f>
        <v>House &amp; Techno</v>
      </c>
      <c r="G66" s="32" t="str">
        <f>IFERROR(__xludf.DUMMYFUNCTION("""COMPUTED_VALUE"""),"Medsmusicc@gmail.com")</f>
        <v>Medsmusicc@gmail.com</v>
      </c>
      <c r="H66" s="32" t="str">
        <f>IFERROR(__xludf.DUMMYFUNCTION("""COMPUTED_VALUE"""),"@Meds999meds")</f>
        <v>@Meds999meds</v>
      </c>
      <c r="I66" s="33" t="str">
        <f>IFERROR(__xludf.DUMMYFUNCTION("""COMPUTED_VALUE"""),"https://on.soundcloud.com/pKrr9zyaFQy2W7j97")</f>
        <v>https://on.soundcloud.com/pKrr9zyaFQy2W7j97</v>
      </c>
      <c r="J66" s="32"/>
      <c r="K66" s="32"/>
      <c r="L66" s="33" t="str">
        <f>IFERROR(__xludf.DUMMYFUNCTION("""COMPUTED_VALUE"""),"https://on.soundcloud.com/pKrr9zyaFQy2W7j97")</f>
        <v>https://on.soundcloud.com/pKrr9zyaFQy2W7j97</v>
      </c>
      <c r="M66" s="34"/>
      <c r="N66" s="32"/>
      <c r="O66" s="32"/>
      <c r="P66" s="32"/>
      <c r="Q66" s="32"/>
      <c r="R66" s="7"/>
    </row>
    <row r="67">
      <c r="A67" s="29"/>
      <c r="B67" s="29" t="str">
        <f>IFERROR(__xludf.DUMMYFUNCTION("""COMPUTED_VALUE"""),"Meds")</f>
        <v>Meds</v>
      </c>
      <c r="C67" s="29" t="str">
        <f>IFERROR(__xludf.DUMMYFUNCTION("""COMPUTED_VALUE"""),"He/Him")</f>
        <v>He/Him</v>
      </c>
      <c r="D67" s="29" t="str">
        <f>IFERROR(__xludf.DUMMYFUNCTION("""COMPUTED_VALUE"""),"Bangladeshi")</f>
        <v>Bangladeshi</v>
      </c>
      <c r="E67" s="29" t="str">
        <f>IFERROR(__xludf.DUMMYFUNCTION("""COMPUTED_VALUE"""),"DJ")</f>
        <v>DJ</v>
      </c>
      <c r="F67" s="29" t="str">
        <f>IFERROR(__xludf.DUMMYFUNCTION("""COMPUTED_VALUE"""),"House &amp; Techno")</f>
        <v>House &amp; Techno</v>
      </c>
      <c r="G67" s="29" t="str">
        <f>IFERROR(__xludf.DUMMYFUNCTION("""COMPUTED_VALUE"""),"Medsmusicc@gmail.com")</f>
        <v>Medsmusicc@gmail.com</v>
      </c>
      <c r="H67" s="29" t="str">
        <f>IFERROR(__xludf.DUMMYFUNCTION("""COMPUTED_VALUE"""),"@meds999meds")</f>
        <v>@meds999meds</v>
      </c>
      <c r="I67" s="30" t="str">
        <f>IFERROR(__xludf.DUMMYFUNCTION("""COMPUTED_VALUE"""),"https://on.soundcloud.com/jTAD8913MSNJ8G4U6")</f>
        <v>https://on.soundcloud.com/jTAD8913MSNJ8G4U6</v>
      </c>
      <c r="J67" s="29"/>
      <c r="K67" s="29"/>
      <c r="L67" s="30" t="str">
        <f>IFERROR(__xludf.DUMMYFUNCTION("""COMPUTED_VALUE"""),"https://on.soundcloud.com/jTAD8913MSNJ8G4U6")</f>
        <v>https://on.soundcloud.com/jTAD8913MSNJ8G4U6</v>
      </c>
      <c r="M67" s="31"/>
      <c r="N67" s="29"/>
      <c r="O67" s="29"/>
      <c r="P67" s="29"/>
      <c r="Q67" s="29"/>
      <c r="R67" s="7"/>
    </row>
    <row r="68">
      <c r="A68" s="32">
        <f>IFERROR(__xludf.DUMMYFUNCTION("""COMPUTED_VALUE"""),435.0)</f>
        <v>435</v>
      </c>
      <c r="B68" s="32" t="str">
        <f>IFERROR(__xludf.DUMMYFUNCTION("""COMPUTED_VALUE"""),"N1NJA")</f>
        <v>N1NJA</v>
      </c>
      <c r="C68" s="32" t="str">
        <f>IFERROR(__xludf.DUMMYFUNCTION("""COMPUTED_VALUE"""),"She")</f>
        <v>She</v>
      </c>
      <c r="D68" s="32" t="str">
        <f>IFERROR(__xludf.DUMMYFUNCTION("""COMPUTED_VALUE"""),"Pakistan, India, Kenya")</f>
        <v>Pakistan, India, Kenya</v>
      </c>
      <c r="E68" s="32" t="str">
        <f>IFERROR(__xludf.DUMMYFUNCTION("""COMPUTED_VALUE"""),"DJ, Live Act")</f>
        <v>DJ, Live Act</v>
      </c>
      <c r="F68" s="32" t="str">
        <f>IFERROR(__xludf.DUMMYFUNCTION("""COMPUTED_VALUE"""),"Progressive House, Organic House, Melodic Techno, Indie Dance")</f>
        <v>Progressive House, Organic House, Melodic Techno, Indie Dance</v>
      </c>
      <c r="G68" s="32" t="str">
        <f>IFERROR(__xludf.DUMMYFUNCTION("""COMPUTED_VALUE"""),"farah@dj-ninja.com")</f>
        <v>farah@dj-ninja.com</v>
      </c>
      <c r="H68" s="33" t="str">
        <f>IFERROR(__xludf.DUMMYFUNCTION("""COMPUTED_VALUE"""),"https://www.instagram.com/dj.n1nja/")</f>
        <v>https://www.instagram.com/dj.n1nja/</v>
      </c>
      <c r="I68" s="33" t="str">
        <f>IFERROR(__xludf.DUMMYFUNCTION("""COMPUTED_VALUE"""),"https://soundcloud.com/dj-ninja")</f>
        <v>https://soundcloud.com/dj-ninja</v>
      </c>
      <c r="J68" s="33" t="str">
        <f>IFERROR(__xludf.DUMMYFUNCTION("""COMPUTED_VALUE"""),"https://www.tiktok.com/@dj_n1nja")</f>
        <v>https://www.tiktok.com/@dj_n1nja</v>
      </c>
      <c r="K68" s="33" t="str">
        <f>IFERROR(__xludf.DUMMYFUNCTION("""COMPUTED_VALUE"""),"https://www.linkedin.com/in/farah-nanji/")</f>
        <v>https://www.linkedin.com/in/farah-nanji/</v>
      </c>
      <c r="L68" s="33" t="str">
        <f>IFERROR(__xludf.DUMMYFUNCTION("""COMPUTED_VALUE"""),"https://soundcloud.com/dj-ninja")</f>
        <v>https://soundcloud.com/dj-ninja</v>
      </c>
      <c r="M68" s="34"/>
      <c r="N68" s="32"/>
      <c r="O68" s="32"/>
      <c r="P68" s="32"/>
      <c r="Q68" s="32"/>
      <c r="R68" s="7"/>
    </row>
    <row r="69">
      <c r="A69" s="29">
        <f>IFERROR(__xludf.DUMMYFUNCTION("""COMPUTED_VALUE"""),436.0)</f>
        <v>436</v>
      </c>
      <c r="B69" s="29" t="str">
        <f>IFERROR(__xludf.DUMMYFUNCTION("""COMPUTED_VALUE"""),"VIZANO")</f>
        <v>VIZANO</v>
      </c>
      <c r="C69" s="29"/>
      <c r="D69" s="29" t="str">
        <f>IFERROR(__xludf.DUMMYFUNCTION("""COMPUTED_VALUE"""),"British South Asian")</f>
        <v>British South Asian</v>
      </c>
      <c r="E69" s="29" t="str">
        <f>IFERROR(__xludf.DUMMYFUNCTION("""COMPUTED_VALUE"""),"DJ")</f>
        <v>DJ</v>
      </c>
      <c r="F69" s="29" t="str">
        <f>IFERROR(__xludf.DUMMYFUNCTION("""COMPUTED_VALUE"""),"Indo House")</f>
        <v>Indo House</v>
      </c>
      <c r="G69" s="29" t="str">
        <f>IFERROR(__xludf.DUMMYFUNCTION("""COMPUTED_VALUE"""),"management@vizano-music.com")</f>
        <v>management@vizano-music.com</v>
      </c>
      <c r="H69" s="30" t="str">
        <f>IFERROR(__xludf.DUMMYFUNCTION("""COMPUTED_VALUE"""),"Instagram.com/vizanomusic")</f>
        <v>Instagram.com/vizanomusic</v>
      </c>
      <c r="I69" s="29" t="str">
        <f>IFERROR(__xludf.DUMMYFUNCTION("""COMPUTED_VALUE"""),"https://soundcloud.com/vizanotools  and  https://soundcloud.com/vizanomusic")</f>
        <v>https://soundcloud.com/vizanotools  and  https://soundcloud.com/vizanomusic</v>
      </c>
      <c r="J69" s="30" t="str">
        <f>IFERROR(__xludf.DUMMYFUNCTION("""COMPUTED_VALUE"""),"https://www.tiktok.com/@vizanomusic")</f>
        <v>https://www.tiktok.com/@vizanomusic</v>
      </c>
      <c r="K69" s="30" t="str">
        <f>IFERROR(__xludf.DUMMYFUNCTION("""COMPUTED_VALUE"""),"https://www.instagram.com/vizanomusic")</f>
        <v>https://www.instagram.com/vizanomusic</v>
      </c>
      <c r="L69" s="29" t="str">
        <f>IFERROR(__xludf.DUMMYFUNCTION("""COMPUTED_VALUE"""),"https://soundcloud.com/viktoreus
https://www.mixcloud.com/viktoreus/")</f>
        <v>https://soundcloud.com/viktoreus
https://www.mixcloud.com/viktoreus/</v>
      </c>
      <c r="M69" s="31"/>
      <c r="N69" s="29"/>
      <c r="O69" s="29"/>
      <c r="P69" s="29"/>
      <c r="Q69" s="29"/>
      <c r="R69" s="7"/>
    </row>
    <row r="70">
      <c r="A70" s="32">
        <f>IFERROR(__xludf.DUMMYFUNCTION("""COMPUTED_VALUE"""),437.0)</f>
        <v>437</v>
      </c>
      <c r="B70" s="32" t="str">
        <f>IFERROR(__xludf.DUMMYFUNCTION("""COMPUTED_VALUE"""),"Rajah Betta")</f>
        <v>Rajah Betta</v>
      </c>
      <c r="C70" s="32" t="str">
        <f>IFERROR(__xludf.DUMMYFUNCTION("""COMPUTED_VALUE"""),"He/him")</f>
        <v>He/him</v>
      </c>
      <c r="D70" s="32" t="str">
        <f>IFERROR(__xludf.DUMMYFUNCTION("""COMPUTED_VALUE"""),"India")</f>
        <v>India</v>
      </c>
      <c r="E70" s="32" t="str">
        <f>IFERROR(__xludf.DUMMYFUNCTION("""COMPUTED_VALUE"""),"DJ")</f>
        <v>DJ</v>
      </c>
      <c r="F70" s="32" t="str">
        <f>IFERROR(__xludf.DUMMYFUNCTION("""COMPUTED_VALUE"""),"Breaks, jersey club, indie dance")</f>
        <v>Breaks, jersey club, indie dance</v>
      </c>
      <c r="G70" s="32" t="str">
        <f>IFERROR(__xludf.DUMMYFUNCTION("""COMPUTED_VALUE"""),"rajahbetta@gmail.com")</f>
        <v>rajahbetta@gmail.com</v>
      </c>
      <c r="H70" s="33" t="str">
        <f>IFERROR(__xludf.DUMMYFUNCTION("""COMPUTED_VALUE"""),"https://www.instagram.com/rajahbetta")</f>
        <v>https://www.instagram.com/rajahbetta</v>
      </c>
      <c r="I70" s="33" t="str">
        <f>IFERROR(__xludf.DUMMYFUNCTION("""COMPUTED_VALUE"""),"https://soundcloud.com/rajahbetta")</f>
        <v>https://soundcloud.com/rajahbetta</v>
      </c>
      <c r="J70" s="32" t="str">
        <f>IFERROR(__xludf.DUMMYFUNCTION("""COMPUTED_VALUE"""),"N/A")</f>
        <v>N/A</v>
      </c>
      <c r="K70" s="33" t="str">
        <f>IFERROR(__xludf.DUMMYFUNCTION("""COMPUTED_VALUE"""),"https://www.mixcloud.com/rajahbetta")</f>
        <v>https://www.mixcloud.com/rajahbetta</v>
      </c>
      <c r="L70" s="32" t="str">
        <f>IFERROR(__xludf.DUMMYFUNCTION("""COMPUTED_VALUE"""),"Submitted to Daytimers: https://soundcloud.com/rajahbetta/oru-devathai-rajah-betta-x-krithi-remix
Radio residency at Newtown Radio (Brooklyn): https://newtownradio.com/shows/betta-sounds/")</f>
        <v>Submitted to Daytimers: https://soundcloud.com/rajahbetta/oru-devathai-rajah-betta-x-krithi-remix
Radio residency at Newtown Radio (Brooklyn): https://newtownradio.com/shows/betta-sounds/</v>
      </c>
      <c r="M70" s="34"/>
      <c r="N70" s="32"/>
      <c r="O70" s="32"/>
      <c r="P70" s="32"/>
      <c r="Q70" s="32"/>
      <c r="R70" s="7"/>
    </row>
    <row r="71">
      <c r="A71" s="29">
        <f>IFERROR(__xludf.DUMMYFUNCTION("""COMPUTED_VALUE"""),439.0)</f>
        <v>439</v>
      </c>
      <c r="B71" s="29" t="str">
        <f>IFERROR(__xludf.DUMMYFUNCTION("""COMPUTED_VALUE"""),"RAIDAA")</f>
        <v>RAIDAA</v>
      </c>
      <c r="C71" s="29" t="str">
        <f>IFERROR(__xludf.DUMMYFUNCTION("""COMPUTED_VALUE"""),"She/Her")</f>
        <v>She/Her</v>
      </c>
      <c r="D71" s="29" t="str">
        <f>IFERROR(__xludf.DUMMYFUNCTION("""COMPUTED_VALUE"""),"South Asian/Bangladeshi")</f>
        <v>South Asian/Bangladeshi</v>
      </c>
      <c r="E71" s="29" t="str">
        <f>IFERROR(__xludf.DUMMYFUNCTION("""COMPUTED_VALUE"""),"DJ")</f>
        <v>DJ</v>
      </c>
      <c r="F71" s="29" t="str">
        <f>IFERROR(__xludf.DUMMYFUNCTION("""COMPUTED_VALUE"""),"R&amp;B, Slow Jams, Neo-Soul, Soul, Jazz, AfroJazz, JazzFunk, Rap, Hip-Hop, Urban, Baile Funk, Amapiano, Afrobeats")</f>
        <v>R&amp;B, Slow Jams, Neo-Soul, Soul, Jazz, AfroJazz, JazzFunk, Rap, Hip-Hop, Urban, Baile Funk, Amapiano, Afrobeats</v>
      </c>
      <c r="G71" s="29" t="str">
        <f>IFERROR(__xludf.DUMMYFUNCTION("""COMPUTED_VALUE"""),"raidaa.mirza@outlook.com")</f>
        <v>raidaa.mirza@outlook.com</v>
      </c>
      <c r="H71" s="29" t="str">
        <f>IFERROR(__xludf.DUMMYFUNCTION("""COMPUTED_VALUE"""),"raidaamirza")</f>
        <v>raidaamirza</v>
      </c>
      <c r="I71" s="29"/>
      <c r="J71" s="29"/>
      <c r="K71" s="29"/>
      <c r="L71" s="29" t="str">
        <f>IFERROR(__xludf.DUMMYFUNCTION("""COMPUTED_VALUE"""),"https://www.mixcloud.com/GShockRadio/g-shock-radio-the-juice-presents-friends-raidaa-1910/
https://www.mixcloud.com/VoicesRadio/golden-hour-w-raidaa-180924-voices-radio/
https://www.mixcloud.com/VoicesRadio/golden-hour-w-raidaa-201124-voices-radio/ ")</f>
        <v>https://www.mixcloud.com/GShockRadio/g-shock-radio-the-juice-presents-friends-raidaa-1910/
https://www.mixcloud.com/VoicesRadio/golden-hour-w-raidaa-180924-voices-radio/
https://www.mixcloud.com/VoicesRadio/golden-hour-w-raidaa-201124-voices-radio/ </v>
      </c>
      <c r="M71" s="31"/>
      <c r="N71" s="29"/>
      <c r="O71" s="29"/>
      <c r="P71" s="29"/>
      <c r="Q71" s="29"/>
      <c r="R71" s="7"/>
    </row>
    <row r="72">
      <c r="A72" s="32">
        <f>IFERROR(__xludf.DUMMYFUNCTION("""COMPUTED_VALUE"""),441.0)</f>
        <v>441</v>
      </c>
      <c r="B72" s="32" t="str">
        <f>IFERROR(__xludf.DUMMYFUNCTION("""COMPUTED_VALUE"""),"SAJN")</f>
        <v>SAJN</v>
      </c>
      <c r="C72" s="32" t="str">
        <f>IFERROR(__xludf.DUMMYFUNCTION("""COMPUTED_VALUE"""),"He/Him")</f>
        <v>He/Him</v>
      </c>
      <c r="D72" s="32"/>
      <c r="E72" s="32" t="str">
        <f>IFERROR(__xludf.DUMMYFUNCTION("""COMPUTED_VALUE"""),"DJ")</f>
        <v>DJ</v>
      </c>
      <c r="F72" s="32" t="str">
        <f>IFERROR(__xludf.DUMMYFUNCTION("""COMPUTED_VALUE"""),"New Garage/Afrodesi House")</f>
        <v>New Garage/Afrodesi House</v>
      </c>
      <c r="G72" s="32" t="str">
        <f>IFERROR(__xludf.DUMMYFUNCTION("""COMPUTED_VALUE"""),"sajan_lal@outlook.com")</f>
        <v>sajan_lal@outlook.com</v>
      </c>
      <c r="H72" s="32" t="str">
        <f>IFERROR(__xludf.DUMMYFUNCTION("""COMPUTED_VALUE"""),"@djaysuno ")</f>
        <v>@djaysuno </v>
      </c>
      <c r="I72" s="33" t="str">
        <f>IFERROR(__xludf.DUMMYFUNCTION("""COMPUTED_VALUE"""),"https://on.soundcloud.com/5mW1z7k82xwWLuBE7")</f>
        <v>https://on.soundcloud.com/5mW1z7k82xwWLuBE7</v>
      </c>
      <c r="J72" s="32"/>
      <c r="K72" s="32"/>
      <c r="L72" s="33" t="str">
        <f>IFERROR(__xludf.DUMMYFUNCTION("""COMPUTED_VALUE"""),"https://on.soundcloud.com/5mW1z7k82xwWLuBE7")</f>
        <v>https://on.soundcloud.com/5mW1z7k82xwWLuBE7</v>
      </c>
      <c r="M72" s="34"/>
      <c r="N72" s="32"/>
      <c r="O72" s="32"/>
      <c r="P72" s="32"/>
      <c r="Q72" s="32"/>
      <c r="R72" s="7"/>
    </row>
    <row r="73">
      <c r="A73" s="29">
        <f>IFERROR(__xludf.DUMMYFUNCTION("""COMPUTED_VALUE"""),443.0)</f>
        <v>443</v>
      </c>
      <c r="B73" s="29" t="str">
        <f>IFERROR(__xludf.DUMMYFUNCTION("""COMPUTED_VALUE"""),"Daskaran ")</f>
        <v>Daskaran </v>
      </c>
      <c r="C73" s="29" t="str">
        <f>IFERROR(__xludf.DUMMYFUNCTION("""COMPUTED_VALUE"""),"They/them")</f>
        <v>They/them</v>
      </c>
      <c r="D73" s="29" t="str">
        <f>IFERROR(__xludf.DUMMYFUNCTION("""COMPUTED_VALUE"""),"Indian/Punjabi ")</f>
        <v>Indian/Punjabi </v>
      </c>
      <c r="E73" s="29" t="str">
        <f>IFERROR(__xludf.DUMMYFUNCTION("""COMPUTED_VALUE"""),"DJ")</f>
        <v>DJ</v>
      </c>
      <c r="F73" s="29" t="str">
        <f>IFERROR(__xludf.DUMMYFUNCTION("""COMPUTED_VALUE"""),"Techno, trance, hard groove, garage ")</f>
        <v>Techno, trance, hard groove, garage </v>
      </c>
      <c r="G73" s="29" t="str">
        <f>IFERROR(__xludf.DUMMYFUNCTION("""COMPUTED_VALUE"""),"daskaran.music@gmail.com")</f>
        <v>daskaran.music@gmail.com</v>
      </c>
      <c r="H73" s="29" t="str">
        <f>IFERROR(__xludf.DUMMYFUNCTION("""COMPUTED_VALUE"""),"@___daskaran___")</f>
        <v>@___daskaran___</v>
      </c>
      <c r="I73" s="29" t="str">
        <f>IFERROR(__xludf.DUMMYFUNCTION("""COMPUTED_VALUE"""),"___daskaran___")</f>
        <v>___daskaran___</v>
      </c>
      <c r="J73" s="29"/>
      <c r="K73" s="29"/>
      <c r="L73" s="29" t="str">
        <f>IFERROR(__xludf.DUMMYFUNCTION("""COMPUTED_VALUE"""),"Check out ___Daskaran___ on #SoundCloud
https://on.soundcloud.com/mW9uqyr6LX3YsKFy6")</f>
        <v>Check out ___Daskaran___ on #SoundCloud
https://on.soundcloud.com/mW9uqyr6LX3YsKFy6</v>
      </c>
      <c r="M73" s="31"/>
      <c r="N73" s="29"/>
      <c r="O73" s="29"/>
      <c r="P73" s="29"/>
      <c r="Q73" s="29"/>
      <c r="R73" s="7"/>
    </row>
    <row r="74">
      <c r="A74" s="32">
        <f>IFERROR(__xludf.DUMMYFUNCTION("""COMPUTED_VALUE"""),444.0)</f>
        <v>444</v>
      </c>
      <c r="B74" s="32" t="str">
        <f>IFERROR(__xludf.DUMMYFUNCTION("""COMPUTED_VALUE"""),"Djaloo")</f>
        <v>Djaloo</v>
      </c>
      <c r="C74" s="32"/>
      <c r="D74" s="32" t="str">
        <f>IFERROR(__xludf.DUMMYFUNCTION("""COMPUTED_VALUE"""),"Pakistani")</f>
        <v>Pakistani</v>
      </c>
      <c r="E74" s="32" t="str">
        <f>IFERROR(__xludf.DUMMYFUNCTION("""COMPUTED_VALUE"""),"DJ")</f>
        <v>DJ</v>
      </c>
      <c r="F74" s="32" t="str">
        <f>IFERROR(__xludf.DUMMYFUNCTION("""COMPUTED_VALUE"""),"Desi Amapiano, Desi Afro house, RnB, Hiphop")</f>
        <v>Desi Amapiano, Desi Afro house, RnB, Hiphop</v>
      </c>
      <c r="G74" s="32" t="str">
        <f>IFERROR(__xludf.DUMMYFUNCTION("""COMPUTED_VALUE"""),"allydanyals@yahoo.co.uk")</f>
        <v>allydanyals@yahoo.co.uk</v>
      </c>
      <c r="H74" s="32" t="str">
        <f>IFERROR(__xludf.DUMMYFUNCTION("""COMPUTED_VALUE"""),"Aalia.farah")</f>
        <v>Aalia.farah</v>
      </c>
      <c r="I74" s="33" t="str">
        <f>IFERROR(__xludf.DUMMYFUNCTION("""COMPUTED_VALUE"""),"https://on.soundcloud.com/EGtt5tvTY8UL73nAA")</f>
        <v>https://on.soundcloud.com/EGtt5tvTY8UL73nAA</v>
      </c>
      <c r="J74" s="33" t="str">
        <f>IFERROR(__xludf.DUMMYFUNCTION("""COMPUTED_VALUE"""),"https://www.tiktok.com/@aalia.farah?_t=ZG-8syzxqQ3Zx2&amp;_r=1")</f>
        <v>https://www.tiktok.com/@aalia.farah?_t=ZG-8syzxqQ3Zx2&amp;_r=1</v>
      </c>
      <c r="K74" s="32"/>
      <c r="L74" s="32"/>
      <c r="M74" s="34"/>
      <c r="N74" s="32"/>
      <c r="O74" s="32"/>
      <c r="P74" s="32"/>
      <c r="Q74" s="32"/>
      <c r="R74" s="7"/>
    </row>
    <row r="75">
      <c r="A75" s="29">
        <f>IFERROR(__xludf.DUMMYFUNCTION("""COMPUTED_VALUE"""),445.0)</f>
        <v>445</v>
      </c>
      <c r="B75" s="29" t="str">
        <f>IFERROR(__xludf.DUMMYFUNCTION("""COMPUTED_VALUE"""),"Rajah Betta")</f>
        <v>Rajah Betta</v>
      </c>
      <c r="C75" s="29" t="str">
        <f>IFERROR(__xludf.DUMMYFUNCTION("""COMPUTED_VALUE"""),"He/him")</f>
        <v>He/him</v>
      </c>
      <c r="D75" s="29" t="str">
        <f>IFERROR(__xludf.DUMMYFUNCTION("""COMPUTED_VALUE"""),"Indian, Sindhi")</f>
        <v>Indian, Sindhi</v>
      </c>
      <c r="E75" s="29" t="str">
        <f>IFERROR(__xludf.DUMMYFUNCTION("""COMPUTED_VALUE"""),"DJ")</f>
        <v>DJ</v>
      </c>
      <c r="F75" s="29" t="str">
        <f>IFERROR(__xludf.DUMMYFUNCTION("""COMPUTED_VALUE"""),"Breaks, club, indie dance")</f>
        <v>Breaks, club, indie dance</v>
      </c>
      <c r="G75" s="29" t="str">
        <f>IFERROR(__xludf.DUMMYFUNCTION("""COMPUTED_VALUE"""),"rajahbetta@gmail.com")</f>
        <v>rajahbetta@gmail.com</v>
      </c>
      <c r="H75" s="30" t="str">
        <f>IFERROR(__xludf.DUMMYFUNCTION("""COMPUTED_VALUE"""),"https://www.instagram.com/rajahbetta/")</f>
        <v>https://www.instagram.com/rajahbetta/</v>
      </c>
      <c r="I75" s="30" t="str">
        <f>IFERROR(__xludf.DUMMYFUNCTION("""COMPUTED_VALUE"""),"https://soundcloud.com/rajahbetta")</f>
        <v>https://soundcloud.com/rajahbetta</v>
      </c>
      <c r="J75" s="29" t="str">
        <f>IFERROR(__xludf.DUMMYFUNCTION("""COMPUTED_VALUE"""),"N/A")</f>
        <v>N/A</v>
      </c>
      <c r="K75" s="29" t="str">
        <f>IFERROR(__xludf.DUMMYFUNCTION("""COMPUTED_VALUE"""),"N/A")</f>
        <v>N/A</v>
      </c>
      <c r="L75" s="29" t="str">
        <f>IFERROR(__xludf.DUMMYFUNCTION("""COMPUTED_VALUE"""),"Originals / demos: https://soundcloud.com/rajahbetta/sets/originals
Betta Sounds (radio show) on Newtown Radio: https://www.mixcloud.com/rajahbetta/playlists/newtown-radio-x-betta-sounds/")</f>
        <v>Originals / demos: https://soundcloud.com/rajahbetta/sets/originals
Betta Sounds (radio show) on Newtown Radio: https://www.mixcloud.com/rajahbetta/playlists/newtown-radio-x-betta-sounds/</v>
      </c>
      <c r="M75" s="31"/>
      <c r="N75" s="29"/>
      <c r="O75" s="29"/>
      <c r="P75" s="29"/>
      <c r="Q75" s="29"/>
      <c r="R75" s="7"/>
    </row>
    <row r="76">
      <c r="A76" s="32">
        <f>IFERROR(__xludf.DUMMYFUNCTION("""COMPUTED_VALUE"""),447.0)</f>
        <v>447</v>
      </c>
      <c r="B76" s="32" t="str">
        <f>IFERROR(__xludf.DUMMYFUNCTION("""COMPUTED_VALUE"""),"arnav")</f>
        <v>arnav</v>
      </c>
      <c r="C76" s="32" t="str">
        <f>IFERROR(__xludf.DUMMYFUNCTION("""COMPUTED_VALUE"""),"He/Him")</f>
        <v>He/Him</v>
      </c>
      <c r="D76" s="32" t="str">
        <f>IFERROR(__xludf.DUMMYFUNCTION("""COMPUTED_VALUE"""),"Indian")</f>
        <v>Indian</v>
      </c>
      <c r="E76" s="32" t="str">
        <f>IFERROR(__xludf.DUMMYFUNCTION("""COMPUTED_VALUE"""),"DJ")</f>
        <v>DJ</v>
      </c>
      <c r="F76" s="32" t="str">
        <f>IFERROR(__xludf.DUMMYFUNCTION("""COMPUTED_VALUE"""),"Garage, Hardgroove, Techno, Broken Beat, House")</f>
        <v>Garage, Hardgroove, Techno, Broken Beat, House</v>
      </c>
      <c r="G76" s="32" t="str">
        <f>IFERROR(__xludf.DUMMYFUNCTION("""COMPUTED_VALUE"""),"arnavs2ngh@gmail.com")</f>
        <v>arnavs2ngh@gmail.com</v>
      </c>
      <c r="H76" s="32" t="str">
        <f>IFERROR(__xludf.DUMMYFUNCTION("""COMPUTED_VALUE"""),"arnav_singh")</f>
        <v>arnav_singh</v>
      </c>
      <c r="I76" s="33" t="str">
        <f>IFERROR(__xludf.DUMMYFUNCTION("""COMPUTED_VALUE"""),"https://soundcloud.com/arnav-singh-935815474")</f>
        <v>https://soundcloud.com/arnav-singh-935815474</v>
      </c>
      <c r="J76" s="32"/>
      <c r="K76" s="32"/>
      <c r="L76" s="33" t="str">
        <f>IFERROR(__xludf.DUMMYFUNCTION("""COMPUTED_VALUE"""),"https://soundcloud.com/arnav-singh-935815474/sets/mixes")</f>
        <v>https://soundcloud.com/arnav-singh-935815474/sets/mixes</v>
      </c>
      <c r="M76" s="34"/>
      <c r="N76" s="32"/>
      <c r="O76" s="32"/>
      <c r="P76" s="32"/>
      <c r="Q76" s="32"/>
      <c r="R76" s="7"/>
    </row>
    <row r="77">
      <c r="A77" s="29"/>
      <c r="B77" s="29" t="str">
        <f>IFERROR(__xludf.DUMMYFUNCTION("""COMPUTED_VALUE"""),"Harmonoize")</f>
        <v>Harmonoize</v>
      </c>
      <c r="C77" s="29"/>
      <c r="D77" s="29" t="str">
        <f>IFERROR(__xludf.DUMMYFUNCTION("""COMPUTED_VALUE"""),"Punjabi/Indian")</f>
        <v>Punjabi/Indian</v>
      </c>
      <c r="E77" s="29" t="str">
        <f>IFERROR(__xludf.DUMMYFUNCTION("""COMPUTED_VALUE"""),"DJ")</f>
        <v>DJ</v>
      </c>
      <c r="F77" s="29" t="str">
        <f>IFERROR(__xludf.DUMMYFUNCTION("""COMPUTED_VALUE"""),"Punjabi/Bolkywood + Garage/House/Bassline/DnB/Jungle ")</f>
        <v>Punjabi/Bolkywood + Garage/House/Bassline/DnB/Jungle </v>
      </c>
      <c r="G77" s="29" t="str">
        <f>IFERROR(__xludf.DUMMYFUNCTION("""COMPUTED_VALUE"""),"Harmonoize1@gmail.com")</f>
        <v>Harmonoize1@gmail.com</v>
      </c>
      <c r="H77" s="30" t="str">
        <f>IFERROR(__xludf.DUMMYFUNCTION("""COMPUTED_VALUE"""),"https://www.instagram.com/harmonoize?igsh=eHZ0MG05cnE0aWN4&amp;utm_source=qr")</f>
        <v>https://www.instagram.com/harmonoize?igsh=eHZ0MG05cnE0aWN4&amp;utm_source=qr</v>
      </c>
      <c r="I77" s="30" t="str">
        <f>IFERROR(__xludf.DUMMYFUNCTION("""COMPUTED_VALUE"""),"https://on.soundcloud.com/bp6nVspvcZznuQ9s7")</f>
        <v>https://on.soundcloud.com/bp6nVspvcZznuQ9s7</v>
      </c>
      <c r="J77" s="30" t="str">
        <f>IFERROR(__xludf.DUMMYFUNCTION("""COMPUTED_VALUE"""),"https://www.tiktok.com/@harmonoizetv?_t=ZN-8u6SYWoFbYU&amp;_r=1")</f>
        <v>https://www.tiktok.com/@harmonoizetv?_t=ZN-8u6SYWoFbYU&amp;_r=1</v>
      </c>
      <c r="K77" s="30" t="str">
        <f>IFERROR(__xludf.DUMMYFUNCTION("""COMPUTED_VALUE"""),"https://youtube.com/@harmonoizetv?si=aAF2MaGcnDDP_Gos")</f>
        <v>https://youtube.com/@harmonoizetv?si=aAF2MaGcnDDP_Gos</v>
      </c>
      <c r="L77" s="30" t="str">
        <f>IFERROR(__xludf.DUMMYFUNCTION("""COMPUTED_VALUE"""),"https://www.mixcloud.com/harmonoize/harmonoize-mix-desi-blend-200225/")</f>
        <v>https://www.mixcloud.com/harmonoize/harmonoize-mix-desi-blend-200225/</v>
      </c>
      <c r="M77" s="31"/>
      <c r="N77" s="29"/>
      <c r="O77" s="29"/>
      <c r="P77" s="29"/>
      <c r="Q77" s="29"/>
      <c r="R77" s="7"/>
    </row>
    <row r="78">
      <c r="A78" s="32">
        <f>IFERROR(__xludf.DUMMYFUNCTION("""COMPUTED_VALUE"""),451.0)</f>
        <v>451</v>
      </c>
      <c r="B78" s="32" t="str">
        <f>IFERROR(__xludf.DUMMYFUNCTION("""COMPUTED_VALUE"""),"Jordan K Joseph")</f>
        <v>Jordan K Joseph</v>
      </c>
      <c r="C78" s="32" t="str">
        <f>IFERROR(__xludf.DUMMYFUNCTION("""COMPUTED_VALUE"""),"he/him")</f>
        <v>he/him</v>
      </c>
      <c r="D78" s="32" t="str">
        <f>IFERROR(__xludf.DUMMYFUNCTION("""COMPUTED_VALUE"""),"Gujarat")</f>
        <v>Gujarat</v>
      </c>
      <c r="E78" s="32" t="str">
        <f>IFERROR(__xludf.DUMMYFUNCTION("""COMPUTED_VALUE"""),"DJ")</f>
        <v>DJ</v>
      </c>
      <c r="F78" s="32" t="str">
        <f>IFERROR(__xludf.DUMMYFUNCTION("""COMPUTED_VALUE"""),"House, Bass,Techno, Breaks, Trance, Electro, Dub")</f>
        <v>House, Bass,Techno, Breaks, Trance, Electro, Dub</v>
      </c>
      <c r="G78" s="32" t="str">
        <f>IFERROR(__xludf.DUMMYFUNCTION("""COMPUTED_VALUE"""),"jordankjoseph20@gmail.com")</f>
        <v>jordankjoseph20@gmail.com</v>
      </c>
      <c r="H78" s="32" t="str">
        <f>IFERROR(__xludf.DUMMYFUNCTION("""COMPUTED_VALUE"""),"@jordankjoseph20")</f>
        <v>@jordankjoseph20</v>
      </c>
      <c r="I78" s="33" t="str">
        <f>IFERROR(__xludf.DUMMYFUNCTION("""COMPUTED_VALUE"""),"https://soundcloud.com/jordankjoseph")</f>
        <v>https://soundcloud.com/jordankjoseph</v>
      </c>
      <c r="J78" s="32" t="str">
        <f>IFERROR(__xludf.DUMMYFUNCTION("""COMPUTED_VALUE"""),"N/a")</f>
        <v>N/a</v>
      </c>
      <c r="K78" s="33" t="str">
        <f>IFERROR(__xludf.DUMMYFUNCTION("""COMPUTED_VALUE"""),"https://www.jordankjoseph.co.uk/")</f>
        <v>https://www.jordankjoseph.co.uk/</v>
      </c>
      <c r="L78" s="33" t="str">
        <f>IFERROR(__xludf.DUMMYFUNCTION("""COMPUTED_VALUE"""),"https://www.youtube.com/watch?v=GumMd3SWz1c")</f>
        <v>https://www.youtube.com/watch?v=GumMd3SWz1c</v>
      </c>
      <c r="M78" s="34"/>
      <c r="N78" s="32"/>
      <c r="O78" s="32"/>
      <c r="P78" s="32"/>
      <c r="Q78" s="32"/>
      <c r="R78" s="7"/>
    </row>
    <row r="79">
      <c r="A79" s="29">
        <f>IFERROR(__xludf.DUMMYFUNCTION("""COMPUTED_VALUE"""),453.0)</f>
        <v>453</v>
      </c>
      <c r="B79" s="29" t="str">
        <f>IFERROR(__xludf.DUMMYFUNCTION("""COMPUTED_VALUE"""),"words")</f>
        <v>words</v>
      </c>
      <c r="C79" s="29" t="str">
        <f>IFERROR(__xludf.DUMMYFUNCTION("""COMPUTED_VALUE"""),"He/him")</f>
        <v>He/him</v>
      </c>
      <c r="D79" s="29" t="str">
        <f>IFERROR(__xludf.DUMMYFUNCTION("""COMPUTED_VALUE"""),"South Indian/Anglo Indian")</f>
        <v>South Indian/Anglo Indian</v>
      </c>
      <c r="E79" s="29" t="str">
        <f>IFERROR(__xludf.DUMMYFUNCTION("""COMPUTED_VALUE"""),"DJ")</f>
        <v>DJ</v>
      </c>
      <c r="F79" s="29" t="str">
        <f>IFERROR(__xludf.DUMMYFUNCTION("""COMPUTED_VALUE"""),"UKG, UK Bass, Electro, Jungle, Breaks, Hardgroove, Techno")</f>
        <v>UKG, UK Bass, Electro, Jungle, Breaks, Hardgroove, Techno</v>
      </c>
      <c r="G79" s="29" t="str">
        <f>IFERROR(__xludf.DUMMYFUNCTION("""COMPUTED_VALUE"""),"benwatts93@yahoo.co.uk")</f>
        <v>benwatts93@yahoo.co.uk</v>
      </c>
      <c r="H79" s="29" t="str">
        <f>IFERROR(__xludf.DUMMYFUNCTION("""COMPUTED_VALUE"""),"@benwatts24601")</f>
        <v>@benwatts24601</v>
      </c>
      <c r="I79" s="30" t="str">
        <f>IFERROR(__xludf.DUMMYFUNCTION("""COMPUTED_VALUE"""),"https://on.soundcloud.com/ywbsrbE9dXeiVJzR7")</f>
        <v>https://on.soundcloud.com/ywbsrbE9dXeiVJzR7</v>
      </c>
      <c r="J79" s="29"/>
      <c r="K79" s="29"/>
      <c r="L79" s="30" t="str">
        <f>IFERROR(__xludf.DUMMYFUNCTION("""COMPUTED_VALUE"""),"https://on.soundcloud.com/HZxGR51K9GAtaDSL6")</f>
        <v>https://on.soundcloud.com/HZxGR51K9GAtaDSL6</v>
      </c>
      <c r="M79" s="31"/>
      <c r="N79" s="29"/>
      <c r="O79" s="29"/>
      <c r="P79" s="29"/>
      <c r="Q79" s="29"/>
      <c r="R79" s="7"/>
    </row>
    <row r="80">
      <c r="A80" s="32">
        <f>IFERROR(__xludf.DUMMYFUNCTION("""COMPUTED_VALUE"""),454.0)</f>
        <v>454</v>
      </c>
      <c r="B80" s="32" t="str">
        <f>IFERROR(__xludf.DUMMYFUNCTION("""COMPUTED_VALUE"""),"AMMARA")</f>
        <v>AMMARA</v>
      </c>
      <c r="C80" s="32" t="str">
        <f>IFERROR(__xludf.DUMMYFUNCTION("""COMPUTED_VALUE"""),"she/her")</f>
        <v>she/her</v>
      </c>
      <c r="D80" s="32" t="str">
        <f>IFERROR(__xludf.DUMMYFUNCTION("""COMPUTED_VALUE"""),"Pakistan")</f>
        <v>Pakistan</v>
      </c>
      <c r="E80" s="32" t="str">
        <f>IFERROR(__xludf.DUMMYFUNCTION("""COMPUTED_VALUE"""),"DJ")</f>
        <v>DJ</v>
      </c>
      <c r="F80" s="32" t="str">
        <f>IFERROR(__xludf.DUMMYFUNCTION("""COMPUTED_VALUE"""),"Trance / Hard House")</f>
        <v>Trance / Hard House</v>
      </c>
      <c r="G80" s="32" t="str">
        <f>IFERROR(__xludf.DUMMYFUNCTION("""COMPUTED_VALUE"""),"oscar@triplethreatmgmt.com")</f>
        <v>oscar@triplethreatmgmt.com</v>
      </c>
      <c r="H80" s="33" t="str">
        <f>IFERROR(__xludf.DUMMYFUNCTION("""COMPUTED_VALUE"""),"https://www.instagram.com/ammaradj/?hl=en")</f>
        <v>https://www.instagram.com/ammaradj/?hl=en</v>
      </c>
      <c r="I80" s="33" t="str">
        <f>IFERROR(__xludf.DUMMYFUNCTION("""COMPUTED_VALUE"""),"https://soundcloud.com/ammaradj")</f>
        <v>https://soundcloud.com/ammaradj</v>
      </c>
      <c r="J80" s="33" t="str">
        <f>IFERROR(__xludf.DUMMYFUNCTION("""COMPUTED_VALUE"""),"https://www.tiktok.com/@ammaradj")</f>
        <v>https://www.tiktok.com/@ammaradj</v>
      </c>
      <c r="K80" s="32"/>
      <c r="L80" s="33" t="str">
        <f>IFERROR(__xludf.DUMMYFUNCTION("""COMPUTED_VALUE"""),"https://soundcloud.com/ammaradj/ammara-hor-berlin-mix")</f>
        <v>https://soundcloud.com/ammaradj/ammara-hor-berlin-mix</v>
      </c>
      <c r="M80" s="34"/>
      <c r="N80" s="32"/>
      <c r="O80" s="32"/>
      <c r="P80" s="32"/>
      <c r="Q80" s="32"/>
      <c r="R80" s="7"/>
    </row>
    <row r="81">
      <c r="A81" s="29">
        <f>IFERROR(__xludf.DUMMYFUNCTION("""COMPUTED_VALUE"""),455.0)</f>
        <v>455</v>
      </c>
      <c r="B81" s="29" t="str">
        <f>IFERROR(__xludf.DUMMYFUNCTION("""COMPUTED_VALUE"""),"Tease + Reset")</f>
        <v>Tease + Reset</v>
      </c>
      <c r="C81" s="29" t="str">
        <f>IFERROR(__xludf.DUMMYFUNCTION("""COMPUTED_VALUE"""),"He/Him")</f>
        <v>He/Him</v>
      </c>
      <c r="D81" s="29" t="str">
        <f>IFERROR(__xludf.DUMMYFUNCTION("""COMPUTED_VALUE"""),"Pakistani/Afghani")</f>
        <v>Pakistani/Afghani</v>
      </c>
      <c r="E81" s="29" t="str">
        <f>IFERROR(__xludf.DUMMYFUNCTION("""COMPUTED_VALUE"""),"DJ")</f>
        <v>DJ</v>
      </c>
      <c r="F81" s="29" t="str">
        <f>IFERROR(__xludf.DUMMYFUNCTION("""COMPUTED_VALUE"""),"Garage,Breaks,Bass,")</f>
        <v>Garage,Breaks,Bass,</v>
      </c>
      <c r="G81" s="29" t="str">
        <f>IFERROR(__xludf.DUMMYFUNCTION("""COMPUTED_VALUE"""),"seem_samuel@hotmail.com")</f>
        <v>seem_samuel@hotmail.com</v>
      </c>
      <c r="H81" s="29" t="str">
        <f>IFERROR(__xludf.DUMMYFUNCTION("""COMPUTED_VALUE"""),"/teaseandreset")</f>
        <v>/teaseandreset</v>
      </c>
      <c r="I81" s="29" t="str">
        <f>IFERROR(__xludf.DUMMYFUNCTION("""COMPUTED_VALUE"""),"/teaseandreset")</f>
        <v>/teaseandreset</v>
      </c>
      <c r="J81" s="29" t="str">
        <f>IFERROR(__xludf.DUMMYFUNCTION("""COMPUTED_VALUE"""),"/teaseandreset")</f>
        <v>/teaseandreset</v>
      </c>
      <c r="K81" s="29"/>
      <c r="L81" s="30" t="str">
        <f>IFERROR(__xludf.DUMMYFUNCTION("""COMPUTED_VALUE"""),"https://soundcloud.com/blooplondon/fortune-favours-radio-w-tease-and-reset-031224?ref=clipboard&amp;p=i&amp;c=0&amp;si=308B77431CCC4C2B88D693E5BB78C0E0&amp;utm_source=clipboard&amp;utm_medium=text&amp;utm_campaign=social_sharing")</f>
        <v>https://soundcloud.com/blooplondon/fortune-favours-radio-w-tease-and-reset-031224?ref=clipboard&amp;p=i&amp;c=0&amp;si=308B77431CCC4C2B88D693E5BB78C0E0&amp;utm_source=clipboard&amp;utm_medium=text&amp;utm_campaign=social_sharing</v>
      </c>
      <c r="M81" s="31"/>
      <c r="N81" s="29"/>
      <c r="O81" s="29"/>
      <c r="P81" s="29"/>
      <c r="Q81" s="29"/>
      <c r="R81" s="7"/>
    </row>
    <row r="82">
      <c r="A82" s="32">
        <f>IFERROR(__xludf.DUMMYFUNCTION("""COMPUTED_VALUE"""),460.0)</f>
        <v>460</v>
      </c>
      <c r="B82" s="32" t="str">
        <f>IFERROR(__xludf.DUMMYFUNCTION("""COMPUTED_VALUE"""),"skippy")</f>
        <v>skippy</v>
      </c>
      <c r="C82" s="32" t="str">
        <f>IFERROR(__xludf.DUMMYFUNCTION("""COMPUTED_VALUE"""),"They/them")</f>
        <v>They/them</v>
      </c>
      <c r="D82" s="32" t="str">
        <f>IFERROR(__xludf.DUMMYFUNCTION("""COMPUTED_VALUE"""),"South Asia ")</f>
        <v>South Asia </v>
      </c>
      <c r="E82" s="32" t="str">
        <f>IFERROR(__xludf.DUMMYFUNCTION("""COMPUTED_VALUE"""),"DJ")</f>
        <v>DJ</v>
      </c>
      <c r="F82" s="32" t="str">
        <f>IFERROR(__xludf.DUMMYFUNCTION("""COMPUTED_VALUE"""),"Grime, jungle, drum &amp; bass")</f>
        <v>Grime, jungle, drum &amp; bass</v>
      </c>
      <c r="G82" s="32" t="str">
        <f>IFERROR(__xludf.DUMMYFUNCTION("""COMPUTED_VALUE"""),"zeeshh92@gmail.com")</f>
        <v>zeeshh92@gmail.com</v>
      </c>
      <c r="H82" s="32" t="str">
        <f>IFERROR(__xludf.DUMMYFUNCTION("""COMPUTED_VALUE"""),"skippyselectss")</f>
        <v>skippyselectss</v>
      </c>
      <c r="I82" s="32"/>
      <c r="J82" s="32"/>
      <c r="K82" s="32"/>
      <c r="L82" s="33" t="str">
        <f>IFERROR(__xludf.DUMMYFUNCTION("""COMPUTED_VALUE"""),"https://on.soundcloud.com/vITIuIWiph5bEvb6zu")</f>
        <v>https://on.soundcloud.com/vITIuIWiph5bEvb6zu</v>
      </c>
      <c r="M82" s="34"/>
      <c r="N82" s="32"/>
      <c r="O82" s="32"/>
      <c r="P82" s="32"/>
      <c r="Q82" s="32"/>
      <c r="R82" s="7"/>
    </row>
    <row r="83">
      <c r="A83" s="29">
        <f>IFERROR(__xludf.DUMMYFUNCTION("""COMPUTED_VALUE"""),461.0)</f>
        <v>461</v>
      </c>
      <c r="B83" s="29" t="str">
        <f>IFERROR(__xludf.DUMMYFUNCTION("""COMPUTED_VALUE"""),"SHIVXNI")</f>
        <v>SHIVXNI</v>
      </c>
      <c r="C83" s="29" t="str">
        <f>IFERROR(__xludf.DUMMYFUNCTION("""COMPUTED_VALUE"""),"She/her")</f>
        <v>She/her</v>
      </c>
      <c r="D83" s="29" t="str">
        <f>IFERROR(__xludf.DUMMYFUNCTION("""COMPUTED_VALUE"""),"Indian")</f>
        <v>Indian</v>
      </c>
      <c r="E83" s="29" t="str">
        <f>IFERROR(__xludf.DUMMYFUNCTION("""COMPUTED_VALUE"""),"DJ")</f>
        <v>DJ</v>
      </c>
      <c r="F83" s="29" t="str">
        <f>IFERROR(__xludf.DUMMYFUNCTION("""COMPUTED_VALUE"""),"Mainly House (Indo, Afro, tribal, tech and deep house), also abit of amapiano &amp; garage")</f>
        <v>Mainly House (Indo, Afro, tribal, tech and deep house), also abit of amapiano &amp; garage</v>
      </c>
      <c r="G83" s="29" t="str">
        <f>IFERROR(__xludf.DUMMYFUNCTION("""COMPUTED_VALUE"""),"shivanithakrar1@gmail.com")</f>
        <v>shivanithakrar1@gmail.com</v>
      </c>
      <c r="H83" s="29" t="str">
        <f>IFERROR(__xludf.DUMMYFUNCTION("""COMPUTED_VALUE"""),"@shivanithakrar")</f>
        <v>@shivanithakrar</v>
      </c>
      <c r="I83" s="29" t="str">
        <f>IFERROR(__xludf.DUMMYFUNCTION("""COMPUTED_VALUE"""),"SHIVXNI")</f>
        <v>SHIVXNI</v>
      </c>
      <c r="J83" s="29" t="str">
        <f>IFERROR(__xludf.DUMMYFUNCTION("""COMPUTED_VALUE"""),"@shivxni__")</f>
        <v>@shivxni__</v>
      </c>
      <c r="K83" s="29"/>
      <c r="L83" s="30" t="str">
        <f>IFERROR(__xludf.DUMMYFUNCTION("""COMPUTED_VALUE"""),"https://on.soundcloud.com/A0aZ9sbf34JQXDUka2")</f>
        <v>https://on.soundcloud.com/A0aZ9sbf34JQXDUka2</v>
      </c>
      <c r="M83" s="31"/>
      <c r="N83" s="29"/>
      <c r="O83" s="29"/>
      <c r="P83" s="29"/>
      <c r="Q83" s="29"/>
      <c r="R83" s="7"/>
    </row>
    <row r="84">
      <c r="A84" s="2">
        <f>IFERROR(__xludf.DUMMYFUNCTION("""COMPUTED_VALUE"""),462.0)</f>
        <v>462</v>
      </c>
      <c r="B84" s="2" t="str">
        <f>IFERROR(__xludf.DUMMYFUNCTION("""COMPUTED_VALUE"""),"Neha")</f>
        <v>Neha</v>
      </c>
      <c r="C84" s="2" t="str">
        <f>IFERROR(__xludf.DUMMYFUNCTION("""COMPUTED_VALUE"""),"She/her")</f>
        <v>She/her</v>
      </c>
      <c r="D84" s="2" t="str">
        <f>IFERROR(__xludf.DUMMYFUNCTION("""COMPUTED_VALUE"""),"South Asian ")</f>
        <v>South Asian </v>
      </c>
      <c r="E84" s="2" t="str">
        <f>IFERROR(__xludf.DUMMYFUNCTION("""COMPUTED_VALUE"""),"DJ")</f>
        <v>DJ</v>
      </c>
      <c r="F84" s="2" t="str">
        <f>IFERROR(__xludf.DUMMYFUNCTION("""COMPUTED_VALUE"""),"Minimal, deep, indie")</f>
        <v>Minimal, deep, indie</v>
      </c>
      <c r="G84" s="2" t="str">
        <f>IFERROR(__xludf.DUMMYFUNCTION("""COMPUTED_VALUE"""),"nehakhanldnuk@gmail.com")</f>
        <v>nehakhanldnuk@gmail.com</v>
      </c>
      <c r="H84" s="2" t="str">
        <f>IFERROR(__xludf.DUMMYFUNCTION("""COMPUTED_VALUE"""),"nehakhanxo")</f>
        <v>nehakhanxo</v>
      </c>
      <c r="I84" s="2" t="str">
        <f>IFERROR(__xludf.DUMMYFUNCTION("""COMPUTED_VALUE"""),"neha.khan")</f>
        <v>neha.khan</v>
      </c>
      <c r="J84" s="2"/>
      <c r="K84" s="2"/>
      <c r="L84" s="58" t="str">
        <f>IFERROR(__xludf.DUMMYFUNCTION("""COMPUTED_VALUE"""),"https://on.soundcloud.com/ZoRdvw57HXifrbGOhx")</f>
        <v>https://on.soundcloud.com/ZoRdvw57HXifrbGOhx</v>
      </c>
      <c r="M84" s="59"/>
      <c r="N84" s="2"/>
      <c r="O84" s="2"/>
      <c r="P84" s="2"/>
      <c r="Q84" s="2"/>
      <c r="R84" s="7"/>
    </row>
    <row r="85">
      <c r="A85" s="2">
        <f>IFERROR(__xludf.DUMMYFUNCTION("""COMPUTED_VALUE"""),463.0)</f>
        <v>463</v>
      </c>
      <c r="B85" s="2" t="str">
        <f>IFERROR(__xludf.DUMMYFUNCTION("""COMPUTED_VALUE"""),"VIRI$$")</f>
        <v>VIRI$$</v>
      </c>
      <c r="C85" s="2" t="str">
        <f>IFERROR(__xludf.DUMMYFUNCTION("""COMPUTED_VALUE"""),"she/her")</f>
        <v>she/her</v>
      </c>
      <c r="D85" s="2" t="str">
        <f>IFERROR(__xludf.DUMMYFUNCTION("""COMPUTED_VALUE"""),"Sri Lankan")</f>
        <v>Sri Lankan</v>
      </c>
      <c r="E85" s="2" t="str">
        <f>IFERROR(__xludf.DUMMYFUNCTION("""COMPUTED_VALUE"""),"DJ")</f>
        <v>DJ</v>
      </c>
      <c r="F85" s="2" t="str">
        <f>IFERROR(__xludf.DUMMYFUNCTION("""COMPUTED_VALUE"""),"Global club - shatta, bouyon, baile funk, dancehall")</f>
        <v>Global club - shatta, bouyon, baile funk, dancehall</v>
      </c>
      <c r="G85" s="58" t="str">
        <f>IFERROR(__xludf.DUMMYFUNCTION("""COMPUTED_VALUE"""),"https://www.instagram.com/viriss___/")</f>
        <v>https://www.instagram.com/viriss___/</v>
      </c>
      <c r="H85" s="2" t="str">
        <f>IFERROR(__xludf.DUMMYFUNCTION("""COMPUTED_VALUE"""),"viriss___")</f>
        <v>viriss___</v>
      </c>
      <c r="I85" s="58" t="str">
        <f>IFERROR(__xludf.DUMMYFUNCTION("""COMPUTED_VALUE"""),"https://soundcloud.com/vir_iss")</f>
        <v>https://soundcloud.com/vir_iss</v>
      </c>
      <c r="J85" s="2"/>
      <c r="K85" s="2"/>
      <c r="L85" s="58" t="str">
        <f>IFERROR(__xludf.DUMMYFUNCTION("""COMPUTED_VALUE"""),"https://soundcloud.com/islaradio/viriss")</f>
        <v>https://soundcloud.com/islaradio/viriss</v>
      </c>
      <c r="M85" s="59"/>
      <c r="N85" s="2"/>
      <c r="O85" s="2"/>
      <c r="P85" s="2"/>
      <c r="Q85" s="2"/>
      <c r="R85" s="7"/>
    </row>
    <row r="86">
      <c r="A86" s="2">
        <f>IFERROR(__xludf.DUMMYFUNCTION("""COMPUTED_VALUE"""),464.0)</f>
        <v>464</v>
      </c>
      <c r="B86" s="2" t="str">
        <f>IFERROR(__xludf.DUMMYFUNCTION("""COMPUTED_VALUE"""),"Jaz Imsky")</f>
        <v>Jaz Imsky</v>
      </c>
      <c r="C86" s="2" t="str">
        <f>IFERROR(__xludf.DUMMYFUNCTION("""COMPUTED_VALUE"""),"she/her")</f>
        <v>she/her</v>
      </c>
      <c r="D86" s="2" t="str">
        <f>IFERROR(__xludf.DUMMYFUNCTION("""COMPUTED_VALUE"""),"Sri Lankan")</f>
        <v>Sri Lankan</v>
      </c>
      <c r="E86" s="2" t="str">
        <f>IFERROR(__xludf.DUMMYFUNCTION("""COMPUTED_VALUE"""),"DJ/Producer")</f>
        <v>DJ/Producer</v>
      </c>
      <c r="F86" s="2" t="str">
        <f>IFERROR(__xludf.DUMMYFUNCTION("""COMPUTED_VALUE"""),"Dubstep, grime, bass")</f>
        <v>Dubstep, grime, bass</v>
      </c>
      <c r="G86" s="2" t="str">
        <f>IFERROR(__xludf.DUMMYFUNCTION("""COMPUTED_VALUE"""),"tremayne@23degreesevents.com")</f>
        <v>tremayne@23degreesevents.com</v>
      </c>
      <c r="H86" s="2" t="str">
        <f>IFERROR(__xludf.DUMMYFUNCTION("""COMPUTED_VALUE"""),"jaz.imsky")</f>
        <v>jaz.imsky</v>
      </c>
      <c r="I86" s="2" t="str">
        <f>IFERROR(__xludf.DUMMYFUNCTION("""COMPUTED_VALUE"""),"jazimsky")</f>
        <v>jazimsky</v>
      </c>
      <c r="J86" s="2"/>
      <c r="K86" s="2"/>
      <c r="L86" s="2"/>
      <c r="M86" s="59"/>
      <c r="N86" s="2"/>
      <c r="O86" s="2"/>
      <c r="P86" s="2"/>
      <c r="Q86" s="2"/>
      <c r="R86" s="7"/>
    </row>
    <row r="87">
      <c r="A87" s="2">
        <f>IFERROR(__xludf.DUMMYFUNCTION("""COMPUTED_VALUE"""),465.0)</f>
        <v>465</v>
      </c>
      <c r="B87" s="2" t="str">
        <f>IFERROR(__xludf.DUMMYFUNCTION("""COMPUTED_VALUE"""),"Smoove Kriminal")</f>
        <v>Smoove Kriminal</v>
      </c>
      <c r="C87" s="2" t="str">
        <f>IFERROR(__xludf.DUMMYFUNCTION("""COMPUTED_VALUE"""),"he/him")</f>
        <v>he/him</v>
      </c>
      <c r="D87" s="2" t="str">
        <f>IFERROR(__xludf.DUMMYFUNCTION("""COMPUTED_VALUE"""),"South Asian")</f>
        <v>South Asian</v>
      </c>
      <c r="E87" s="2" t="str">
        <f>IFERROR(__xludf.DUMMYFUNCTION("""COMPUTED_VALUE"""),"DJ/Producer")</f>
        <v>DJ/Producer</v>
      </c>
      <c r="F87" s="2" t="str">
        <f>IFERROR(__xludf.DUMMYFUNCTION("""COMPUTED_VALUE"""),"UK Funky, Afrohouse, Amapiano")</f>
        <v>UK Funky, Afrohouse, Amapiano</v>
      </c>
      <c r="G87" s="2" t="str">
        <f>IFERROR(__xludf.DUMMYFUNCTION("""COMPUTED_VALUE"""),"SmooveKriminal@hotmail.co.uk")</f>
        <v>SmooveKriminal@hotmail.co.uk</v>
      </c>
      <c r="H87" s="2" t="str">
        <f>IFERROR(__xludf.DUMMYFUNCTION("""COMPUTED_VALUE"""),"SmooveKriminal")</f>
        <v>SmooveKriminal</v>
      </c>
      <c r="I87" s="2" t="str">
        <f>IFERROR(__xludf.DUMMYFUNCTION("""COMPUTED_VALUE"""),"smoovekriminal")</f>
        <v>smoovekriminal</v>
      </c>
      <c r="J87" s="2"/>
      <c r="K87" s="2"/>
      <c r="L87" s="58" t="str">
        <f>IFERROR(__xludf.DUMMYFUNCTION("""COMPUTED_VALUE"""),"https://smoovekriminal.bandcamp.com/")</f>
        <v>https://smoovekriminal.bandcamp.com/</v>
      </c>
      <c r="M87" s="59"/>
      <c r="N87" s="2"/>
      <c r="O87" s="2"/>
      <c r="P87" s="2"/>
      <c r="Q87" s="2"/>
      <c r="R87" s="7"/>
    </row>
    <row r="88">
      <c r="A88" s="2">
        <f>IFERROR(__xludf.DUMMYFUNCTION("""COMPUTED_VALUE"""),466.0)</f>
        <v>466</v>
      </c>
      <c r="B88" s="2" t="str">
        <f>IFERROR(__xludf.DUMMYFUNCTION("""COMPUTED_VALUE"""),"
ROHiNA ")</f>
        <v>
ROHiNA </v>
      </c>
      <c r="C88" s="2" t="str">
        <f>IFERROR(__xludf.DUMMYFUNCTION("""COMPUTED_VALUE"""),"she/they")</f>
        <v>she/they</v>
      </c>
      <c r="D88" s="2" t="str">
        <f>IFERROR(__xludf.DUMMYFUNCTION("""COMPUTED_VALUE"""),"Sri Lankan")</f>
        <v>Sri Lankan</v>
      </c>
      <c r="E88" s="2" t="str">
        <f>IFERROR(__xludf.DUMMYFUNCTION("""COMPUTED_VALUE"""),"DJ")</f>
        <v>DJ</v>
      </c>
      <c r="F88" s="2" t="str">
        <f>IFERROR(__xludf.DUMMYFUNCTION("""COMPUTED_VALUE"""),"Global club - bassy, high energy, baile funk, soca")</f>
        <v>Global club - bassy, high energy, baile funk, soca</v>
      </c>
      <c r="G88" s="58" t="str">
        <f>IFERROR(__xludf.DUMMYFUNCTION("""COMPUTED_VALUE"""),"https://www.instagram.com/rohinacp/")</f>
        <v>https://www.instagram.com/rohinacp/</v>
      </c>
      <c r="H88" s="2" t="str">
        <f>IFERROR(__xludf.DUMMYFUNCTION("""COMPUTED_VALUE"""),"rohinacp")</f>
        <v>rohinacp</v>
      </c>
      <c r="I88" s="2" t="str">
        <f>IFERROR(__xludf.DUMMYFUNCTION("""COMPUTED_VALUE"""),"rohinacp")</f>
        <v>rohinacp</v>
      </c>
      <c r="J88" s="2"/>
      <c r="K88" s="2"/>
      <c r="L88" s="2"/>
      <c r="M88" s="59"/>
      <c r="N88" s="2"/>
      <c r="O88" s="2"/>
      <c r="P88" s="2"/>
      <c r="Q88" s="2"/>
      <c r="R88" s="7"/>
    </row>
    <row r="89">
      <c r="A89" s="2">
        <f>IFERROR(__xludf.DUMMYFUNCTION("""COMPUTED_VALUE"""),467.0)</f>
        <v>467</v>
      </c>
      <c r="B89" s="2" t="str">
        <f>IFERROR(__xludf.DUMMYFUNCTION("""COMPUTED_VALUE"""),"Kabir")</f>
        <v>Kabir</v>
      </c>
      <c r="C89" s="2"/>
      <c r="D89" s="2" t="str">
        <f>IFERROR(__xludf.DUMMYFUNCTION("""COMPUTED_VALUE"""),"Punjabi/Indian")</f>
        <v>Punjabi/Indian</v>
      </c>
      <c r="E89" s="2" t="str">
        <f>IFERROR(__xludf.DUMMYFUNCTION("""COMPUTED_VALUE"""),"DJ")</f>
        <v>DJ</v>
      </c>
      <c r="F89" s="2" t="str">
        <f>IFERROR(__xludf.DUMMYFUNCTION("""COMPUTED_VALUE"""),"Arab and Brazilian electronic music, Singeli and Shatta, Bollywood, UK club sounds, grime &amp; Panjabi garage")</f>
        <v>Arab and Brazilian electronic music, Singeli and Shatta, Bollywood, UK club sounds, grime &amp; Panjabi garage</v>
      </c>
      <c r="G89" s="58" t="str">
        <f>IFERROR(__xludf.DUMMYFUNCTION("""COMPUTED_VALUE"""),"https://www.instagram.com/kabirzjo/")</f>
        <v>https://www.instagram.com/kabirzjo/</v>
      </c>
      <c r="H89" s="2" t="str">
        <f>IFERROR(__xludf.DUMMYFUNCTION("""COMPUTED_VALUE"""),"kabirzjo")</f>
        <v>kabirzjo</v>
      </c>
      <c r="I89" s="2"/>
      <c r="J89" s="2"/>
      <c r="K89" s="2"/>
      <c r="L89" s="58" t="str">
        <f>IFERROR(__xludf.DUMMYFUNCTION("""COMPUTED_VALUE"""),"https://soundcloud.com/netil-radio/koshari-w-kabir-3rd-june-2025?in=netil-radio/sets/koshari-1st-tuesday-5-7pm")</f>
        <v>https://soundcloud.com/netil-radio/koshari-w-kabir-3rd-june-2025?in=netil-radio/sets/koshari-1st-tuesday-5-7pm</v>
      </c>
      <c r="M89" s="59"/>
      <c r="N89" s="2"/>
      <c r="O89" s="2"/>
      <c r="P89" s="2"/>
      <c r="Q89" s="2"/>
      <c r="R89" s="7"/>
    </row>
    <row r="90">
      <c r="A90" s="2">
        <f>IFERROR(__xludf.DUMMYFUNCTION("""COMPUTED_VALUE"""),463.0)</f>
        <v>463</v>
      </c>
      <c r="B90" s="2" t="str">
        <f>IFERROR(__xludf.DUMMYFUNCTION("""COMPUTED_VALUE"""),"Neha")</f>
        <v>Neha</v>
      </c>
      <c r="C90" s="2" t="str">
        <f>IFERROR(__xludf.DUMMYFUNCTION("""COMPUTED_VALUE"""),"she/her")</f>
        <v>she/her</v>
      </c>
      <c r="D90" s="2" t="str">
        <f>IFERROR(__xludf.DUMMYFUNCTION("""COMPUTED_VALUE"""),"Pakistani")</f>
        <v>Pakistani</v>
      </c>
      <c r="E90" s="2" t="str">
        <f>IFERROR(__xludf.DUMMYFUNCTION("""COMPUTED_VALUE"""),"DJ")</f>
        <v>DJ</v>
      </c>
      <c r="F90" s="2" t="str">
        <f>IFERROR(__xludf.DUMMYFUNCTION("""COMPUTED_VALUE"""),"minimal, house, ")</f>
        <v>minimal, house, </v>
      </c>
      <c r="G90" s="2" t="str">
        <f>IFERROR(__xludf.DUMMYFUNCTION("""COMPUTED_VALUE"""),"nehakhanldnuk@gmail.com")</f>
        <v>nehakhanldnuk@gmail.com</v>
      </c>
      <c r="H90" s="2" t="str">
        <f>IFERROR(__xludf.DUMMYFUNCTION("""COMPUTED_VALUE"""),"@nehakhanxo")</f>
        <v>@nehakhanxo</v>
      </c>
      <c r="I90" s="58" t="str">
        <f>IFERROR(__xludf.DUMMYFUNCTION("""COMPUTED_VALUE"""),"https://soundcloud.com/neha-khan")</f>
        <v>https://soundcloud.com/neha-khan</v>
      </c>
      <c r="J90" s="2"/>
      <c r="K90" s="2"/>
      <c r="L90" s="58" t="str">
        <f>IFERROR(__xludf.DUMMYFUNCTION("""COMPUTED_VALUE"""),"https://www.youtube.com/watch?v=bNXxnyvPksw&amp;t=1s")</f>
        <v>https://www.youtube.com/watch?v=bNXxnyvPksw&amp;t=1s</v>
      </c>
      <c r="M90" s="59"/>
      <c r="N90" s="2"/>
      <c r="O90" s="2"/>
      <c r="P90" s="2"/>
      <c r="Q90" s="2"/>
      <c r="R90" s="7"/>
    </row>
    <row r="91">
      <c r="A91" s="2">
        <f>IFERROR(__xludf.DUMMYFUNCTION("""COMPUTED_VALUE"""),464.0)</f>
        <v>464</v>
      </c>
      <c r="B91" s="2" t="str">
        <f>IFERROR(__xludf.DUMMYFUNCTION("""COMPUTED_VALUE"""),"Prithvi")</f>
        <v>Prithvi</v>
      </c>
      <c r="C91" s="2" t="str">
        <f>IFERROR(__xludf.DUMMYFUNCTION("""COMPUTED_VALUE"""),"He/Him")</f>
        <v>He/Him</v>
      </c>
      <c r="D91" s="2" t="str">
        <f>IFERROR(__xludf.DUMMYFUNCTION("""COMPUTED_VALUE"""),"Punjabi")</f>
        <v>Punjabi</v>
      </c>
      <c r="E91" s="2" t="str">
        <f>IFERROR(__xludf.DUMMYFUNCTION("""COMPUTED_VALUE"""),"DJ")</f>
        <v>DJ</v>
      </c>
      <c r="F91" s="2" t="str">
        <f>IFERROR(__xludf.DUMMYFUNCTION("""COMPUTED_VALUE"""),"UKG, Jungle, House")</f>
        <v>UKG, Jungle, House</v>
      </c>
      <c r="G91" s="2" t="str">
        <f>IFERROR(__xludf.DUMMYFUNCTION("""COMPUTED_VALUE"""),"prithviuk1@gmail.com")</f>
        <v>prithviuk1@gmail.com</v>
      </c>
      <c r="H91" s="2" t="str">
        <f>IFERROR(__xludf.DUMMYFUNCTION("""COMPUTED_VALUE"""),"prithvi_uk")</f>
        <v>prithvi_uk</v>
      </c>
      <c r="I91" s="58" t="str">
        <f>IFERROR(__xludf.DUMMYFUNCTION("""COMPUTED_VALUE"""),"https://soundcloud.com/prithviuk")</f>
        <v>https://soundcloud.com/prithviuk</v>
      </c>
      <c r="J91" s="58" t="str">
        <f>IFERROR(__xludf.DUMMYFUNCTION("""COMPUTED_VALUE"""),"https://www.tiktok.com/@prithvi_vip")</f>
        <v>https://www.tiktok.com/@prithvi_vip</v>
      </c>
      <c r="K91" s="2"/>
      <c r="L91" s="2"/>
      <c r="M91" s="59"/>
      <c r="N91" s="2"/>
      <c r="O91" s="2"/>
      <c r="P91" s="2"/>
      <c r="Q91" s="2"/>
      <c r="R91" s="7"/>
    </row>
    <row r="92">
      <c r="A92" s="2"/>
      <c r="B92" s="2" t="str">
        <f>IFERROR(__xludf.DUMMYFUNCTION("""COMPUTED_VALUE"""),"Alfaz")</f>
        <v>Alfaz</v>
      </c>
      <c r="C92" s="2" t="str">
        <f>IFERROR(__xludf.DUMMYFUNCTION("""COMPUTED_VALUE"""),"He/His")</f>
        <v>He/His</v>
      </c>
      <c r="D92" s="2" t="str">
        <f>IFERROR(__xludf.DUMMYFUNCTION("""COMPUTED_VALUE"""),"Bangladeshi Italian")</f>
        <v>Bangladeshi Italian</v>
      </c>
      <c r="E92" s="2" t="str">
        <f>IFERROR(__xludf.DUMMYFUNCTION("""COMPUTED_VALUE"""),"DJ")</f>
        <v>DJ</v>
      </c>
      <c r="F92" s="2" t="str">
        <f>IFERROR(__xludf.DUMMYFUNCTION("""COMPUTED_VALUE"""),"House and Disco")</f>
        <v>House and Disco</v>
      </c>
      <c r="G92" s="2" t="str">
        <f>IFERROR(__xludf.DUMMYFUNCTION("""COMPUTED_VALUE"""),"salottosounds@gmail.com")</f>
        <v>salottosounds@gmail.com</v>
      </c>
      <c r="H92" s="2" t="str">
        <f>IFERROR(__xludf.DUMMYFUNCTION("""COMPUTED_VALUE"""),"@alfaznrl")</f>
        <v>@alfaznrl</v>
      </c>
      <c r="I92" s="2" t="str">
        <f>IFERROR(__xludf.DUMMYFUNCTION("""COMPUTED_VALUE"""),"https://soundcloud.com/alfaz-nurul and https://soundcloud.com/norulesukldn")</f>
        <v>https://soundcloud.com/alfaz-nurul and https://soundcloud.com/norulesukldn</v>
      </c>
      <c r="J92" s="2" t="str">
        <f>IFERROR(__xludf.DUMMYFUNCTION("""COMPUTED_VALUE"""),"salottosounds")</f>
        <v>salottosounds</v>
      </c>
      <c r="K92" s="2"/>
      <c r="L92" s="2" t="str">
        <f>IFERROR(__xludf.DUMMYFUNCTION("""COMPUTED_VALUE"""),"https://soundcloud.com/norulesukldn for my stuff that I have done with my brother as No Rules
for my events Salotto Sounds: https://soundcloud.com/salotto-sounds
My Personal https://soundcloud.com/alfaz-nurul")</f>
        <v>https://soundcloud.com/norulesukldn for my stuff that I have done with my brother as No Rules
for my events Salotto Sounds: https://soundcloud.com/salotto-sounds
My Personal https://soundcloud.com/alfaz-nurul</v>
      </c>
      <c r="M92" s="59"/>
      <c r="N92" s="2"/>
      <c r="O92" s="2"/>
      <c r="P92" s="2"/>
      <c r="Q92" s="2"/>
      <c r="R92" s="7"/>
    </row>
    <row r="93">
      <c r="A93" s="2"/>
      <c r="B93" s="2" t="str">
        <f>IFERROR(__xludf.DUMMYFUNCTION("""COMPUTED_VALUE"""),"PRI !!")</f>
        <v>PRI !!</v>
      </c>
      <c r="C93" s="2" t="str">
        <f>IFERROR(__xludf.DUMMYFUNCTION("""COMPUTED_VALUE"""),"She/they")</f>
        <v>She/they</v>
      </c>
      <c r="D93" s="2" t="str">
        <f>IFERROR(__xludf.DUMMYFUNCTION("""COMPUTED_VALUE"""),"Indian")</f>
        <v>Indian</v>
      </c>
      <c r="E93" s="2" t="str">
        <f>IFERROR(__xludf.DUMMYFUNCTION("""COMPUTED_VALUE"""),"DJ")</f>
        <v>DJ</v>
      </c>
      <c r="F93" s="2" t="str">
        <f>IFERROR(__xludf.DUMMYFUNCTION("""COMPUTED_VALUE"""),"Percussive, 140, Jungle, Footwork")</f>
        <v>Percussive, 140, Jungle, Footwork</v>
      </c>
      <c r="G93" s="2" t="str">
        <f>IFERROR(__xludf.DUMMYFUNCTION("""COMPUTED_VALUE"""),"priyakkanungo@gmail.com")</f>
        <v>priyakkanungo@gmail.com</v>
      </c>
      <c r="H93" s="2" t="str">
        <f>IFERROR(__xludf.DUMMYFUNCTION("""COMPUTED_VALUE"""),"0121pri")</f>
        <v>0121pri</v>
      </c>
      <c r="I93" s="58" t="str">
        <f>IFERROR(__xludf.DUMMYFUNCTION("""COMPUTED_VALUE"""),"https://soundcloud.com/sigil-radio/dunya-w-pri-october-2025-sigil-radio")</f>
        <v>https://soundcloud.com/sigil-radio/dunya-w-pri-october-2025-sigil-radio</v>
      </c>
      <c r="J93" s="2" t="str">
        <f>IFERROR(__xludf.DUMMYFUNCTION("""COMPUTED_VALUE"""),"0121pri")</f>
        <v>0121pri</v>
      </c>
      <c r="K93" s="2"/>
      <c r="L93" s="58" t="str">
        <f>IFERROR(__xludf.DUMMYFUNCTION("""COMPUTED_VALUE"""),"https://www.youtube.com/watch?v=PMA1yLmBEcw&amp;t=413s")</f>
        <v>https://www.youtube.com/watch?v=PMA1yLmBEcw&amp;t=413s</v>
      </c>
      <c r="M93" s="59"/>
      <c r="N93" s="2"/>
      <c r="O93" s="2"/>
      <c r="P93" s="2"/>
      <c r="Q93" s="2"/>
      <c r="R93" s="7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3:D3"/>
  </mergeCells>
  <hyperlinks>
    <hyperlink r:id="rId1" ref="H11"/>
    <hyperlink r:id="rId2" ref="I11"/>
    <hyperlink r:id="rId3" ref="L11"/>
    <hyperlink r:id="rId4" ref="I12"/>
    <hyperlink r:id="rId5" ref="L12"/>
    <hyperlink r:id="rId6" ref="H13"/>
    <hyperlink r:id="rId7" ref="I13"/>
    <hyperlink r:id="rId8" ref="L13"/>
    <hyperlink r:id="rId9" ref="I14"/>
    <hyperlink r:id="rId10" ref="L14"/>
    <hyperlink r:id="rId11" ref="H15"/>
    <hyperlink r:id="rId12" ref="I15"/>
    <hyperlink r:id="rId13" ref="L15"/>
    <hyperlink r:id="rId14" ref="H16"/>
    <hyperlink r:id="rId15" ref="I16"/>
    <hyperlink r:id="rId16" ref="L16"/>
    <hyperlink r:id="rId17" ref="I17"/>
    <hyperlink r:id="rId18" ref="L17"/>
    <hyperlink r:id="rId19" ref="H18"/>
    <hyperlink r:id="rId20" ref="L18"/>
    <hyperlink r:id="rId21" ref="H19"/>
    <hyperlink r:id="rId22" ref="I19"/>
    <hyperlink r:id="rId23" ref="J19"/>
    <hyperlink r:id="rId24" ref="K19"/>
    <hyperlink r:id="rId25" ref="L19"/>
    <hyperlink r:id="rId26" ref="H20"/>
    <hyperlink r:id="rId27" ref="I20"/>
    <hyperlink r:id="rId28" ref="L20"/>
    <hyperlink r:id="rId29" ref="H21"/>
    <hyperlink r:id="rId30" ref="L21"/>
    <hyperlink r:id="rId31" ref="I22"/>
    <hyperlink r:id="rId32" ref="K22"/>
    <hyperlink r:id="rId33" ref="L22"/>
    <hyperlink r:id="rId34" ref="H53"/>
    <hyperlink r:id="rId35" ref="I53"/>
    <hyperlink r:id="rId36" ref="H54"/>
    <hyperlink r:id="rId37" ref="L54"/>
    <hyperlink r:id="rId38" ref="H55"/>
    <hyperlink r:id="rId39" ref="H56"/>
    <hyperlink r:id="rId40" ref="L56"/>
    <hyperlink r:id="rId41" ref="H57"/>
    <hyperlink r:id="rId42" ref="H58"/>
    <hyperlink r:id="rId43" ref="L58"/>
    <hyperlink r:id="rId44" ref="H59"/>
    <hyperlink r:id="rId45" ref="L59"/>
    <hyperlink r:id="rId46" ref="H60"/>
    <hyperlink r:id="rId47" ref="H61"/>
    <hyperlink r:id="rId48" ref="L61"/>
    <hyperlink r:id="rId49" ref="I62"/>
    <hyperlink r:id="rId50" ref="J62"/>
    <hyperlink r:id="rId51" ref="H63"/>
    <hyperlink r:id="rId52" ref="I63"/>
    <hyperlink r:id="rId53" ref="K63"/>
    <hyperlink r:id="rId54" ref="L63"/>
    <hyperlink r:id="rId55" ref="H64"/>
    <hyperlink r:id="rId56" ref="I64"/>
    <hyperlink r:id="rId57" ref="L64"/>
    <hyperlink r:id="rId58" ref="I65"/>
    <hyperlink r:id="rId59" ref="J65"/>
    <hyperlink r:id="rId60" ref="I66"/>
    <hyperlink r:id="rId61" ref="L66"/>
    <hyperlink r:id="rId62" ref="I67"/>
    <hyperlink r:id="rId63" ref="L67"/>
    <hyperlink r:id="rId64" ref="H68"/>
    <hyperlink r:id="rId65" ref="I68"/>
    <hyperlink r:id="rId66" ref="J68"/>
    <hyperlink r:id="rId67" ref="K68"/>
    <hyperlink r:id="rId68" ref="L68"/>
    <hyperlink r:id="rId69" ref="H69"/>
    <hyperlink r:id="rId70" ref="J69"/>
    <hyperlink r:id="rId71" ref="K69"/>
    <hyperlink r:id="rId72" ref="H70"/>
    <hyperlink r:id="rId73" ref="I70"/>
    <hyperlink r:id="rId74" ref="K70"/>
    <hyperlink r:id="rId75" ref="I72"/>
    <hyperlink r:id="rId76" ref="L72"/>
    <hyperlink r:id="rId77" ref="I74"/>
    <hyperlink r:id="rId78" ref="J74"/>
    <hyperlink r:id="rId79" ref="H75"/>
    <hyperlink r:id="rId80" ref="I75"/>
    <hyperlink r:id="rId81" ref="I76"/>
    <hyperlink r:id="rId82" ref="L76"/>
    <hyperlink r:id="rId83" ref="H77"/>
    <hyperlink r:id="rId84" ref="I77"/>
    <hyperlink r:id="rId85" ref="J77"/>
    <hyperlink r:id="rId86" ref="K77"/>
    <hyperlink r:id="rId87" ref="L77"/>
    <hyperlink r:id="rId88" ref="I78"/>
    <hyperlink r:id="rId89" ref="K78"/>
    <hyperlink r:id="rId90" ref="L78"/>
    <hyperlink r:id="rId91" ref="I79"/>
    <hyperlink r:id="rId92" ref="L79"/>
    <hyperlink r:id="rId93" ref="H80"/>
    <hyperlink r:id="rId94" ref="I80"/>
    <hyperlink r:id="rId95" ref="J80"/>
    <hyperlink r:id="rId96" ref="L80"/>
    <hyperlink r:id="rId97" ref="L81"/>
    <hyperlink r:id="rId98" ref="L82"/>
    <hyperlink r:id="rId99" ref="L83"/>
    <hyperlink r:id="rId100" ref="L84"/>
    <hyperlink r:id="rId101" ref="G85"/>
    <hyperlink r:id="rId102" ref="I85"/>
    <hyperlink r:id="rId103" ref="L85"/>
    <hyperlink r:id="rId104" ref="L87"/>
    <hyperlink r:id="rId105" ref="G88"/>
    <hyperlink r:id="rId106" ref="G89"/>
    <hyperlink r:id="rId107" ref="L89"/>
    <hyperlink r:id="rId108" ref="I90"/>
    <hyperlink r:id="rId109" ref="L90"/>
    <hyperlink r:id="rId110" ref="I91"/>
    <hyperlink r:id="rId111" ref="J91"/>
    <hyperlink r:id="rId112" ref="I93"/>
    <hyperlink r:id="rId113" ref="L93"/>
  </hyperlinks>
  <drawing r:id="rId1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</cols>
  <sheetData>
    <row r="1">
      <c r="A1" s="7" t="str">
        <f>IFERROR(__xludf.DUMMYFUNCTION("QUERY('Booking Responses'!A:G,""select * where D &gt; date '""&amp;TEXT(DATEVALUE(X3),""yyyy-mm-dd"")&amp;""'"")"),"Timestamp")</f>
        <v>Timestamp</v>
      </c>
      <c r="B1" s="7" t="str">
        <f>IFERROR(__xludf.DUMMYFUNCTION("""COMPUTED_VALUE"""),"Email Address")</f>
        <v>Email Address</v>
      </c>
      <c r="C1" s="7" t="str">
        <f>IFERROR(__xludf.DUMMYFUNCTION("""COMPUTED_VALUE"""),"Name of Event")</f>
        <v>Name of Event</v>
      </c>
      <c r="D1" s="7" t="str">
        <f>IFERROR(__xludf.DUMMYFUNCTION("""COMPUTED_VALUE"""),"Date of Event")</f>
        <v>Date of Event</v>
      </c>
      <c r="E1" s="7" t="str">
        <f>IFERROR(__xludf.DUMMYFUNCTION("""COMPUTED_VALUE"""),"Event Type ")</f>
        <v>Event Type </v>
      </c>
      <c r="F1" s="7" t="str">
        <f>IFERROR(__xludf.DUMMYFUNCTION("""COMPUTED_VALUE"""),"Unique Artist ID (See Roster DB)")</f>
        <v>Unique Artist ID (See Roster DB)</v>
      </c>
      <c r="G1" s="7" t="str">
        <f>IFERROR(__xludf.DUMMYFUNCTION("""COMPUTED_VALUE"""),"Name of Submitter")</f>
        <v>Name of Submitter</v>
      </c>
    </row>
    <row r="2">
      <c r="A2" s="11">
        <f>IFERROR(__xludf.DUMMYFUNCTION("""COMPUTED_VALUE"""),46123.06479116898)</f>
        <v>46123.06479</v>
      </c>
      <c r="B2" s="7"/>
      <c r="C2" s="7" t="str">
        <f>IFERROR(__xludf.DUMMYFUNCTION("""COMPUTED_VALUE"""),"BFI At Yours: Mogul Mowgli")</f>
        <v>BFI At Yours: Mogul Mowgli</v>
      </c>
      <c r="D2" s="14">
        <f>IFERROR(__xludf.DUMMYFUNCTION("""COMPUTED_VALUE"""),46107.0)</f>
        <v>46107</v>
      </c>
      <c r="E2" s="7" t="str">
        <f>IFERROR(__xludf.DUMMYFUNCTION("""COMPUTED_VALUE"""),"Small (Bar, Exhibitions, Charity Events, Restaurants)")</f>
        <v>Small (Bar, Exhibitions, Charity Events, Restaurants)</v>
      </c>
      <c r="F2" s="7">
        <f>IFERROR(__xludf.DUMMYFUNCTION("""COMPUTED_VALUE"""),319.0)</f>
        <v>319</v>
      </c>
      <c r="G2" s="7" t="str">
        <f>IFERROR(__xludf.DUMMYFUNCTION("""COMPUTED_VALUE"""),"Sandhya Narayanan")</f>
        <v>Sandhya Narayanan</v>
      </c>
      <c r="W2" s="4" t="s">
        <v>149</v>
      </c>
      <c r="X2" s="14">
        <f>TODAY()</f>
        <v>46220</v>
      </c>
    </row>
    <row r="3">
      <c r="W3" s="4" t="s">
        <v>150</v>
      </c>
      <c r="X3" s="14">
        <f>EDATE(X2,-(Stats!R59))</f>
        <v>45855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37.5"/>
  </cols>
  <sheetData>
    <row r="1">
      <c r="A1" s="7" t="str">
        <f>IFERROR(__xludf.DUMMYFUNCTION("QUERY('Roster Info'!A1:O1000)"),"Unique ID")</f>
        <v>Unique ID</v>
      </c>
      <c r="B1" s="7" t="str">
        <f>IFERROR(__xludf.DUMMYFUNCTION("""COMPUTED_VALUE"""),"Artist name")</f>
        <v>Artist name</v>
      </c>
      <c r="C1" s="7" t="str">
        <f>IFERROR(__xludf.DUMMYFUNCTION("""COMPUTED_VALUE"""),"Preferred Name")</f>
        <v>Preferred Name</v>
      </c>
      <c r="D1" s="7" t="str">
        <f>IFERROR(__xludf.DUMMYFUNCTION("""COMPUTED_VALUE"""),"Preferred Pronouns")</f>
        <v>Preferred Pronouns</v>
      </c>
      <c r="E1" s="7" t="str">
        <f>IFERROR(__xludf.DUMMYFUNCTION("""COMPUTED_VALUE"""),"Heritage")</f>
        <v>Heritage</v>
      </c>
      <c r="F1" s="7" t="str">
        <f>IFERROR(__xludf.DUMMYFUNCTION("""COMPUTED_VALUE"""),"Location")</f>
        <v>Location</v>
      </c>
      <c r="G1" s="7" t="str">
        <f>IFERROR(__xludf.DUMMYFUNCTION("""COMPUTED_VALUE"""),"Outside of UK (If applicable)")</f>
        <v>Outside of UK (If applicable)</v>
      </c>
      <c r="H1" s="7" t="str">
        <f>IFERROR(__xludf.DUMMYFUNCTION("""COMPUTED_VALUE"""),"Type of Act")</f>
        <v>Type of Act</v>
      </c>
      <c r="I1" s="7" t="str">
        <f>IFERROR(__xludf.DUMMYFUNCTION("""COMPUTED_VALUE"""),"Genre")</f>
        <v>Genre</v>
      </c>
      <c r="J1" s="7" t="str">
        <f>IFERROR(__xludf.DUMMYFUNCTION("""COMPUTED_VALUE"""),"Contact Details")</f>
        <v>Contact Details</v>
      </c>
      <c r="K1" s="7" t="str">
        <f>IFERROR(__xludf.DUMMYFUNCTION("""COMPUTED_VALUE"""),"Instagram")</f>
        <v>Instagram</v>
      </c>
      <c r="L1" s="7" t="str">
        <f>IFERROR(__xludf.DUMMYFUNCTION("""COMPUTED_VALUE"""),"Soundcloud")</f>
        <v>Soundcloud</v>
      </c>
      <c r="M1" s="7" t="str">
        <f>IFERROR(__xludf.DUMMYFUNCTION("""COMPUTED_VALUE"""),"TikTok")</f>
        <v>TikTok</v>
      </c>
      <c r="N1" s="7" t="str">
        <f>IFERROR(__xludf.DUMMYFUNCTION("""COMPUTED_VALUE"""),"Any other social media")</f>
        <v>Any other social media</v>
      </c>
      <c r="O1" s="7" t="str">
        <f>IFERROR(__xludf.DUMMYFUNCTION("""COMPUTED_VALUE"""),"Link to Previous Work")</f>
        <v>Link to Previous Work</v>
      </c>
      <c r="P1" s="54" t="s">
        <v>19</v>
      </c>
      <c r="Q1" s="53" t="s">
        <v>22</v>
      </c>
      <c r="R1" s="53" t="s">
        <v>23</v>
      </c>
      <c r="S1" s="53" t="s">
        <v>24</v>
      </c>
      <c r="T1" s="53" t="s">
        <v>25</v>
      </c>
      <c r="U1" s="55" t="s">
        <v>26</v>
      </c>
    </row>
    <row r="2">
      <c r="A2" s="7">
        <f>IFERROR(__xludf.DUMMYFUNCTION("""COMPUTED_VALUE"""),202.0)</f>
        <v>202</v>
      </c>
      <c r="B2" s="7" t="str">
        <f>IFERROR(__xludf.DUMMYFUNCTION("""COMPUTED_VALUE"""),"Zar")</f>
        <v>Zar</v>
      </c>
      <c r="C2" s="7" t="str">
        <f>IFERROR(__xludf.DUMMYFUNCTION("""COMPUTED_VALUE"""),"Arun Dhanjal")</f>
        <v>Arun Dhanjal</v>
      </c>
      <c r="D2" s="7" t="str">
        <f>IFERROR(__xludf.DUMMYFUNCTION("""COMPUTED_VALUE"""),"he/him")</f>
        <v>he/him</v>
      </c>
      <c r="E2" s="7"/>
      <c r="F2" s="7" t="str">
        <f>IFERROR(__xludf.DUMMYFUNCTION("""COMPUTED_VALUE"""),"London")</f>
        <v>London</v>
      </c>
      <c r="G2" s="7"/>
      <c r="H2" s="7" t="str">
        <f>IFERROR(__xludf.DUMMYFUNCTION("""COMPUTED_VALUE"""),"DJ, Live Act")</f>
        <v>DJ, Live Act</v>
      </c>
      <c r="I2" s="7" t="str">
        <f>IFERROR(__xludf.DUMMYFUNCTION("""COMPUTED_VALUE"""),"Multi genre")</f>
        <v>Multi genre</v>
      </c>
      <c r="J2" s="7" t="str">
        <f>IFERROR(__xludf.DUMMYFUNCTION("""COMPUTED_VALUE"""),"adjzar@gmail.com")</f>
        <v>adjzar@gmail.com</v>
      </c>
      <c r="K2" s="57" t="str">
        <f>IFERROR(__xludf.DUMMYFUNCTION("""COMPUTED_VALUE"""),"https://linktr.ee/ajdzar")</f>
        <v>https://linktr.ee/ajdzar</v>
      </c>
      <c r="L2" s="7"/>
      <c r="M2" s="7"/>
      <c r="N2" s="7"/>
      <c r="O2" s="57" t="str">
        <f>IFERROR(__xludf.DUMMYFUNCTION("""COMPUTED_VALUE"""),"https://www.mixcloud.com/NoBoundariesLDN_/zar-no-boundaries-guest-mix-001/")</f>
        <v>https://www.mixcloud.com/NoBoundariesLDN_/zar-no-boundaries-guest-mix-001/</v>
      </c>
      <c r="P2" s="62">
        <f t="array" ref="P2">MAX(IF($A2=AB_TF!F:F,AB_TF!D:D))</f>
        <v>0</v>
      </c>
      <c r="Q2" s="63" t="str">
        <f t="array" ref="Q2">INDEX(AB_TF!C:C,MATCH(1,(AB_TF!F:F=A2)*(AB_TF!D:D=P2),0))</f>
        <v>#N/A</v>
      </c>
      <c r="R2" s="63">
        <f>COUNTIFS(AB_TF!F:F,"="&amp;A2,AB_TF!E:E,"Small*")</f>
        <v>0</v>
      </c>
      <c r="S2" s="63">
        <f>COUNTIFS(AB_TF!F:F,"="&amp;A2,AB_TF!E:E,"Medium*")</f>
        <v>0</v>
      </c>
      <c r="T2" s="63">
        <f>COUNTIFS(AB_TF!F:F,"="&amp;A2,AB_TF!E:E,"Large*")</f>
        <v>0</v>
      </c>
      <c r="U2" s="64">
        <f t="shared" ref="U2:U609" si="1">SUM((R2)+(S2*2)+(T2*3))</f>
        <v>0</v>
      </c>
    </row>
    <row r="3">
      <c r="A3" s="7">
        <f>IFERROR(__xludf.DUMMYFUNCTION("""COMPUTED_VALUE"""),203.0)</f>
        <v>203</v>
      </c>
      <c r="B3" s="7" t="str">
        <f>IFERROR(__xludf.DUMMYFUNCTION("""COMPUTED_VALUE"""),"Saadaan")</f>
        <v>Saadaan</v>
      </c>
      <c r="C3" s="7" t="str">
        <f>IFERROR(__xludf.DUMMYFUNCTION("""COMPUTED_VALUE"""),"Saadaan Afghan")</f>
        <v>Saadaan Afghan</v>
      </c>
      <c r="D3" s="7" t="str">
        <f>IFERROR(__xludf.DUMMYFUNCTION("""COMPUTED_VALUE"""),"He/Him")</f>
        <v>He/Him</v>
      </c>
      <c r="E3" s="7"/>
      <c r="F3" s="7" t="str">
        <f>IFERROR(__xludf.DUMMYFUNCTION("""COMPUTED_VALUE"""),"London, Coventry")</f>
        <v>London, Coventry</v>
      </c>
      <c r="G3" s="7"/>
      <c r="H3" s="7" t="str">
        <f>IFERROR(__xludf.DUMMYFUNCTION("""COMPUTED_VALUE"""),"DJ")</f>
        <v>DJ</v>
      </c>
      <c r="I3" s="7" t="str">
        <f>IFERROR(__xludf.DUMMYFUNCTION("""COMPUTED_VALUE"""),"140, Dubstep, Left Field Bass, 2-step/ukg, Hip Hop, Techno, Electro (sometimes House)")</f>
        <v>140, Dubstep, Left Field Bass, 2-step/ukg, Hip Hop, Techno, Electro (sometimes House)</v>
      </c>
      <c r="J3" s="7" t="str">
        <f>IFERROR(__xludf.DUMMYFUNCTION("""COMPUTED_VALUE"""),"saadko@outlook.com")</f>
        <v>saadko@outlook.com</v>
      </c>
      <c r="K3" s="57" t="str">
        <f>IFERROR(__xludf.DUMMYFUNCTION("""COMPUTED_VALUE"""),"https://www.instagram.com/saadaan__________/")</f>
        <v>https://www.instagram.com/saadaan__________/</v>
      </c>
      <c r="L3" s="7"/>
      <c r="M3" s="7"/>
      <c r="N3" s="7"/>
      <c r="O3" s="7" t="str">
        <f>IFERROR(__xludf.DUMMYFUNCTION("""COMPUTED_VALUE"""),"""saadaan.bandcamp.com 
waveplate.systems""")</f>
        <v>"saadaan.bandcamp.com 
waveplate.systems"</v>
      </c>
      <c r="P3" s="62">
        <f t="array" ref="P3">MAX(IF($A3=AB_TF!F:F,AB_TF!D:D))</f>
        <v>0</v>
      </c>
      <c r="Q3" s="63" t="str">
        <f t="array" ref="Q3">INDEX(AB_TF!C:C,MATCH(1,(AB_TF!F:F=A3)*(AB_TF!D:D=P3),0))</f>
        <v>#N/A</v>
      </c>
      <c r="R3" s="63">
        <f>COUNTIFS(AB_TF!F:F,"="&amp;A3,AB_TF!E:E,"Small*")</f>
        <v>0</v>
      </c>
      <c r="S3" s="63">
        <f>COUNTIFS(AB_TF!F:F,"="&amp;A3,AB_TF!E:E,"Medium*")</f>
        <v>0</v>
      </c>
      <c r="T3" s="63">
        <f>COUNTIFS(AB_TF!F:F,"="&amp;A3,AB_TF!E:E,"Large*")</f>
        <v>0</v>
      </c>
      <c r="U3" s="64">
        <f t="shared" si="1"/>
        <v>0</v>
      </c>
    </row>
    <row r="4">
      <c r="A4" s="7">
        <f>IFERROR(__xludf.DUMMYFUNCTION("""COMPUTED_VALUE"""),205.0)</f>
        <v>205</v>
      </c>
      <c r="B4" s="7" t="str">
        <f>IFERROR(__xludf.DUMMYFUNCTION("""COMPUTED_VALUE"""),"Michael Diamond")</f>
        <v>Michael Diamond</v>
      </c>
      <c r="C4" s="7" t="str">
        <f>IFERROR(__xludf.DUMMYFUNCTION("""COMPUTED_VALUE"""),"Michael Diamond")</f>
        <v>Michael Diamond</v>
      </c>
      <c r="D4" s="7"/>
      <c r="E4" s="7"/>
      <c r="F4" s="7" t="str">
        <f>IFERROR(__xludf.DUMMYFUNCTION("""COMPUTED_VALUE"""),"London, Oxford")</f>
        <v>London, Oxford</v>
      </c>
      <c r="G4" s="7"/>
      <c r="H4" s="7" t="str">
        <f>IFERROR(__xludf.DUMMYFUNCTION("""COMPUTED_VALUE"""),"DJ, Live Act")</f>
        <v>DJ, Live Act</v>
      </c>
      <c r="I4" s="7" t="str">
        <f>IFERROR(__xludf.DUMMYFUNCTION("""COMPUTED_VALUE"""),"Electronic, Jazz")</f>
        <v>Electronic, Jazz</v>
      </c>
      <c r="J4" s="7" t="str">
        <f>IFERROR(__xludf.DUMMYFUNCTION("""COMPUTED_VALUE"""),"diamond.sounduk@gmail.com")</f>
        <v>diamond.sounduk@gmail.com</v>
      </c>
      <c r="K4" s="57" t="str">
        <f>IFERROR(__xludf.DUMMYFUNCTION("""COMPUTED_VALUE"""),"https://www.instagram.com/diamond.sound/")</f>
        <v>https://www.instagram.com/diamond.sound/</v>
      </c>
      <c r="L4" s="57" t="str">
        <f>IFERROR(__xludf.DUMMYFUNCTION("""COMPUTED_VALUE"""),"https://soundcloud.com/michaeldiamonduk")</f>
        <v>https://soundcloud.com/michaeldiamonduk</v>
      </c>
      <c r="M4" s="7"/>
      <c r="N4" s="7"/>
      <c r="O4" s="57" t="str">
        <f>IFERROR(__xludf.DUMMYFUNCTION("""COMPUTED_VALUE"""),"https://linktr.ee/diamond.sound")</f>
        <v>https://linktr.ee/diamond.sound</v>
      </c>
      <c r="P4" s="62">
        <f t="array" ref="P4">MAX(IF($A4=AB_TF!F:F,AB_TF!D:D))</f>
        <v>0</v>
      </c>
      <c r="Q4" s="63" t="str">
        <f t="array" ref="Q4">INDEX(AB_TF!C:C,MATCH(1,(AB_TF!F:F=A4)*(AB_TF!D:D=P4),0))</f>
        <v>#N/A</v>
      </c>
      <c r="R4" s="63">
        <f>COUNTIFS(AB_TF!F:F,"="&amp;A4,AB_TF!E:E,"Small*")</f>
        <v>0</v>
      </c>
      <c r="S4" s="63">
        <f>COUNTIFS(AB_TF!F:F,"="&amp;A4,AB_TF!E:E,"Medium*")</f>
        <v>0</v>
      </c>
      <c r="T4" s="63">
        <f>COUNTIFS(AB_TF!F:F,"="&amp;A4,AB_TF!E:E,"Large*")</f>
        <v>0</v>
      </c>
      <c r="U4" s="64">
        <f t="shared" si="1"/>
        <v>0</v>
      </c>
    </row>
    <row r="5">
      <c r="A5" s="7">
        <f>IFERROR(__xludf.DUMMYFUNCTION("""COMPUTED_VALUE"""),206.0)</f>
        <v>206</v>
      </c>
      <c r="B5" s="7" t="str">
        <f>IFERROR(__xludf.DUMMYFUNCTION("""COMPUTED_VALUE"""),"Sita Shah")</f>
        <v>Sita Shah</v>
      </c>
      <c r="C5" s="7" t="str">
        <f>IFERROR(__xludf.DUMMYFUNCTION("""COMPUTED_VALUE"""),"Sita Shah")</f>
        <v>Sita Shah</v>
      </c>
      <c r="D5" s="7"/>
      <c r="E5" s="7"/>
      <c r="F5" s="7" t="str">
        <f>IFERROR(__xludf.DUMMYFUNCTION("""COMPUTED_VALUE"""),"London")</f>
        <v>London</v>
      </c>
      <c r="G5" s="7"/>
      <c r="H5" s="7" t="str">
        <f>IFERROR(__xludf.DUMMYFUNCTION("""COMPUTED_VALUE"""),"DJ")</f>
        <v>DJ</v>
      </c>
      <c r="I5" s="7" t="str">
        <f>IFERROR(__xludf.DUMMYFUNCTION("""COMPUTED_VALUE"""),"Techno, Hardcore, Breaks, Desi, Bootlegs")</f>
        <v>Techno, Hardcore, Breaks, Desi, Bootlegs</v>
      </c>
      <c r="J5" s="7" t="str">
        <f>IFERROR(__xludf.DUMMYFUNCTION("""COMPUTED_VALUE"""),"sitashahsworld@gmail.com")</f>
        <v>sitashahsworld@gmail.com</v>
      </c>
      <c r="K5" s="57" t="str">
        <f>IFERROR(__xludf.DUMMYFUNCTION("""COMPUTED_VALUE"""),"https://www.instagram.com/shahmbles/")</f>
        <v>https://www.instagram.com/shahmbles/</v>
      </c>
      <c r="L5" s="57" t="str">
        <f>IFERROR(__xludf.DUMMYFUNCTION("""COMPUTED_VALUE"""),"soundcloud.com/sitashahdj")</f>
        <v>soundcloud.com/sitashahdj</v>
      </c>
      <c r="M5" s="7"/>
      <c r="N5" s="7"/>
      <c r="O5" s="57" t="str">
        <f>IFERROR(__xludf.DUMMYFUNCTION("""COMPUTED_VALUE"""),"https://linktr.ee/Sitashah")</f>
        <v>https://linktr.ee/Sitashah</v>
      </c>
      <c r="P5" s="62">
        <f t="array" ref="P5">MAX(IF($A5=AB_TF!F:F,AB_TF!D:D))</f>
        <v>0</v>
      </c>
      <c r="Q5" s="63" t="str">
        <f t="array" ref="Q5">INDEX(AB_TF!C:C,MATCH(1,(AB_TF!F:F=A5)*(AB_TF!D:D=P5),0))</f>
        <v>#N/A</v>
      </c>
      <c r="R5" s="63">
        <f>COUNTIFS(AB_TF!F:F,"="&amp;A5,AB_TF!E:E,"Small*")</f>
        <v>0</v>
      </c>
      <c r="S5" s="63">
        <f>COUNTIFS(AB_TF!F:F,"="&amp;A5,AB_TF!E:E,"Medium*")</f>
        <v>0</v>
      </c>
      <c r="T5" s="63">
        <f>COUNTIFS(AB_TF!F:F,"="&amp;A5,AB_TF!E:E,"Large*")</f>
        <v>0</v>
      </c>
      <c r="U5" s="64">
        <f t="shared" si="1"/>
        <v>0</v>
      </c>
    </row>
    <row r="6">
      <c r="A6" s="7">
        <f>IFERROR(__xludf.DUMMYFUNCTION("""COMPUTED_VALUE"""),207.0)</f>
        <v>207</v>
      </c>
      <c r="B6" s="7" t="str">
        <f>IFERROR(__xludf.DUMMYFUNCTION("""COMPUTED_VALUE"""),"Rainmann")</f>
        <v>Rainmann</v>
      </c>
      <c r="C6" s="7" t="str">
        <f>IFERROR(__xludf.DUMMYFUNCTION("""COMPUTED_VALUE"""),"Ral Daryanani")</f>
        <v>Ral Daryanani</v>
      </c>
      <c r="D6" s="7"/>
      <c r="E6" s="7"/>
      <c r="F6" s="7" t="str">
        <f>IFERROR(__xludf.DUMMYFUNCTION("""COMPUTED_VALUE"""),"London")</f>
        <v>London</v>
      </c>
      <c r="G6" s="7"/>
      <c r="H6" s="7" t="str">
        <f>IFERROR(__xludf.DUMMYFUNCTION("""COMPUTED_VALUE"""),"DJ, Live Act")</f>
        <v>DJ, Live Act</v>
      </c>
      <c r="I6" s="7" t="str">
        <f>IFERROR(__xludf.DUMMYFUNCTION("""COMPUTED_VALUE"""),"Tech House, Rap, Hip Hop, Deep House, House")</f>
        <v>Tech House, Rap, Hip Hop, Deep House, House</v>
      </c>
      <c r="J6" s="7" t="str">
        <f>IFERROR(__xludf.DUMMYFUNCTION("""COMPUTED_VALUE"""),"rainmann@tuta.io")</f>
        <v>rainmann@tuta.io</v>
      </c>
      <c r="K6" s="7"/>
      <c r="L6" s="57" t="str">
        <f>IFERROR(__xludf.DUMMYFUNCTION("""COMPUTED_VALUE"""),"https://soundcloud.com/rainm4nn")</f>
        <v>https://soundcloud.com/rainm4nn</v>
      </c>
      <c r="M6" s="7"/>
      <c r="N6" s="7"/>
      <c r="O6" s="57" t="str">
        <f>IFERROR(__xludf.DUMMYFUNCTION("""COMPUTED_VALUE"""),"https://linktr.ee/rainmann")</f>
        <v>https://linktr.ee/rainmann</v>
      </c>
      <c r="P6" s="62">
        <f t="array" ref="P6">MAX(IF($A6=AB_TF!F:F,AB_TF!D:D))</f>
        <v>0</v>
      </c>
      <c r="Q6" s="63" t="str">
        <f t="array" ref="Q6">INDEX(AB_TF!C:C,MATCH(1,(AB_TF!F:F=A6)*(AB_TF!D:D=P6),0))</f>
        <v>#N/A</v>
      </c>
      <c r="R6" s="63">
        <f>COUNTIFS(AB_TF!F:F,"="&amp;A6,AB_TF!E:E,"Small*")</f>
        <v>0</v>
      </c>
      <c r="S6" s="63">
        <f>COUNTIFS(AB_TF!F:F,"="&amp;A6,AB_TF!E:E,"Medium*")</f>
        <v>0</v>
      </c>
      <c r="T6" s="63">
        <f>COUNTIFS(AB_TF!F:F,"="&amp;A6,AB_TF!E:E,"Large*")</f>
        <v>0</v>
      </c>
      <c r="U6" s="64">
        <f t="shared" si="1"/>
        <v>0</v>
      </c>
    </row>
    <row r="7">
      <c r="A7" s="7">
        <f>IFERROR(__xludf.DUMMYFUNCTION("""COMPUTED_VALUE"""),208.0)</f>
        <v>208</v>
      </c>
      <c r="B7" s="7" t="str">
        <f>IFERROR(__xludf.DUMMYFUNCTION("""COMPUTED_VALUE"""),"Somatic")</f>
        <v>Somatic</v>
      </c>
      <c r="C7" s="7" t="str">
        <f>IFERROR(__xludf.DUMMYFUNCTION("""COMPUTED_VALUE"""),"Somin Griffin-Dave")</f>
        <v>Somin Griffin-Dave</v>
      </c>
      <c r="D7" s="7"/>
      <c r="E7" s="7"/>
      <c r="F7" s="7" t="str">
        <f>IFERROR(__xludf.DUMMYFUNCTION("""COMPUTED_VALUE"""),"Bristol")</f>
        <v>Bristol</v>
      </c>
      <c r="G7" s="7"/>
      <c r="H7" s="7" t="str">
        <f>IFERROR(__xludf.DUMMYFUNCTION("""COMPUTED_VALUE"""),"DJ")</f>
        <v>DJ</v>
      </c>
      <c r="I7" s="7" t="str">
        <f>IFERROR(__xludf.DUMMYFUNCTION("""COMPUTED_VALUE"""),"DnB, Jungle, Breakbeat, Garage, IDM, Experimental, Various other 4x4 genres, (Classic) Afrobeat, a touch of bossa and various other things")</f>
        <v>DnB, Jungle, Breakbeat, Garage, IDM, Experimental, Various other 4x4 genres, (Classic) Afrobeat, a touch of bossa and various other things</v>
      </c>
      <c r="J7" s="7" t="str">
        <f>IFERROR(__xludf.DUMMYFUNCTION("""COMPUTED_VALUE"""),"somin.somatic@gmail.com")</f>
        <v>somin.somatic@gmail.com</v>
      </c>
      <c r="K7" s="57" t="str">
        <f>IFERROR(__xludf.DUMMYFUNCTION("""COMPUTED_VALUE"""),"https://www.instagram.com/somin.somatic/")</f>
        <v>https://www.instagram.com/somin.somatic/</v>
      </c>
      <c r="L7" s="57" t="str">
        <f>IFERROR(__xludf.DUMMYFUNCTION("""COMPUTED_VALUE"""),"https://soundcloud.com/somingriffin-dave")</f>
        <v>https://soundcloud.com/somingriffin-dave</v>
      </c>
      <c r="M7" s="7"/>
      <c r="N7" s="7"/>
      <c r="O7" s="57" t="str">
        <f>IFERROR(__xludf.DUMMYFUNCTION("""COMPUTED_VALUE"""),"https://linktr.ee/somin_somatic")</f>
        <v>https://linktr.ee/somin_somatic</v>
      </c>
      <c r="P7" s="62">
        <f t="array" ref="P7">MAX(IF($A7=AB_TF!F:F,AB_TF!D:D))</f>
        <v>0</v>
      </c>
      <c r="Q7" s="63" t="str">
        <f t="array" ref="Q7">INDEX(AB_TF!C:C,MATCH(1,(AB_TF!F:F=A7)*(AB_TF!D:D=P7),0))</f>
        <v>#N/A</v>
      </c>
      <c r="R7" s="63">
        <f>COUNTIFS(AB_TF!F:F,"="&amp;A7,AB_TF!E:E,"Small*")</f>
        <v>0</v>
      </c>
      <c r="S7" s="63">
        <f>COUNTIFS(AB_TF!F:F,"="&amp;A7,AB_TF!E:E,"Medium*")</f>
        <v>0</v>
      </c>
      <c r="T7" s="63">
        <f>COUNTIFS(AB_TF!F:F,"="&amp;A7,AB_TF!E:E,"Large*")</f>
        <v>0</v>
      </c>
      <c r="U7" s="64">
        <f t="shared" si="1"/>
        <v>0</v>
      </c>
    </row>
    <row r="8">
      <c r="A8" s="7">
        <f>IFERROR(__xludf.DUMMYFUNCTION("""COMPUTED_VALUE"""),209.0)</f>
        <v>209</v>
      </c>
      <c r="B8" s="7" t="str">
        <f>IFERROR(__xludf.DUMMYFUNCTION("""COMPUTED_VALUE"""),"Freshta")</f>
        <v>Freshta</v>
      </c>
      <c r="C8" s="7" t="str">
        <f>IFERROR(__xludf.DUMMYFUNCTION("""COMPUTED_VALUE"""),"Freshta Ebrahim")</f>
        <v>Freshta Ebrahim</v>
      </c>
      <c r="D8" s="7"/>
      <c r="E8" s="7"/>
      <c r="F8" s="7" t="str">
        <f>IFERROR(__xludf.DUMMYFUNCTION("""COMPUTED_VALUE"""),"London")</f>
        <v>London</v>
      </c>
      <c r="G8" s="7"/>
      <c r="H8" s="7" t="str">
        <f>IFERROR(__xludf.DUMMYFUNCTION("""COMPUTED_VALUE"""),"DJ")</f>
        <v>DJ</v>
      </c>
      <c r="I8" s="7" t="str">
        <f>IFERROR(__xludf.DUMMYFUNCTION("""COMPUTED_VALUE"""),"Grime, Dubstep, Leftfield Bass, Breaks, Hard Drum")</f>
        <v>Grime, Dubstep, Leftfield Bass, Breaks, Hard Drum</v>
      </c>
      <c r="J8" s="7" t="str">
        <f>IFERROR(__xludf.DUMMYFUNCTION("""COMPUTED_VALUE"""),"freshtainfo@gmail.com")</f>
        <v>freshtainfo@gmail.com</v>
      </c>
      <c r="K8" s="57" t="str">
        <f>IFERROR(__xludf.DUMMYFUNCTION("""COMPUTED_VALUE"""),"https://www.instagram.com/_freshta/")</f>
        <v>https://www.instagram.com/_freshta/</v>
      </c>
      <c r="L8" s="57" t="str">
        <f>IFERROR(__xludf.DUMMYFUNCTION("""COMPUTED_VALUE"""),"https://soundcloud.com/freshtadj")</f>
        <v>https://soundcloud.com/freshtadj</v>
      </c>
      <c r="M8" s="7"/>
      <c r="N8" s="7"/>
      <c r="O8" s="57" t="str">
        <f>IFERROR(__xludf.DUMMYFUNCTION("""COMPUTED_VALUE"""),"http://linktr.ee/_freshta")</f>
        <v>http://linktr.ee/_freshta</v>
      </c>
      <c r="P8" s="62">
        <f t="array" ref="P8">MAX(IF($A8=AB_TF!F:F,AB_TF!D:D))</f>
        <v>0</v>
      </c>
      <c r="Q8" s="63" t="str">
        <f t="array" ref="Q8">INDEX(AB_TF!C:C,MATCH(1,(AB_TF!F:F=A8)*(AB_TF!D:D=P8),0))</f>
        <v>#N/A</v>
      </c>
      <c r="R8" s="63">
        <f>COUNTIFS(AB_TF!F:F,"="&amp;A8,AB_TF!E:E,"Small*")</f>
        <v>0</v>
      </c>
      <c r="S8" s="63">
        <f>COUNTIFS(AB_TF!F:F,"="&amp;A8,AB_TF!E:E,"Medium*")</f>
        <v>0</v>
      </c>
      <c r="T8" s="63">
        <f>COUNTIFS(AB_TF!F:F,"="&amp;A8,AB_TF!E:E,"Large*")</f>
        <v>0</v>
      </c>
      <c r="U8" s="64">
        <f t="shared" si="1"/>
        <v>0</v>
      </c>
    </row>
    <row r="9">
      <c r="A9" s="7">
        <f>IFERROR(__xludf.DUMMYFUNCTION("""COMPUTED_VALUE"""),210.0)</f>
        <v>210</v>
      </c>
      <c r="B9" s="7" t="str">
        <f>IFERROR(__xludf.DUMMYFUNCTION("""COMPUTED_VALUE"""),"GoldTooth")</f>
        <v>GoldTooth</v>
      </c>
      <c r="C9" s="7" t="str">
        <f>IFERROR(__xludf.DUMMYFUNCTION("""COMPUTED_VALUE"""),"Jaedan Gowthaman")</f>
        <v>Jaedan Gowthaman</v>
      </c>
      <c r="D9" s="7"/>
      <c r="E9" s="7"/>
      <c r="F9" s="7" t="str">
        <f>IFERROR(__xludf.DUMMYFUNCTION("""COMPUTED_VALUE"""),"London")</f>
        <v>London</v>
      </c>
      <c r="G9" s="7"/>
      <c r="H9" s="7" t="str">
        <f>IFERROR(__xludf.DUMMYFUNCTION("""COMPUTED_VALUE"""),"DJ")</f>
        <v>DJ</v>
      </c>
      <c r="I9" s="7" t="str">
        <f>IFERROR(__xludf.DUMMYFUNCTION("""COMPUTED_VALUE"""),"""Grime, Dubstep, UK Funky, Garage, Drill, SA House, afrohouse, kuduro. Also specialise in vinyl sets.")</f>
        <v>"Grime, Dubstep, UK Funky, Garage, Drill, SA House, afrohouse, kuduro. Also specialise in vinyl sets.</v>
      </c>
      <c r="J9" s="7" t="str">
        <f>IFERROR(__xludf.DUMMYFUNCTION("""COMPUTED_VALUE"""),"dj@goldtooth.uk")</f>
        <v>dj@goldtooth.uk</v>
      </c>
      <c r="K9" s="57" t="str">
        <f>IFERROR(__xludf.DUMMYFUNCTION("""COMPUTED_VALUE"""),"https://www.instagram.com/_goldtooth_/")</f>
        <v>https://www.instagram.com/_goldtooth_/</v>
      </c>
      <c r="L9" s="57" t="str">
        <f>IFERROR(__xludf.DUMMYFUNCTION("""COMPUTED_VALUE"""),"http://soundcloud.com/goldtooth_dj")</f>
        <v>http://soundcloud.com/goldtooth_dj</v>
      </c>
      <c r="M9" s="7"/>
      <c r="N9" s="7"/>
      <c r="O9" s="57" t="str">
        <f>IFERROR(__xludf.DUMMYFUNCTION("""COMPUTED_VALUE"""),"https://linktr.ee/DJGoldTooth")</f>
        <v>https://linktr.ee/DJGoldTooth</v>
      </c>
      <c r="P9" s="62">
        <f t="array" ref="P9">MAX(IF($A9=AB_TF!F:F,AB_TF!D:D))</f>
        <v>0</v>
      </c>
      <c r="Q9" s="63" t="str">
        <f t="array" ref="Q9">INDEX(AB_TF!C:C,MATCH(1,(AB_TF!F:F=A9)*(AB_TF!D:D=P9),0))</f>
        <v>#N/A</v>
      </c>
      <c r="R9" s="63">
        <f>COUNTIFS(AB_TF!F:F,"="&amp;A9,AB_TF!E:E,"Small*")</f>
        <v>0</v>
      </c>
      <c r="S9" s="63">
        <f>COUNTIFS(AB_TF!F:F,"="&amp;A9,AB_TF!E:E,"Medium*")</f>
        <v>0</v>
      </c>
      <c r="T9" s="63">
        <f>COUNTIFS(AB_TF!F:F,"="&amp;A9,AB_TF!E:E,"Large*")</f>
        <v>0</v>
      </c>
      <c r="U9" s="64">
        <f t="shared" si="1"/>
        <v>0</v>
      </c>
    </row>
    <row r="10">
      <c r="A10" s="7">
        <f>IFERROR(__xludf.DUMMYFUNCTION("""COMPUTED_VALUE"""),211.0)</f>
        <v>211</v>
      </c>
      <c r="B10" s="7" t="str">
        <f>IFERROR(__xludf.DUMMYFUNCTION("""COMPUTED_VALUE"""),"Temujin")</f>
        <v>Temujin</v>
      </c>
      <c r="C10" s="7" t="str">
        <f>IFERROR(__xludf.DUMMYFUNCTION("""COMPUTED_VALUE"""),"Roop")</f>
        <v>Roop</v>
      </c>
      <c r="D10" s="7"/>
      <c r="E10" s="7"/>
      <c r="F10" s="7" t="str">
        <f>IFERROR(__xludf.DUMMYFUNCTION("""COMPUTED_VALUE"""),"London")</f>
        <v>London</v>
      </c>
      <c r="G10" s="7"/>
      <c r="H10" s="7" t="str">
        <f>IFERROR(__xludf.DUMMYFUNCTION("""COMPUTED_VALUE"""),"DJ")</f>
        <v>DJ</v>
      </c>
      <c r="I10" s="7" t="str">
        <f>IFERROR(__xludf.DUMMYFUNCTION("""COMPUTED_VALUE"""),"UK underground dance - Bass, Techno, Breaks, Garage, Jungle, Dubstep, Grime (heavy on the percs and dub)")</f>
        <v>UK underground dance - Bass, Techno, Breaks, Garage, Jungle, Dubstep, Grime (heavy on the percs and dub)</v>
      </c>
      <c r="J10" s="7" t="str">
        <f>IFERROR(__xludf.DUMMYFUNCTION("""COMPUTED_VALUE"""),"temujin.ldn@gmail.com ")</f>
        <v>temujin.ldn@gmail.com </v>
      </c>
      <c r="K10" s="57" t="str">
        <f>IFERROR(__xludf.DUMMYFUNCTION("""COMPUTED_VALUE"""),"https://www.instagram.com/temujin_ldn/")</f>
        <v>https://www.instagram.com/temujin_ldn/</v>
      </c>
      <c r="L10" s="57" t="str">
        <f>IFERROR(__xludf.DUMMYFUNCTION("""COMPUTED_VALUE"""),"http://soundcloud.com/temujin-ldn")</f>
        <v>http://soundcloud.com/temujin-ldn</v>
      </c>
      <c r="M10" s="7"/>
      <c r="N10" s="7"/>
      <c r="O10" s="57" t="str">
        <f>IFERROR(__xludf.DUMMYFUNCTION("""COMPUTED_VALUE"""),"https://www.flowcode.com/page/temujin.ldn")</f>
        <v>https://www.flowcode.com/page/temujin.ldn</v>
      </c>
      <c r="P10" s="62">
        <f t="array" ref="P10">MAX(IF($A10=AB_TF!F:F,AB_TF!D:D))</f>
        <v>0</v>
      </c>
      <c r="Q10" s="63" t="str">
        <f t="array" ref="Q10">INDEX(AB_TF!C:C,MATCH(1,(AB_TF!F:F=A10)*(AB_TF!D:D=P10),0))</f>
        <v>#N/A</v>
      </c>
      <c r="R10" s="63">
        <f>COUNTIFS(AB_TF!F:F,"="&amp;A10,AB_TF!E:E,"Small*")</f>
        <v>0</v>
      </c>
      <c r="S10" s="63">
        <f>COUNTIFS(AB_TF!F:F,"="&amp;A10,AB_TF!E:E,"Medium*")</f>
        <v>0</v>
      </c>
      <c r="T10" s="63">
        <f>COUNTIFS(AB_TF!F:F,"="&amp;A10,AB_TF!E:E,"Large*")</f>
        <v>0</v>
      </c>
      <c r="U10" s="64">
        <f t="shared" si="1"/>
        <v>0</v>
      </c>
    </row>
    <row r="11">
      <c r="A11" s="7">
        <f>IFERROR(__xludf.DUMMYFUNCTION("""COMPUTED_VALUE"""),212.0)</f>
        <v>212</v>
      </c>
      <c r="B11" s="7" t="str">
        <f>IFERROR(__xludf.DUMMYFUNCTION("""COMPUTED_VALUE"""),"Saachi")</f>
        <v>Saachi</v>
      </c>
      <c r="C11" s="7" t="str">
        <f>IFERROR(__xludf.DUMMYFUNCTION("""COMPUTED_VALUE"""),"Saachi")</f>
        <v>Saachi</v>
      </c>
      <c r="D11" s="7"/>
      <c r="E11" s="7"/>
      <c r="F11" s="7" t="str">
        <f>IFERROR(__xludf.DUMMYFUNCTION("""COMPUTED_VALUE"""),"London")</f>
        <v>London</v>
      </c>
      <c r="G11" s="7"/>
      <c r="H11" s="7" t="str">
        <f>IFERROR(__xludf.DUMMYFUNCTION("""COMPUTED_VALUE"""),"DJ")</f>
        <v>DJ</v>
      </c>
      <c r="I11" s="7" t="str">
        <f>IFERROR(__xludf.DUMMYFUNCTION("""COMPUTED_VALUE"""),"House (sometimes electro &amp; Ghettotech)")</f>
        <v>House (sometimes electro &amp; Ghettotech)</v>
      </c>
      <c r="J11" s="7" t="str">
        <f>IFERROR(__xludf.DUMMYFUNCTION("""COMPUTED_VALUE"""),"djsaachi@hotmail.com")</f>
        <v>djsaachi@hotmail.com</v>
      </c>
      <c r="K11" s="57" t="str">
        <f>IFERROR(__xludf.DUMMYFUNCTION("""COMPUTED_VALUE"""),"https://www.instagram.com/saachi_versaachi/")</f>
        <v>https://www.instagram.com/saachi_versaachi/</v>
      </c>
      <c r="L11" s="57" t="str">
        <f>IFERROR(__xludf.DUMMYFUNCTION("""COMPUTED_VALUE"""),"https://soundcloud.com/saachi-bains")</f>
        <v>https://soundcloud.com/saachi-bains</v>
      </c>
      <c r="M11" s="7"/>
      <c r="N11" s="7"/>
      <c r="O11" s="57" t="str">
        <f>IFERROR(__xludf.DUMMYFUNCTION("""COMPUTED_VALUE"""),"https://lnk.bio/Saachi")</f>
        <v>https://lnk.bio/Saachi</v>
      </c>
      <c r="P11" s="62">
        <f t="array" ref="P11">MAX(IF($A11=AB_TF!F:F,AB_TF!D:D))</f>
        <v>0</v>
      </c>
      <c r="Q11" s="63" t="str">
        <f t="array" ref="Q11">INDEX(AB_TF!C:C,MATCH(1,(AB_TF!F:F=A11)*(AB_TF!D:D=P11),0))</f>
        <v>#N/A</v>
      </c>
      <c r="R11" s="63">
        <f>COUNTIFS(AB_TF!F:F,"="&amp;A11,AB_TF!E:E,"Small*")</f>
        <v>0</v>
      </c>
      <c r="S11" s="63">
        <f>COUNTIFS(AB_TF!F:F,"="&amp;A11,AB_TF!E:E,"Medium*")</f>
        <v>0</v>
      </c>
      <c r="T11" s="63">
        <f>COUNTIFS(AB_TF!F:F,"="&amp;A11,AB_TF!E:E,"Large*")</f>
        <v>0</v>
      </c>
      <c r="U11" s="64">
        <f t="shared" si="1"/>
        <v>0</v>
      </c>
    </row>
    <row r="12">
      <c r="A12" s="7">
        <f>IFERROR(__xludf.DUMMYFUNCTION("""COMPUTED_VALUE"""),213.0)</f>
        <v>213</v>
      </c>
      <c r="B12" s="7" t="str">
        <f>IFERROR(__xludf.DUMMYFUNCTION("""COMPUTED_VALUE"""),"Kishan")</f>
        <v>Kishan</v>
      </c>
      <c r="C12" s="7" t="str">
        <f>IFERROR(__xludf.DUMMYFUNCTION("""COMPUTED_VALUE"""),"Kishan Thakrar")</f>
        <v>Kishan Thakrar</v>
      </c>
      <c r="D12" s="7"/>
      <c r="E12" s="7"/>
      <c r="F12" s="7" t="str">
        <f>IFERROR(__xludf.DUMMYFUNCTION("""COMPUTED_VALUE"""),"London")</f>
        <v>London</v>
      </c>
      <c r="G12" s="7"/>
      <c r="H12" s="7" t="str">
        <f>IFERROR(__xludf.DUMMYFUNCTION("""COMPUTED_VALUE"""),"DJ")</f>
        <v>DJ</v>
      </c>
      <c r="I12" s="7" t="str">
        <f>IFERROR(__xludf.DUMMYFUNCTION("""COMPUTED_VALUE"""),"UKG, House, Hip Hop/Afrobeat, 140, Jungle, DnB etc")</f>
        <v>UKG, House, Hip Hop/Afrobeat, 140, Jungle, DnB etc</v>
      </c>
      <c r="J12" s="7" t="str">
        <f>IFERROR(__xludf.DUMMYFUNCTION("""COMPUTED_VALUE"""),"music@kishan.co.uk")</f>
        <v>music@kishan.co.uk</v>
      </c>
      <c r="K12" s="57" t="str">
        <f>IFERROR(__xludf.DUMMYFUNCTION("""COMPUTED_VALUE"""),"https://www.instagram.com/kishanthakrar/")</f>
        <v>https://www.instagram.com/kishanthakrar/</v>
      </c>
      <c r="L12" s="57" t="str">
        <f>IFERROR(__xludf.DUMMYFUNCTION("""COMPUTED_VALUE"""),"https://soundcloud.com/kishanthakrar")</f>
        <v>https://soundcloud.com/kishanthakrar</v>
      </c>
      <c r="M12" s="7"/>
      <c r="N12" s="7"/>
      <c r="O12" s="57" t="str">
        <f>IFERROR(__xludf.DUMMYFUNCTION("""COMPUTED_VALUE"""),"https://www.liinks.co/kishan")</f>
        <v>https://www.liinks.co/kishan</v>
      </c>
      <c r="P12" s="62">
        <f t="array" ref="P12">MAX(IF($A12=AB_TF!F:F,AB_TF!D:D))</f>
        <v>0</v>
      </c>
      <c r="Q12" s="63" t="str">
        <f t="array" ref="Q12">INDEX(AB_TF!C:C,MATCH(1,(AB_TF!F:F=A12)*(AB_TF!D:D=P12),0))</f>
        <v>#N/A</v>
      </c>
      <c r="R12" s="63">
        <f>COUNTIFS(AB_TF!F:F,"="&amp;A12,AB_TF!E:E,"Small*")</f>
        <v>0</v>
      </c>
      <c r="S12" s="63">
        <f>COUNTIFS(AB_TF!F:F,"="&amp;A12,AB_TF!E:E,"Medium*")</f>
        <v>0</v>
      </c>
      <c r="T12" s="63">
        <f>COUNTIFS(AB_TF!F:F,"="&amp;A12,AB_TF!E:E,"Large*")</f>
        <v>0</v>
      </c>
      <c r="U12" s="64">
        <f t="shared" si="1"/>
        <v>0</v>
      </c>
    </row>
    <row r="13">
      <c r="A13" s="7">
        <f>IFERROR(__xludf.DUMMYFUNCTION("""COMPUTED_VALUE"""),214.0)</f>
        <v>214</v>
      </c>
      <c r="B13" s="7" t="str">
        <f>IFERROR(__xludf.DUMMYFUNCTION("""COMPUTED_VALUE"""),"DJ PRIYA")</f>
        <v>DJ PRIYA</v>
      </c>
      <c r="C13" s="7" t="str">
        <f>IFERROR(__xludf.DUMMYFUNCTION("""COMPUTED_VALUE"""),"Priya Majhail")</f>
        <v>Priya Majhail</v>
      </c>
      <c r="D13" s="7"/>
      <c r="E13" s="7"/>
      <c r="F13" s="7" t="str">
        <f>IFERROR(__xludf.DUMMYFUNCTION("""COMPUTED_VALUE"""),"London, Brighton")</f>
        <v>London, Brighton</v>
      </c>
      <c r="G13" s="7"/>
      <c r="H13" s="7" t="str">
        <f>IFERROR(__xludf.DUMMYFUNCTION("""COMPUTED_VALUE"""),"DJ")</f>
        <v>DJ</v>
      </c>
      <c r="I13" s="7" t="str">
        <f>IFERROR(__xludf.DUMMYFUNCTION("""COMPUTED_VALUE"""),"Reggaeton, Bashment, Dancehall, Funky")</f>
        <v>Reggaeton, Bashment, Dancehall, Funky</v>
      </c>
      <c r="J13" s="7" t="str">
        <f>IFERROR(__xludf.DUMMYFUNCTION("""COMPUTED_VALUE"""),"majpri95@gmail.com")</f>
        <v>majpri95@gmail.com</v>
      </c>
      <c r="K13" s="57" t="str">
        <f>IFERROR(__xludf.DUMMYFUNCTION("""COMPUTED_VALUE"""),"https://www.instagram.com/deejaypri/")</f>
        <v>https://www.instagram.com/deejaypri/</v>
      </c>
      <c r="L13" s="57" t="str">
        <f>IFERROR(__xludf.DUMMYFUNCTION("""COMPUTED_VALUE"""),"https://soundcloud.com/deejaypriya")</f>
        <v>https://soundcloud.com/deejaypriya</v>
      </c>
      <c r="M13" s="7"/>
      <c r="N13" s="7"/>
      <c r="O13" s="57" t="str">
        <f>IFERROR(__xludf.DUMMYFUNCTION("""COMPUTED_VALUE"""),"https://linktr.ee/Deejaypri")</f>
        <v>https://linktr.ee/Deejaypri</v>
      </c>
      <c r="P13" s="62">
        <f t="array" ref="P13">MAX(IF($A13=AB_TF!F:F,AB_TF!D:D))</f>
        <v>0</v>
      </c>
      <c r="Q13" s="63" t="str">
        <f t="array" ref="Q13">INDEX(AB_TF!C:C,MATCH(1,(AB_TF!F:F=A13)*(AB_TF!D:D=P13),0))</f>
        <v>#N/A</v>
      </c>
      <c r="R13" s="63">
        <f>COUNTIFS(AB_TF!F:F,"="&amp;A13,AB_TF!E:E,"Small*")</f>
        <v>0</v>
      </c>
      <c r="S13" s="63">
        <f>COUNTIFS(AB_TF!F:F,"="&amp;A13,AB_TF!E:E,"Medium*")</f>
        <v>0</v>
      </c>
      <c r="T13" s="63">
        <f>COUNTIFS(AB_TF!F:F,"="&amp;A13,AB_TF!E:E,"Large*")</f>
        <v>0</v>
      </c>
      <c r="U13" s="64">
        <f t="shared" si="1"/>
        <v>0</v>
      </c>
    </row>
    <row r="14">
      <c r="A14" s="7">
        <f>IFERROR(__xludf.DUMMYFUNCTION("""COMPUTED_VALUE"""),215.0)</f>
        <v>215</v>
      </c>
      <c r="B14" s="7" t="str">
        <f>IFERROR(__xludf.DUMMYFUNCTION("""COMPUTED_VALUE"""),"Qwirk")</f>
        <v>Qwirk</v>
      </c>
      <c r="C14" s="7" t="str">
        <f>IFERROR(__xludf.DUMMYFUNCTION("""COMPUTED_VALUE"""),"Simaran Patel")</f>
        <v>Simaran Patel</v>
      </c>
      <c r="D14" s="7"/>
      <c r="E14" s="7"/>
      <c r="F14" s="7" t="str">
        <f>IFERROR(__xludf.DUMMYFUNCTION("""COMPUTED_VALUE"""),"Manchester")</f>
        <v>Manchester</v>
      </c>
      <c r="G14" s="7"/>
      <c r="H14" s="7" t="str">
        <f>IFERROR(__xludf.DUMMYFUNCTION("""COMPUTED_VALUE"""),"DJ")</f>
        <v>DJ</v>
      </c>
      <c r="I14" s="7" t="str">
        <f>IFERROR(__xludf.DUMMYFUNCTION("""COMPUTED_VALUE"""),"Dubstep, Grime, Garage, Breakbeat, DnB, Footwork, Trap, Jungle")</f>
        <v>Dubstep, Grime, Garage, Breakbeat, DnB, Footwork, Trap, Jungle</v>
      </c>
      <c r="J14" s="7" t="str">
        <f>IFERROR(__xludf.DUMMYFUNCTION("""COMPUTED_VALUE"""),"qwirkdubstep@gmail.com")</f>
        <v>qwirkdubstep@gmail.com</v>
      </c>
      <c r="K14" s="57" t="str">
        <f>IFERROR(__xludf.DUMMYFUNCTION("""COMPUTED_VALUE"""),"https://www.instagram.com/qwirkbass/")</f>
        <v>https://www.instagram.com/qwirkbass/</v>
      </c>
      <c r="L14" s="57" t="str">
        <f>IFERROR(__xludf.DUMMYFUNCTION("""COMPUTED_VALUE"""),"https://soundcloud.com/qwirkk")</f>
        <v>https://soundcloud.com/qwirkk</v>
      </c>
      <c r="M14" s="57" t="str">
        <f>IFERROR(__xludf.DUMMYFUNCTION("""COMPUTED_VALUE"""),"https://www.tiktok.com/@qwirkbass")</f>
        <v>https://www.tiktok.com/@qwirkbass</v>
      </c>
      <c r="N14" s="7"/>
      <c r="O14" s="57" t="str">
        <f>IFERROR(__xludf.DUMMYFUNCTION("""COMPUTED_VALUE"""),"linktr.ee/qwirk")</f>
        <v>linktr.ee/qwirk</v>
      </c>
      <c r="P14" s="62">
        <f t="array" ref="P14">MAX(IF($A14=AB_TF!F:F,AB_TF!D:D))</f>
        <v>0</v>
      </c>
      <c r="Q14" s="63" t="str">
        <f t="array" ref="Q14">INDEX(AB_TF!C:C,MATCH(1,(AB_TF!F:F=A14)*(AB_TF!D:D=P14),0))</f>
        <v>#N/A</v>
      </c>
      <c r="R14" s="63">
        <f>COUNTIFS(AB_TF!F:F,"="&amp;A14,AB_TF!E:E,"Small*")</f>
        <v>0</v>
      </c>
      <c r="S14" s="63">
        <f>COUNTIFS(AB_TF!F:F,"="&amp;A14,AB_TF!E:E,"Medium*")</f>
        <v>0</v>
      </c>
      <c r="T14" s="63">
        <f>COUNTIFS(AB_TF!F:F,"="&amp;A14,AB_TF!E:E,"Large*")</f>
        <v>0</v>
      </c>
      <c r="U14" s="64">
        <f t="shared" si="1"/>
        <v>0</v>
      </c>
    </row>
    <row r="15">
      <c r="A15" s="7">
        <f>IFERROR(__xludf.DUMMYFUNCTION("""COMPUTED_VALUE"""),216.0)</f>
        <v>216</v>
      </c>
      <c r="B15" s="7" t="str">
        <f>IFERROR(__xludf.DUMMYFUNCTION("""COMPUTED_VALUE"""),"Rohan Rakhit")</f>
        <v>Rohan Rakhit</v>
      </c>
      <c r="C15" s="7" t="str">
        <f>IFERROR(__xludf.DUMMYFUNCTION("""COMPUTED_VALUE"""),"Rohan Rakhit")</f>
        <v>Rohan Rakhit</v>
      </c>
      <c r="D15" s="7"/>
      <c r="E15" s="7"/>
      <c r="F15" s="7" t="str">
        <f>IFERROR(__xludf.DUMMYFUNCTION("""COMPUTED_VALUE"""),"London")</f>
        <v>London</v>
      </c>
      <c r="G15" s="7"/>
      <c r="H15" s="7" t="str">
        <f>IFERROR(__xludf.DUMMYFUNCTION("""COMPUTED_VALUE"""),"DJ")</f>
        <v>DJ</v>
      </c>
      <c r="I15" s="7" t="str">
        <f>IFERROR(__xludf.DUMMYFUNCTION("""COMPUTED_VALUE"""),"Multi-genre")</f>
        <v>Multi-genre</v>
      </c>
      <c r="J15" s="7" t="str">
        <f>IFERROR(__xludf.DUMMYFUNCTION("""COMPUTED_VALUE"""),"rohan@daytimers.org")</f>
        <v>rohan@daytimers.org</v>
      </c>
      <c r="K15" s="57" t="str">
        <f>IFERROR(__xludf.DUMMYFUNCTION("""COMPUTED_VALUE"""),"https://www.instagram.com/rohan_rakhit/")</f>
        <v>https://www.instagram.com/rohan_rakhit/</v>
      </c>
      <c r="L15" s="57" t="str">
        <f>IFERROR(__xludf.DUMMYFUNCTION("""COMPUTED_VALUE"""),"https://soundcloud.com/rohan_rakhit")</f>
        <v>https://soundcloud.com/rohan_rakhit</v>
      </c>
      <c r="M15" s="7"/>
      <c r="N15" s="7"/>
      <c r="O15" s="57" t="str">
        <f>IFERROR(__xludf.DUMMYFUNCTION("""COMPUTED_VALUE"""),"https://linktr.ee/rohan.rakhit")</f>
        <v>https://linktr.ee/rohan.rakhit</v>
      </c>
      <c r="P15" s="62">
        <f t="array" ref="P15">MAX(IF($A15=AB_TF!F:F,AB_TF!D:D))</f>
        <v>0</v>
      </c>
      <c r="Q15" s="63" t="str">
        <f t="array" ref="Q15">INDEX(AB_TF!C:C,MATCH(1,(AB_TF!F:F=A15)*(AB_TF!D:D=P15),0))</f>
        <v>#N/A</v>
      </c>
      <c r="R15" s="63">
        <f>COUNTIFS(AB_TF!F:F,"="&amp;A15,AB_TF!E:E,"Small*")</f>
        <v>0</v>
      </c>
      <c r="S15" s="63">
        <f>COUNTIFS(AB_TF!F:F,"="&amp;A15,AB_TF!E:E,"Medium*")</f>
        <v>0</v>
      </c>
      <c r="T15" s="63">
        <f>COUNTIFS(AB_TF!F:F,"="&amp;A15,AB_TF!E:E,"Large*")</f>
        <v>0</v>
      </c>
      <c r="U15" s="64">
        <f t="shared" si="1"/>
        <v>0</v>
      </c>
    </row>
    <row r="16">
      <c r="A16" s="7">
        <f>IFERROR(__xludf.DUMMYFUNCTION("""COMPUTED_VALUE"""),217.0)</f>
        <v>217</v>
      </c>
      <c r="B16" s="7" t="str">
        <f>IFERROR(__xludf.DUMMYFUNCTION("""COMPUTED_VALUE"""),"Jaskkkkkkk")</f>
        <v>Jaskkkkkkk</v>
      </c>
      <c r="C16" s="7" t="str">
        <f>IFERROR(__xludf.DUMMYFUNCTION("""COMPUTED_VALUE"""),"Jaskaran Notta")</f>
        <v>Jaskaran Notta</v>
      </c>
      <c r="D16" s="7"/>
      <c r="E16" s="7"/>
      <c r="F16" s="7" t="str">
        <f>IFERROR(__xludf.DUMMYFUNCTION("""COMPUTED_VALUE"""),"Birmingham")</f>
        <v>Birmingham</v>
      </c>
      <c r="G16" s="7"/>
      <c r="H16" s="7" t="str">
        <f>IFERROR(__xludf.DUMMYFUNCTION("""COMPUTED_VALUE"""),"DJ")</f>
        <v>DJ</v>
      </c>
      <c r="I16" s="7" t="str">
        <f>IFERROR(__xludf.DUMMYFUNCTION("""COMPUTED_VALUE"""),"Electro, Ghetto, Italo, breakbeat, chugg (sometimes garage, disco)")</f>
        <v>Electro, Ghetto, Italo, breakbeat, chugg (sometimes garage, disco)</v>
      </c>
      <c r="J16" s="7" t="str">
        <f>IFERROR(__xludf.DUMMYFUNCTION("""COMPUTED_VALUE"""),"jaskaran.notta97@gmail.com")</f>
        <v>jaskaran.notta97@gmail.com</v>
      </c>
      <c r="K16" s="57" t="str">
        <f>IFERROR(__xludf.DUMMYFUNCTION("""COMPUTED_VALUE"""),"https://www.instagram.com/_jaskkkkkkk/")</f>
        <v>https://www.instagram.com/_jaskkkkkkk/</v>
      </c>
      <c r="L16" s="57" t="str">
        <f>IFERROR(__xludf.DUMMYFUNCTION("""COMPUTED_VALUE"""),"https://soundcloud.com/jaskkkkkkk?ref=clipboard&amp;p=i&amp;c=1&amp;utm_source=clipboard&amp;utm_medium=text&amp;utm_campaign=social_sharing")</f>
        <v>https://soundcloud.com/jaskkkkkkk?ref=clipboard&amp;p=i&amp;c=1&amp;utm_source=clipboard&amp;utm_medium=text&amp;utm_campaign=social_sharing</v>
      </c>
      <c r="M16" s="7"/>
      <c r="N16" s="7"/>
      <c r="O16" s="57" t="str">
        <f>IFERROR(__xludf.DUMMYFUNCTION("""COMPUTED_VALUE"""),"https://refugeworldwide.com/radio/daytimers-4th-feb-2022")</f>
        <v>https://refugeworldwide.com/radio/daytimers-4th-feb-2022</v>
      </c>
      <c r="P16" s="62">
        <f t="array" ref="P16">MAX(IF($A16=AB_TF!F:F,AB_TF!D:D))</f>
        <v>0</v>
      </c>
      <c r="Q16" s="63" t="str">
        <f t="array" ref="Q16">INDEX(AB_TF!C:C,MATCH(1,(AB_TF!F:F=A16)*(AB_TF!D:D=P16),0))</f>
        <v>#N/A</v>
      </c>
      <c r="R16" s="63">
        <f>COUNTIFS(AB_TF!F:F,"="&amp;A16,AB_TF!E:E,"Small*")</f>
        <v>0</v>
      </c>
      <c r="S16" s="63">
        <f>COUNTIFS(AB_TF!F:F,"="&amp;A16,AB_TF!E:E,"Medium*")</f>
        <v>0</v>
      </c>
      <c r="T16" s="63">
        <f>COUNTIFS(AB_TF!F:F,"="&amp;A16,AB_TF!E:E,"Large*")</f>
        <v>0</v>
      </c>
      <c r="U16" s="64">
        <f t="shared" si="1"/>
        <v>0</v>
      </c>
    </row>
    <row r="17">
      <c r="A17" s="7">
        <f>IFERROR(__xludf.DUMMYFUNCTION("""COMPUTED_VALUE"""),218.0)</f>
        <v>218</v>
      </c>
      <c r="B17" s="7" t="str">
        <f>IFERROR(__xludf.DUMMYFUNCTION("""COMPUTED_VALUE"""),"King Monday")</f>
        <v>King Monday</v>
      </c>
      <c r="C17" s="7" t="str">
        <f>IFERROR(__xludf.DUMMYFUNCTION("""COMPUTED_VALUE"""),"Sherwyn Appadu")</f>
        <v>Sherwyn Appadu</v>
      </c>
      <c r="D17" s="7"/>
      <c r="E17" s="7"/>
      <c r="F17" s="7" t="str">
        <f>IFERROR(__xludf.DUMMYFUNCTION("""COMPUTED_VALUE"""),"London")</f>
        <v>London</v>
      </c>
      <c r="G17" s="7"/>
      <c r="H17" s="7" t="str">
        <f>IFERROR(__xludf.DUMMYFUNCTION("""COMPUTED_VALUE"""),"DJ, Live Act")</f>
        <v>DJ, Live Act</v>
      </c>
      <c r="I17" s="7" t="str">
        <f>IFERROR(__xludf.DUMMYFUNCTION("""COMPUTED_VALUE"""),"Pop, Psychedelic, Sega, UK Dance, Experimental, Electronic")</f>
        <v>Pop, Psychedelic, Sega, UK Dance, Experimental, Electronic</v>
      </c>
      <c r="J17" s="7" t="str">
        <f>IFERROR(__xludf.DUMMYFUNCTION("""COMPUTED_VALUE"""),"kxmonday@hotmail.com")</f>
        <v>kxmonday@hotmail.com</v>
      </c>
      <c r="K17" s="57" t="str">
        <f>IFERROR(__xludf.DUMMYFUNCTION("""COMPUTED_VALUE"""),"https://soundcloud.com/kingxmonday")</f>
        <v>https://soundcloud.com/kingxmonday</v>
      </c>
      <c r="L17" s="57" t="str">
        <f>IFERROR(__xludf.DUMMYFUNCTION("""COMPUTED_VALUE"""),"https://soundcloud.com/kingxmonday")</f>
        <v>https://soundcloud.com/kingxmonday</v>
      </c>
      <c r="M17" s="7"/>
      <c r="N17" s="7"/>
      <c r="O17" s="57" t="str">
        <f>IFERROR(__xludf.DUMMYFUNCTION("""COMPUTED_VALUE"""),"https://ffm.to/kingmonday")</f>
        <v>https://ffm.to/kingmonday</v>
      </c>
      <c r="P17" s="62">
        <f t="array" ref="P17">MAX(IF($A17=AB_TF!F:F,AB_TF!D:D))</f>
        <v>0</v>
      </c>
      <c r="Q17" s="63" t="str">
        <f t="array" ref="Q17">INDEX(AB_TF!C:C,MATCH(1,(AB_TF!F:F=A17)*(AB_TF!D:D=P17),0))</f>
        <v>#N/A</v>
      </c>
      <c r="R17" s="63">
        <f>COUNTIFS(AB_TF!F:F,"="&amp;A17,AB_TF!E:E,"Small*")</f>
        <v>0</v>
      </c>
      <c r="S17" s="63">
        <f>COUNTIFS(AB_TF!F:F,"="&amp;A17,AB_TF!E:E,"Medium*")</f>
        <v>0</v>
      </c>
      <c r="T17" s="63">
        <f>COUNTIFS(AB_TF!F:F,"="&amp;A17,AB_TF!E:E,"Large*")</f>
        <v>0</v>
      </c>
      <c r="U17" s="64">
        <f t="shared" si="1"/>
        <v>0</v>
      </c>
    </row>
    <row r="18">
      <c r="A18" s="7">
        <f>IFERROR(__xludf.DUMMYFUNCTION("""COMPUTED_VALUE"""),219.0)</f>
        <v>219</v>
      </c>
      <c r="B18" s="7" t="str">
        <f>IFERROR(__xludf.DUMMYFUNCTION("""COMPUTED_VALUE"""),"Mandle")</f>
        <v>Mandle</v>
      </c>
      <c r="C18" s="7" t="str">
        <f>IFERROR(__xludf.DUMMYFUNCTION("""COMPUTED_VALUE"""),"Debesh Mandal")</f>
        <v>Debesh Mandal</v>
      </c>
      <c r="D18" s="7"/>
      <c r="E18" s="7"/>
      <c r="F18" s="7" t="str">
        <f>IFERROR(__xludf.DUMMYFUNCTION("""COMPUTED_VALUE"""),"London, Manchester")</f>
        <v>London, Manchester</v>
      </c>
      <c r="G18" s="7"/>
      <c r="H18" s="7" t="str">
        <f>IFERROR(__xludf.DUMMYFUNCTION("""COMPUTED_VALUE"""),"DJ")</f>
        <v>DJ</v>
      </c>
      <c r="I18" s="7" t="str">
        <f>IFERROR(__xludf.DUMMYFUNCTION("""COMPUTED_VALUE"""),"House, Techno, Breaks, Jungle, Disco")</f>
        <v>House, Techno, Breaks, Jungle, Disco</v>
      </c>
      <c r="J18" s="7" t="str">
        <f>IFERROR(__xludf.DUMMYFUNCTION("""COMPUTED_VALUE"""),"mandle.demain@gmail.com")</f>
        <v>mandle.demain@gmail.com</v>
      </c>
      <c r="K18" s="7"/>
      <c r="L18" s="57" t="str">
        <f>IFERROR(__xludf.DUMMYFUNCTION("""COMPUTED_VALUE"""),"https://soundcloud.com/djmandle")</f>
        <v>https://soundcloud.com/djmandle</v>
      </c>
      <c r="M18" s="7"/>
      <c r="N18" s="7"/>
      <c r="O18" s="57" t="str">
        <f>IFERROR(__xludf.DUMMYFUNCTION("""COMPUTED_VALUE"""),"https://soundcloud.com/djmandle")</f>
        <v>https://soundcloud.com/djmandle</v>
      </c>
      <c r="P18" s="62">
        <f t="array" ref="P18">MAX(IF($A18=AB_TF!F:F,AB_TF!D:D))</f>
        <v>0</v>
      </c>
      <c r="Q18" s="63" t="str">
        <f t="array" ref="Q18">INDEX(AB_TF!C:C,MATCH(1,(AB_TF!F:F=A18)*(AB_TF!D:D=P18),0))</f>
        <v>#N/A</v>
      </c>
      <c r="R18" s="63">
        <f>COUNTIFS(AB_TF!F:F,"="&amp;A18,AB_TF!E:E,"Small*")</f>
        <v>0</v>
      </c>
      <c r="S18" s="63">
        <f>COUNTIFS(AB_TF!F:F,"="&amp;A18,AB_TF!E:E,"Medium*")</f>
        <v>0</v>
      </c>
      <c r="T18" s="63">
        <f>COUNTIFS(AB_TF!F:F,"="&amp;A18,AB_TF!E:E,"Large*")</f>
        <v>0</v>
      </c>
      <c r="U18" s="64">
        <f t="shared" si="1"/>
        <v>0</v>
      </c>
    </row>
    <row r="19">
      <c r="A19" s="7">
        <f>IFERROR(__xludf.DUMMYFUNCTION("""COMPUTED_VALUE"""),220.0)</f>
        <v>220</v>
      </c>
      <c r="B19" s="7" t="str">
        <f>IFERROR(__xludf.DUMMYFUNCTION("""COMPUTED_VALUE"""),"manj")</f>
        <v>manj</v>
      </c>
      <c r="C19" s="7"/>
      <c r="D19" s="7"/>
      <c r="E19" s="7"/>
      <c r="F19" s="7"/>
      <c r="G19" s="7"/>
      <c r="H19" s="7" t="str">
        <f>IFERROR(__xludf.DUMMYFUNCTION("""COMPUTED_VALUE"""),"DJ")</f>
        <v>DJ</v>
      </c>
      <c r="I19" s="7"/>
      <c r="J19" s="7" t="str">
        <f>IFERROR(__xludf.DUMMYFUNCTION("""COMPUTED_VALUE"""),"info@manj.uk")</f>
        <v>info@manj.uk</v>
      </c>
      <c r="K19" s="7"/>
      <c r="L19" s="7"/>
      <c r="M19" s="7"/>
      <c r="N19" s="7"/>
      <c r="O19" s="7"/>
      <c r="P19" s="62">
        <f t="array" ref="P19">MAX(IF($A19=AB_TF!F:F,AB_TF!D:D))</f>
        <v>0</v>
      </c>
      <c r="Q19" s="63" t="str">
        <f t="array" ref="Q19">INDEX(AB_TF!C:C,MATCH(1,(AB_TF!F:F=A19)*(AB_TF!D:D=P19),0))</f>
        <v>#N/A</v>
      </c>
      <c r="R19" s="63">
        <f>COUNTIFS(AB_TF!F:F,"="&amp;A19,AB_TF!E:E,"Small*")</f>
        <v>0</v>
      </c>
      <c r="S19" s="63">
        <f>COUNTIFS(AB_TF!F:F,"="&amp;A19,AB_TF!E:E,"Medium*")</f>
        <v>0</v>
      </c>
      <c r="T19" s="63">
        <f>COUNTIFS(AB_TF!F:F,"="&amp;A19,AB_TF!E:E,"Large*")</f>
        <v>0</v>
      </c>
      <c r="U19" s="64">
        <f t="shared" si="1"/>
        <v>0</v>
      </c>
    </row>
    <row r="20">
      <c r="A20" s="7">
        <f>IFERROR(__xludf.DUMMYFUNCTION("""COMPUTED_VALUE"""),220.0)</f>
        <v>220</v>
      </c>
      <c r="B20" s="7" t="str">
        <f>IFERROR(__xludf.DUMMYFUNCTION("""COMPUTED_VALUE"""),"REA")</f>
        <v>REA</v>
      </c>
      <c r="C20" s="7" t="str">
        <f>IFERROR(__xludf.DUMMYFUNCTION("""COMPUTED_VALUE"""),"Rea Chawhan")</f>
        <v>Rea Chawhan</v>
      </c>
      <c r="D20" s="7"/>
      <c r="E20" s="7"/>
      <c r="F20" s="7" t="str">
        <f>IFERROR(__xludf.DUMMYFUNCTION("""COMPUTED_VALUE"""),"London, Bristol")</f>
        <v>London, Bristol</v>
      </c>
      <c r="G20" s="7" t="str">
        <f>IFERROR(__xludf.DUMMYFUNCTION("""COMPUTED_VALUE"""),"Madrid")</f>
        <v>Madrid</v>
      </c>
      <c r="H20" s="7" t="str">
        <f>IFERROR(__xludf.DUMMYFUNCTION("""COMPUTED_VALUE"""),"DJ")</f>
        <v>DJ</v>
      </c>
      <c r="I20" s="7" t="str">
        <f>IFERROR(__xludf.DUMMYFUNCTION("""COMPUTED_VALUE"""),"Dnb, Breaks/Footwork, UKG, UK Dubstep")</f>
        <v>Dnb, Breaks/Footwork, UKG, UK Dubstep</v>
      </c>
      <c r="J20" s="7" t="str">
        <f>IFERROR(__xludf.DUMMYFUNCTION("""COMPUTED_VALUE"""),"reamusicuk@gmail.com")</f>
        <v>reamusicuk@gmail.com</v>
      </c>
      <c r="K20" s="57" t="str">
        <f>IFERROR(__xludf.DUMMYFUNCTION("""COMPUTED_VALUE"""),"https://www.instagram.com/reamusicuk/")</f>
        <v>https://www.instagram.com/reamusicuk/</v>
      </c>
      <c r="L20" s="57" t="str">
        <f>IFERROR(__xludf.DUMMYFUNCTION("""COMPUTED_VALUE"""),"https://soundcloud.com/readnb")</f>
        <v>https://soundcloud.com/readnb</v>
      </c>
      <c r="M20" s="7"/>
      <c r="N20" s="7"/>
      <c r="O20" s="57" t="str">
        <f>IFERROR(__xludf.DUMMYFUNCTION("""COMPUTED_VALUE"""),"https://soundcloud.com/readnb")</f>
        <v>https://soundcloud.com/readnb</v>
      </c>
      <c r="P20" s="62">
        <f t="array" ref="P20">MAX(IF($A20=AB_TF!F:F,AB_TF!D:D))</f>
        <v>0</v>
      </c>
      <c r="Q20" s="63" t="str">
        <f t="array" ref="Q20">INDEX(AB_TF!C:C,MATCH(1,(AB_TF!F:F=A20)*(AB_TF!D:D=P20),0))</f>
        <v>#N/A</v>
      </c>
      <c r="R20" s="63">
        <f>COUNTIFS(AB_TF!F:F,"="&amp;A20,AB_TF!E:E,"Small*")</f>
        <v>0</v>
      </c>
      <c r="S20" s="63">
        <f>COUNTIFS(AB_TF!F:F,"="&amp;A20,AB_TF!E:E,"Medium*")</f>
        <v>0</v>
      </c>
      <c r="T20" s="63">
        <f>COUNTIFS(AB_TF!F:F,"="&amp;A20,AB_TF!E:E,"Large*")</f>
        <v>0</v>
      </c>
      <c r="U20" s="64">
        <f t="shared" si="1"/>
        <v>0</v>
      </c>
    </row>
    <row r="21">
      <c r="A21" s="7">
        <f>IFERROR(__xludf.DUMMYFUNCTION("""COMPUTED_VALUE"""),221.0)</f>
        <v>221</v>
      </c>
      <c r="B21" s="7" t="str">
        <f>IFERROR(__xludf.DUMMYFUNCTION("""COMPUTED_VALUE"""),"Sepoys")</f>
        <v>Sepoys</v>
      </c>
      <c r="C21" s="7" t="str">
        <f>IFERROR(__xludf.DUMMYFUNCTION("""COMPUTED_VALUE"""),"Rohit Tandon")</f>
        <v>Rohit Tandon</v>
      </c>
      <c r="D21" s="7"/>
      <c r="E21" s="7"/>
      <c r="F21" s="7"/>
      <c r="G21" s="7" t="str">
        <f>IFERROR(__xludf.DUMMYFUNCTION("""COMPUTED_VALUE"""),"Vancouver, Canada")</f>
        <v>Vancouver, Canada</v>
      </c>
      <c r="H21" s="7" t="str">
        <f>IFERROR(__xludf.DUMMYFUNCTION("""COMPUTED_VALUE"""),"DJ")</f>
        <v>DJ</v>
      </c>
      <c r="I21" s="7" t="str">
        <f>IFERROR(__xludf.DUMMYFUNCTION("""COMPUTED_VALUE"""),"Liquid DnB/ Jungle")</f>
        <v>Liquid DnB/ Jungle</v>
      </c>
      <c r="J21" s="7" t="str">
        <f>IFERROR(__xludf.DUMMYFUNCTION("""COMPUTED_VALUE"""),"basspradesh@gmail.com")</f>
        <v>basspradesh@gmail.com</v>
      </c>
      <c r="K21" s="7"/>
      <c r="L21" s="57" t="str">
        <f>IFERROR(__xludf.DUMMYFUNCTION("""COMPUTED_VALUE"""),"https://soundcloud.com/sepoys")</f>
        <v>https://soundcloud.com/sepoys</v>
      </c>
      <c r="M21" s="7"/>
      <c r="N21" s="7"/>
      <c r="O21" s="57" t="str">
        <f>IFERROR(__xludf.DUMMYFUNCTION("""COMPUTED_VALUE"""),"https://soundcloud.com/sepoys")</f>
        <v>https://soundcloud.com/sepoys</v>
      </c>
      <c r="P21" s="62">
        <f t="array" ref="P21">MAX(IF($A21=AB_TF!F:F,AB_TF!D:D))</f>
        <v>0</v>
      </c>
      <c r="Q21" s="63" t="str">
        <f t="array" ref="Q21">INDEX(AB_TF!C:C,MATCH(1,(AB_TF!F:F=A21)*(AB_TF!D:D=P21),0))</f>
        <v>#N/A</v>
      </c>
      <c r="R21" s="63">
        <f>COUNTIFS(AB_TF!F:F,"="&amp;A21,AB_TF!E:E,"Small*")</f>
        <v>0</v>
      </c>
      <c r="S21" s="63">
        <f>COUNTIFS(AB_TF!F:F,"="&amp;A21,AB_TF!E:E,"Medium*")</f>
        <v>0</v>
      </c>
      <c r="T21" s="63">
        <f>COUNTIFS(AB_TF!F:F,"="&amp;A21,AB_TF!E:E,"Large*")</f>
        <v>0</v>
      </c>
      <c r="U21" s="64">
        <f t="shared" si="1"/>
        <v>0</v>
      </c>
    </row>
    <row r="22">
      <c r="A22" s="7">
        <f>IFERROR(__xludf.DUMMYFUNCTION("""COMPUTED_VALUE"""),222.0)</f>
        <v>222</v>
      </c>
      <c r="B22" s="7" t="str">
        <f>IFERROR(__xludf.DUMMYFUNCTION("""COMPUTED_VALUE"""),"Provhat")</f>
        <v>Provhat</v>
      </c>
      <c r="C22" s="7" t="str">
        <f>IFERROR(__xludf.DUMMYFUNCTION("""COMPUTED_VALUE"""),"Provhat Rahman")</f>
        <v>Provhat Rahman</v>
      </c>
      <c r="D22" s="7"/>
      <c r="E22" s="7"/>
      <c r="F22" s="7" t="str">
        <f>IFERROR(__xludf.DUMMYFUNCTION("""COMPUTED_VALUE"""),"London")</f>
        <v>London</v>
      </c>
      <c r="G22" s="7"/>
      <c r="H22" s="7" t="str">
        <f>IFERROR(__xludf.DUMMYFUNCTION("""COMPUTED_VALUE"""),"DJ")</f>
        <v>DJ</v>
      </c>
      <c r="I22" s="7" t="str">
        <f>IFERROR(__xludf.DUMMYFUNCTION("""COMPUTED_VALUE"""),"UK Bass")</f>
        <v>UK Bass</v>
      </c>
      <c r="J22" s="7" t="str">
        <f>IFERROR(__xludf.DUMMYFUNCTION("""COMPUTED_VALUE"""),"provhat@daytimers.org")</f>
        <v>provhat@daytimers.org</v>
      </c>
      <c r="K22" s="7"/>
      <c r="L22" s="7"/>
      <c r="M22" s="7"/>
      <c r="N22" s="7"/>
      <c r="O22" s="7" t="str">
        <f>IFERROR(__xludf.DUMMYFUNCTION("""COMPUTED_VALUE"""),"-")</f>
        <v>-</v>
      </c>
      <c r="P22" s="62">
        <f t="array" ref="P22">MAX(IF($A22=AB_TF!F:F,AB_TF!D:D))</f>
        <v>0</v>
      </c>
      <c r="Q22" s="63" t="str">
        <f t="array" ref="Q22">INDEX(AB_TF!C:C,MATCH(1,(AB_TF!F:F=A22)*(AB_TF!D:D=P22),0))</f>
        <v>#N/A</v>
      </c>
      <c r="R22" s="63">
        <f>COUNTIFS(AB_TF!F:F,"="&amp;A22,AB_TF!E:E,"Small*")</f>
        <v>0</v>
      </c>
      <c r="S22" s="63">
        <f>COUNTIFS(AB_TF!F:F,"="&amp;A22,AB_TF!E:E,"Medium*")</f>
        <v>0</v>
      </c>
      <c r="T22" s="63">
        <f>COUNTIFS(AB_TF!F:F,"="&amp;A22,AB_TF!E:E,"Large*")</f>
        <v>0</v>
      </c>
      <c r="U22" s="64">
        <f t="shared" si="1"/>
        <v>0</v>
      </c>
    </row>
    <row r="23">
      <c r="A23" s="7">
        <f>IFERROR(__xludf.DUMMYFUNCTION("""COMPUTED_VALUE"""),223.0)</f>
        <v>223</v>
      </c>
      <c r="B23" s="7" t="str">
        <f>IFERROR(__xludf.DUMMYFUNCTION("""COMPUTED_VALUE"""),"Mera Bhai")</f>
        <v>Mera Bhai</v>
      </c>
      <c r="C23" s="7" t="str">
        <f>IFERROR(__xludf.DUMMYFUNCTION("""COMPUTED_VALUE"""),"Kavhan Karthik ")</f>
        <v>Kavhan Karthik </v>
      </c>
      <c r="D23" s="7"/>
      <c r="E23" s="7"/>
      <c r="F23" s="7" t="str">
        <f>IFERROR(__xludf.DUMMYFUNCTION("""COMPUTED_VALUE"""),"London")</f>
        <v>London</v>
      </c>
      <c r="G23" s="7"/>
      <c r="H23" s="7" t="str">
        <f>IFERROR(__xludf.DUMMYFUNCTION("""COMPUTED_VALUE"""),"DJ, Live Act")</f>
        <v>DJ, Live Act</v>
      </c>
      <c r="I23" s="7" t="str">
        <f>IFERROR(__xludf.DUMMYFUNCTION("""COMPUTED_VALUE"""),"Detroit + Italo House + Disco,  Acid House, Techno, Breaks, Funk, UKG, Global Riddims. Vinyl only sets include - strictly UKG, 70s-80s Bollywood disco, world/int'l psych/funk/disco")</f>
        <v>Detroit + Italo House + Disco,  Acid House, Techno, Breaks, Funk, UKG, Global Riddims. Vinyl only sets include - strictly UKG, 70s-80s Bollywood disco, world/int'l psych/funk/disco</v>
      </c>
      <c r="J23" s="7" t="str">
        <f>IFERROR(__xludf.DUMMYFUNCTION("""COMPUTED_VALUE"""),"merabhaiiimusic@gmail.com")</f>
        <v>merabhaiiimusic@gmail.com</v>
      </c>
      <c r="K23" s="7"/>
      <c r="L23" s="7"/>
      <c r="M23" s="7"/>
      <c r="N23" s="7"/>
      <c r="O23" s="57" t="str">
        <f>IFERROR(__xludf.DUMMYFUNCTION("""COMPUTED_VALUE"""),"https://linktr.ee/merabhaiii")</f>
        <v>https://linktr.ee/merabhaiii</v>
      </c>
      <c r="P23" s="62">
        <f t="array" ref="P23">MAX(IF($A23=AB_TF!F:F,AB_TF!D:D))</f>
        <v>0</v>
      </c>
      <c r="Q23" s="63" t="str">
        <f t="array" ref="Q23">INDEX(AB_TF!C:C,MATCH(1,(AB_TF!F:F=A23)*(AB_TF!D:D=P23),0))</f>
        <v>#N/A</v>
      </c>
      <c r="R23" s="63">
        <f>COUNTIFS(AB_TF!F:F,"="&amp;A23,AB_TF!E:E,"Small*")</f>
        <v>0</v>
      </c>
      <c r="S23" s="63">
        <f>COUNTIFS(AB_TF!F:F,"="&amp;A23,AB_TF!E:E,"Medium*")</f>
        <v>0</v>
      </c>
      <c r="T23" s="63">
        <f>COUNTIFS(AB_TF!F:F,"="&amp;A23,AB_TF!E:E,"Large*")</f>
        <v>0</v>
      </c>
      <c r="U23" s="64">
        <f t="shared" si="1"/>
        <v>0</v>
      </c>
    </row>
    <row r="24">
      <c r="A24" s="7">
        <f>IFERROR(__xludf.DUMMYFUNCTION("""COMPUTED_VALUE"""),224.0)</f>
        <v>224</v>
      </c>
      <c r="B24" s="7" t="str">
        <f>IFERROR(__xludf.DUMMYFUNCTION("""COMPUTED_VALUE"""),"Izzi")</f>
        <v>Izzi</v>
      </c>
      <c r="C24" s="7" t="str">
        <f>IFERROR(__xludf.DUMMYFUNCTION("""COMPUTED_VALUE"""),"Izzi Dickson")</f>
        <v>Izzi Dickson</v>
      </c>
      <c r="D24" s="7"/>
      <c r="E24" s="7"/>
      <c r="F24" s="7" t="str">
        <f>IFERROR(__xludf.DUMMYFUNCTION("""COMPUTED_VALUE"""),"London, Cambridge")</f>
        <v>London, Cambridge</v>
      </c>
      <c r="G24" s="7"/>
      <c r="H24" s="7" t="str">
        <f>IFERROR(__xludf.DUMMYFUNCTION("""COMPUTED_VALUE"""),"DJ")</f>
        <v>DJ</v>
      </c>
      <c r="I24" s="7" t="str">
        <f>IFERROR(__xludf.DUMMYFUNCTION("""COMPUTED_VALUE"""),"UK bass, breaks, leftfield techno, hard drum, electro, jungle, footwork")</f>
        <v>UK bass, breaks, leftfield techno, hard drum, electro, jungle, footwork</v>
      </c>
      <c r="J24" s="7" t="str">
        <f>IFERROR(__xludf.DUMMYFUNCTION("""COMPUTED_VALUE"""),"izzi.dickson@gmail.com")</f>
        <v>izzi.dickson@gmail.com</v>
      </c>
      <c r="K24" s="7"/>
      <c r="L24" s="7"/>
      <c r="M24" s="7"/>
      <c r="N24" s="7"/>
      <c r="O24" s="57" t="str">
        <f>IFERROR(__xludf.DUMMYFUNCTION("""COMPUTED_VALUE"""),"https://soundcloud.app.goo.gl/aXWw6FdyUhNKSXZi6")</f>
        <v>https://soundcloud.app.goo.gl/aXWw6FdyUhNKSXZi6</v>
      </c>
      <c r="P24" s="62">
        <f t="array" ref="P24">MAX(IF($A24=AB_TF!F:F,AB_TF!D:D))</f>
        <v>0</v>
      </c>
      <c r="Q24" s="63" t="str">
        <f t="array" ref="Q24">INDEX(AB_TF!C:C,MATCH(1,(AB_TF!F:F=A24)*(AB_TF!D:D=P24),0))</f>
        <v>#N/A</v>
      </c>
      <c r="R24" s="63">
        <f>COUNTIFS(AB_TF!F:F,"="&amp;A24,AB_TF!E:E,"Small*")</f>
        <v>0</v>
      </c>
      <c r="S24" s="63">
        <f>COUNTIFS(AB_TF!F:F,"="&amp;A24,AB_TF!E:E,"Medium*")</f>
        <v>0</v>
      </c>
      <c r="T24" s="63">
        <f>COUNTIFS(AB_TF!F:F,"="&amp;A24,AB_TF!E:E,"Large*")</f>
        <v>0</v>
      </c>
      <c r="U24" s="64">
        <f t="shared" si="1"/>
        <v>0</v>
      </c>
    </row>
    <row r="25">
      <c r="A25" s="7">
        <f>IFERROR(__xludf.DUMMYFUNCTION("""COMPUTED_VALUE"""),226.0)</f>
        <v>226</v>
      </c>
      <c r="B25" s="7" t="str">
        <f>IFERROR(__xludf.DUMMYFUNCTION("""COMPUTED_VALUE"""),"Sunayah")</f>
        <v>Sunayah</v>
      </c>
      <c r="C25" s="7" t="str">
        <f>IFERROR(__xludf.DUMMYFUNCTION("""COMPUTED_VALUE"""),"Sunayah Arshad")</f>
        <v>Sunayah Arshad</v>
      </c>
      <c r="D25" s="7"/>
      <c r="E25" s="7"/>
      <c r="F25" s="7" t="str">
        <f>IFERROR(__xludf.DUMMYFUNCTION("""COMPUTED_VALUE"""),"London")</f>
        <v>London</v>
      </c>
      <c r="G25" s="7"/>
      <c r="H25" s="7" t="str">
        <f>IFERROR(__xludf.DUMMYFUNCTION("""COMPUTED_VALUE"""),"DJ")</f>
        <v>DJ</v>
      </c>
      <c r="I25" s="7" t="str">
        <f>IFERROR(__xludf.DUMMYFUNCTION("""COMPUTED_VALUE"""),"house, amapiano, baile funk, uk funky, RnB")</f>
        <v>house, amapiano, baile funk, uk funky, RnB</v>
      </c>
      <c r="J25" s="7" t="str">
        <f>IFERROR(__xludf.DUMMYFUNCTION("""COMPUTED_VALUE"""),"sunayah.arshad@gmail.com")</f>
        <v>sunayah.arshad@gmail.com</v>
      </c>
      <c r="K25" s="57" t="str">
        <f>IFERROR(__xludf.DUMMYFUNCTION("""COMPUTED_VALUE"""),"https://www.instagram.com/sunayah._/?hl=en")</f>
        <v>https://www.instagram.com/sunayah._/?hl=en</v>
      </c>
      <c r="L25" s="57" t="str">
        <f>IFERROR(__xludf.DUMMYFUNCTION("""COMPUTED_VALUE"""),"https://soundcloud.com/sunayah")</f>
        <v>https://soundcloud.com/sunayah</v>
      </c>
      <c r="M25" s="7"/>
      <c r="N25" s="7"/>
      <c r="O25" s="57" t="str">
        <f>IFERROR(__xludf.DUMMYFUNCTION("""COMPUTED_VALUE"""),"https://soundcloud.com/sunayah")</f>
        <v>https://soundcloud.com/sunayah</v>
      </c>
      <c r="P25" s="62">
        <f t="array" ref="P25">MAX(IF($A25=AB_TF!F:F,AB_TF!D:D))</f>
        <v>0</v>
      </c>
      <c r="Q25" s="63" t="str">
        <f t="array" ref="Q25">INDEX(AB_TF!C:C,MATCH(1,(AB_TF!F:F=A25)*(AB_TF!D:D=P25),0))</f>
        <v>#N/A</v>
      </c>
      <c r="R25" s="63">
        <f>COUNTIFS(AB_TF!F:F,"="&amp;A25,AB_TF!E:E,"Small*")</f>
        <v>0</v>
      </c>
      <c r="S25" s="63">
        <f>COUNTIFS(AB_TF!F:F,"="&amp;A25,AB_TF!E:E,"Medium*")</f>
        <v>0</v>
      </c>
      <c r="T25" s="63">
        <f>COUNTIFS(AB_TF!F:F,"="&amp;A25,AB_TF!E:E,"Large*")</f>
        <v>0</v>
      </c>
      <c r="U25" s="64">
        <f t="shared" si="1"/>
        <v>0</v>
      </c>
    </row>
    <row r="26">
      <c r="A26" s="7">
        <f>IFERROR(__xludf.DUMMYFUNCTION("""COMPUTED_VALUE"""),227.0)</f>
        <v>227</v>
      </c>
      <c r="B26" s="7" t="str">
        <f>IFERROR(__xludf.DUMMYFUNCTION("""COMPUTED_VALUE"""),"Triqi")</f>
        <v>Triqi</v>
      </c>
      <c r="C26" s="7" t="str">
        <f>IFERROR(__xludf.DUMMYFUNCTION("""COMPUTED_VALUE"""),"Iqra Nowshari")</f>
        <v>Iqra Nowshari</v>
      </c>
      <c r="D26" s="7"/>
      <c r="E26" s="7"/>
      <c r="F26" s="7"/>
      <c r="G26" s="7" t="str">
        <f>IFERROR(__xludf.DUMMYFUNCTION("""COMPUTED_VALUE"""),"Berlin, Germany")</f>
        <v>Berlin, Germany</v>
      </c>
      <c r="H26" s="7" t="str">
        <f>IFERROR(__xludf.DUMMYFUNCTION("""COMPUTED_VALUE"""),"DJ")</f>
        <v>DJ</v>
      </c>
      <c r="I26" s="7" t="str">
        <f>IFERROR(__xludf.DUMMYFUNCTION("""COMPUTED_VALUE"""),"house, breaks, electro, techno, disco, soul, funk")</f>
        <v>house, breaks, electro, techno, disco, soul, funk</v>
      </c>
      <c r="J26" s="7" t="str">
        <f>IFERROR(__xludf.DUMMYFUNCTION("""COMPUTED_VALUE"""),"imadfromlove@gmail.com")</f>
        <v>imadfromlove@gmail.com</v>
      </c>
      <c r="K26" s="57" t="str">
        <f>IFERROR(__xludf.DUMMYFUNCTION("""COMPUTED_VALUE"""),"https://www.instagram.com/triqitrix/?hl=en")</f>
        <v>https://www.instagram.com/triqitrix/?hl=en</v>
      </c>
      <c r="L26" s="57" t="str">
        <f>IFERROR(__xludf.DUMMYFUNCTION("""COMPUTED_VALUE"""),"https://soundcloud.com/triqi030")</f>
        <v>https://soundcloud.com/triqi030</v>
      </c>
      <c r="M26" s="7"/>
      <c r="N26" s="7"/>
      <c r="O26" s="57" t="str">
        <f>IFERROR(__xludf.DUMMYFUNCTION("""COMPUTED_VALUE"""),"https://soundcloud.com/triqi030")</f>
        <v>https://soundcloud.com/triqi030</v>
      </c>
      <c r="P26" s="62">
        <f t="array" ref="P26">MAX(IF($A26=AB_TF!F:F,AB_TF!D:D))</f>
        <v>0</v>
      </c>
      <c r="Q26" s="63" t="str">
        <f t="array" ref="Q26">INDEX(AB_TF!C:C,MATCH(1,(AB_TF!F:F=A26)*(AB_TF!D:D=P26),0))</f>
        <v>#N/A</v>
      </c>
      <c r="R26" s="63">
        <f>COUNTIFS(AB_TF!F:F,"="&amp;A26,AB_TF!E:E,"Small*")</f>
        <v>0</v>
      </c>
      <c r="S26" s="63">
        <f>COUNTIFS(AB_TF!F:F,"="&amp;A26,AB_TF!E:E,"Medium*")</f>
        <v>0</v>
      </c>
      <c r="T26" s="63">
        <f>COUNTIFS(AB_TF!F:F,"="&amp;A26,AB_TF!E:E,"Large*")</f>
        <v>0</v>
      </c>
      <c r="U26" s="64">
        <f t="shared" si="1"/>
        <v>0</v>
      </c>
    </row>
    <row r="27">
      <c r="A27" s="7">
        <f>IFERROR(__xludf.DUMMYFUNCTION("""COMPUTED_VALUE"""),228.0)</f>
        <v>228</v>
      </c>
      <c r="B27" s="7" t="str">
        <f>IFERROR(__xludf.DUMMYFUNCTION("""COMPUTED_VALUE"""),"KRMA")</f>
        <v>KRMA</v>
      </c>
      <c r="C27" s="7" t="str">
        <f>IFERROR(__xludf.DUMMYFUNCTION("""COMPUTED_VALUE"""),"Kush Varma")</f>
        <v>Kush Varma</v>
      </c>
      <c r="D27" s="7"/>
      <c r="E27" s="7"/>
      <c r="F27" s="7"/>
      <c r="G27" s="7" t="str">
        <f>IFERROR(__xludf.DUMMYFUNCTION("""COMPUTED_VALUE"""),"Los Angeles, USA")</f>
        <v>Los Angeles, USA</v>
      </c>
      <c r="H27" s="7" t="str">
        <f>IFERROR(__xludf.DUMMYFUNCTION("""COMPUTED_VALUE"""),"DJ")</f>
        <v>DJ</v>
      </c>
      <c r="I27" s="7" t="str">
        <f>IFERROR(__xludf.DUMMYFUNCTION("""COMPUTED_VALUE"""),"Electronic, trap, dnb, bass ")</f>
        <v>Electronic, trap, dnb, bass </v>
      </c>
      <c r="J27" s="7" t="str">
        <f>IFERROR(__xludf.DUMMYFUNCTION("""COMPUTED_VALUE"""),"krmabeats@gmail.com")</f>
        <v>krmabeats@gmail.com</v>
      </c>
      <c r="K27" s="57" t="str">
        <f>IFERROR(__xludf.DUMMYFUNCTION("""COMPUTED_VALUE"""),"https://www.instagram.com/krma.music/")</f>
        <v>https://www.instagram.com/krma.music/</v>
      </c>
      <c r="L27" s="57" t="str">
        <f>IFERROR(__xludf.DUMMYFUNCTION("""COMPUTED_VALUE"""),"https://soundcloud.com/krmabeats")</f>
        <v>https://soundcloud.com/krmabeats</v>
      </c>
      <c r="M27" s="7"/>
      <c r="N27" s="57" t="str">
        <f>IFERROR(__xludf.DUMMYFUNCTION("""COMPUTED_VALUE"""),"https://linktr.ee/krma.music")</f>
        <v>https://linktr.ee/krma.music</v>
      </c>
      <c r="O27" s="57" t="str">
        <f>IFERROR(__xludf.DUMMYFUNCTION("""COMPUTED_VALUE"""),"https://soundcloud.com/krmabeats")</f>
        <v>https://soundcloud.com/krmabeats</v>
      </c>
      <c r="P27" s="62">
        <f t="array" ref="P27">MAX(IF($A27=AB_TF!F:F,AB_TF!D:D))</f>
        <v>0</v>
      </c>
      <c r="Q27" s="63" t="str">
        <f t="array" ref="Q27">INDEX(AB_TF!C:C,MATCH(1,(AB_TF!F:F=A27)*(AB_TF!D:D=P27),0))</f>
        <v>#N/A</v>
      </c>
      <c r="R27" s="63">
        <f>COUNTIFS(AB_TF!F:F,"="&amp;A27,AB_TF!E:E,"Small*")</f>
        <v>0</v>
      </c>
      <c r="S27" s="63">
        <f>COUNTIFS(AB_TF!F:F,"="&amp;A27,AB_TF!E:E,"Medium*")</f>
        <v>0</v>
      </c>
      <c r="T27" s="63">
        <f>COUNTIFS(AB_TF!F:F,"="&amp;A27,AB_TF!E:E,"Large*")</f>
        <v>0</v>
      </c>
      <c r="U27" s="64">
        <f t="shared" si="1"/>
        <v>0</v>
      </c>
    </row>
    <row r="28">
      <c r="A28" s="7">
        <f>IFERROR(__xludf.DUMMYFUNCTION("""COMPUTED_VALUE"""),229.0)</f>
        <v>229</v>
      </c>
      <c r="B28" s="7" t="str">
        <f>IFERROR(__xludf.DUMMYFUNCTION("""COMPUTED_VALUE"""),"Solar Plexus")</f>
        <v>Solar Plexus</v>
      </c>
      <c r="C28" s="7" t="str">
        <f>IFERROR(__xludf.DUMMYFUNCTION("""COMPUTED_VALUE"""),"Rahul Dhulipala")</f>
        <v>Rahul Dhulipala</v>
      </c>
      <c r="D28" s="7"/>
      <c r="E28" s="7"/>
      <c r="F28" s="7" t="str">
        <f>IFERROR(__xludf.DUMMYFUNCTION("""COMPUTED_VALUE"""),"London, Cardiff, Swansea")</f>
        <v>London, Cardiff, Swansea</v>
      </c>
      <c r="G28" s="7"/>
      <c r="H28" s="7" t="str">
        <f>IFERROR(__xludf.DUMMYFUNCTION("""COMPUTED_VALUE"""),"DJ")</f>
        <v>DJ</v>
      </c>
      <c r="I28" s="7" t="str">
        <f>IFERROR(__xludf.DUMMYFUNCTION("""COMPUTED_VALUE"""),"ukg / uk dubstep / grime / breaks / 160 / jungle")</f>
        <v>ukg / uk dubstep / grime / breaks / 160 / jungle</v>
      </c>
      <c r="J28" s="7"/>
      <c r="K28" s="57" t="str">
        <f>IFERROR(__xludf.DUMMYFUNCTION("""COMPUTED_VALUE"""),"https://www.instagram.com/djsolarplexus/?hl=en-gb")</f>
        <v>https://www.instagram.com/djsolarplexus/?hl=en-gb</v>
      </c>
      <c r="L28" s="57" t="str">
        <f>IFERROR(__xludf.DUMMYFUNCTION("""COMPUTED_VALUE"""),"https://soundcloud.com/djsolarplexus?ref=clipboard&amp;p=i&amp;c=1&amp;si=DA130D71E4104EB5BE04BC096A497BAF&amp;utm_source=clipboard&amp;utm_medium=text&amp;utm_campaign=social_sharing")</f>
        <v>https://soundcloud.com/djsolarplexus?ref=clipboard&amp;p=i&amp;c=1&amp;si=DA130D71E4104EB5BE04BC096A497BAF&amp;utm_source=clipboard&amp;utm_medium=text&amp;utm_campaign=social_sharing</v>
      </c>
      <c r="M28" s="7"/>
      <c r="N28" s="7"/>
      <c r="O28" s="57" t="str">
        <f>IFERROR(__xludf.DUMMYFUNCTION("""COMPUTED_VALUE"""),"https://soundcloud.com/djsolarplexus?ref=clipboard&amp;p=i&amp;c=1&amp;si=DA130D71E4104EB5BE04BC096A497BAF&amp;utm_source=clipboard&amp;utm_medium=text&amp;utm_campaign=social_sharing")</f>
        <v>https://soundcloud.com/djsolarplexus?ref=clipboard&amp;p=i&amp;c=1&amp;si=DA130D71E4104EB5BE04BC096A497BAF&amp;utm_source=clipboard&amp;utm_medium=text&amp;utm_campaign=social_sharing</v>
      </c>
      <c r="P28" s="62">
        <f t="array" ref="P28">MAX(IF($A28=AB_TF!F:F,AB_TF!D:D))</f>
        <v>0</v>
      </c>
      <c r="Q28" s="63" t="str">
        <f t="array" ref="Q28">INDEX(AB_TF!C:C,MATCH(1,(AB_TF!F:F=A28)*(AB_TF!D:D=P28),0))</f>
        <v>#N/A</v>
      </c>
      <c r="R28" s="63">
        <f>COUNTIFS(AB_TF!F:F,"="&amp;A28,AB_TF!E:E,"Small*")</f>
        <v>0</v>
      </c>
      <c r="S28" s="63">
        <f>COUNTIFS(AB_TF!F:F,"="&amp;A28,AB_TF!E:E,"Medium*")</f>
        <v>0</v>
      </c>
      <c r="T28" s="63">
        <f>COUNTIFS(AB_TF!F:F,"="&amp;A28,AB_TF!E:E,"Large*")</f>
        <v>0</v>
      </c>
      <c r="U28" s="64">
        <f t="shared" si="1"/>
        <v>0</v>
      </c>
    </row>
    <row r="29">
      <c r="A29" s="7">
        <f>IFERROR(__xludf.DUMMYFUNCTION("""COMPUTED_VALUE"""),230.0)</f>
        <v>230</v>
      </c>
      <c r="B29" s="7" t="str">
        <f>IFERROR(__xludf.DUMMYFUNCTION("""COMPUTED_VALUE"""),"Basra")</f>
        <v>Basra</v>
      </c>
      <c r="C29" s="7" t="str">
        <f>IFERROR(__xludf.DUMMYFUNCTION("""COMPUTED_VALUE"""),"Harry Basra")</f>
        <v>Harry Basra</v>
      </c>
      <c r="D29" s="7"/>
      <c r="E29" s="7"/>
      <c r="F29" s="7" t="str">
        <f>IFERROR(__xludf.DUMMYFUNCTION("""COMPUTED_VALUE"""),"London")</f>
        <v>London</v>
      </c>
      <c r="G29" s="7"/>
      <c r="H29" s="7" t="str">
        <f>IFERROR(__xludf.DUMMYFUNCTION("""COMPUTED_VALUE"""),"DJ")</f>
        <v>DJ</v>
      </c>
      <c r="I29" s="7" t="str">
        <f>IFERROR(__xludf.DUMMYFUNCTION("""COMPUTED_VALUE"""),"DnB")</f>
        <v>DnB</v>
      </c>
      <c r="J29" s="7" t="str">
        <f>IFERROR(__xludf.DUMMYFUNCTION("""COMPUTED_VALUE"""),"Harrybasra1@gmail.com")</f>
        <v>Harrybasra1@gmail.com</v>
      </c>
      <c r="K29" s="7"/>
      <c r="L29" s="57" t="str">
        <f>IFERROR(__xludf.DUMMYFUNCTION("""COMPUTED_VALUE"""),"https://soundcloud.com/hazbro/tracks")</f>
        <v>https://soundcloud.com/hazbro/tracks</v>
      </c>
      <c r="M29" s="7"/>
      <c r="N29" s="7"/>
      <c r="O29" s="57" t="str">
        <f>IFERROR(__xludf.DUMMYFUNCTION("""COMPUTED_VALUE"""),"https://soundcloud.com/hazbro/tracks")</f>
        <v>https://soundcloud.com/hazbro/tracks</v>
      </c>
      <c r="P29" s="62">
        <f t="array" ref="P29">MAX(IF($A29=AB_TF!F:F,AB_TF!D:D))</f>
        <v>0</v>
      </c>
      <c r="Q29" s="63" t="str">
        <f t="array" ref="Q29">INDEX(AB_TF!C:C,MATCH(1,(AB_TF!F:F=A29)*(AB_TF!D:D=P29),0))</f>
        <v>#N/A</v>
      </c>
      <c r="R29" s="63">
        <f>COUNTIFS(AB_TF!F:F,"="&amp;A29,AB_TF!E:E,"Small*")</f>
        <v>0</v>
      </c>
      <c r="S29" s="63">
        <f>COUNTIFS(AB_TF!F:F,"="&amp;A29,AB_TF!E:E,"Medium*")</f>
        <v>0</v>
      </c>
      <c r="T29" s="63">
        <f>COUNTIFS(AB_TF!F:F,"="&amp;A29,AB_TF!E:E,"Large*")</f>
        <v>0</v>
      </c>
      <c r="U29" s="64">
        <f t="shared" si="1"/>
        <v>0</v>
      </c>
    </row>
    <row r="30">
      <c r="A30" s="7">
        <f>IFERROR(__xludf.DUMMYFUNCTION("""COMPUTED_VALUE"""),231.0)</f>
        <v>231</v>
      </c>
      <c r="B30" s="7" t="str">
        <f>IFERROR(__xludf.DUMMYFUNCTION("""COMPUTED_VALUE"""),"G33")</f>
        <v>G33</v>
      </c>
      <c r="C30" s="7" t="str">
        <f>IFERROR(__xludf.DUMMYFUNCTION("""COMPUTED_VALUE"""),"Gaia Ahuja")</f>
        <v>Gaia Ahuja</v>
      </c>
      <c r="D30" s="7"/>
      <c r="E30" s="7"/>
      <c r="F30" s="7" t="str">
        <f>IFERROR(__xludf.DUMMYFUNCTION("""COMPUTED_VALUE"""),"London, Liverpool")</f>
        <v>London, Liverpool</v>
      </c>
      <c r="G30" s="7"/>
      <c r="H30" s="7" t="str">
        <f>IFERROR(__xludf.DUMMYFUNCTION("""COMPUTED_VALUE"""),"DJ")</f>
        <v>DJ</v>
      </c>
      <c r="I30" s="7" t="str">
        <f>IFERROR(__xludf.DUMMYFUNCTION("""COMPUTED_VALUE"""),"UKG, UK funky, grime, bass, dancehall")</f>
        <v>UKG, UK funky, grime, bass, dancehall</v>
      </c>
      <c r="J30" s="7" t="str">
        <f>IFERROR(__xludf.DUMMYFUNCTION("""COMPUTED_VALUE"""),"gaiaahuja7@hotmail.com")</f>
        <v>gaiaahuja7@hotmail.com</v>
      </c>
      <c r="K30" s="57" t="str">
        <f>IFERROR(__xludf.DUMMYFUNCTION("""COMPUTED_VALUE"""),"www.instagram.com/gaia_ia/")</f>
        <v>www.instagram.com/gaia_ia/</v>
      </c>
      <c r="L30" s="57" t="str">
        <f>IFERROR(__xludf.DUMMYFUNCTION("""COMPUTED_VALUE"""),"https://soundcloud.com/gggeethreethree")</f>
        <v>https://soundcloud.com/gggeethreethree</v>
      </c>
      <c r="M30" s="7"/>
      <c r="N30" s="7"/>
      <c r="O30" s="57" t="str">
        <f>IFERROR(__xludf.DUMMYFUNCTION("""COMPUTED_VALUE"""),"https://soundcloud.com/gggeethreethree/bbc-asian-network-pure-spice-guest-mix")</f>
        <v>https://soundcloud.com/gggeethreethree/bbc-asian-network-pure-spice-guest-mix</v>
      </c>
      <c r="P30" s="62">
        <f t="array" ref="P30">MAX(IF($A30=AB_TF!F:F,AB_TF!D:D))</f>
        <v>0</v>
      </c>
      <c r="Q30" s="63" t="str">
        <f t="array" ref="Q30">INDEX(AB_TF!C:C,MATCH(1,(AB_TF!F:F=A30)*(AB_TF!D:D=P30),0))</f>
        <v>#N/A</v>
      </c>
      <c r="R30" s="63">
        <f>COUNTIFS(AB_TF!F:F,"="&amp;A30,AB_TF!E:E,"Small*")</f>
        <v>0</v>
      </c>
      <c r="S30" s="63">
        <f>COUNTIFS(AB_TF!F:F,"="&amp;A30,AB_TF!E:E,"Medium*")</f>
        <v>0</v>
      </c>
      <c r="T30" s="63">
        <f>COUNTIFS(AB_TF!F:F,"="&amp;A30,AB_TF!E:E,"Large*")</f>
        <v>0</v>
      </c>
      <c r="U30" s="64">
        <f t="shared" si="1"/>
        <v>0</v>
      </c>
    </row>
    <row r="31">
      <c r="A31" s="7">
        <f>IFERROR(__xludf.DUMMYFUNCTION("""COMPUTED_VALUE"""),232.0)</f>
        <v>232</v>
      </c>
      <c r="B31" s="7" t="str">
        <f>IFERROR(__xludf.DUMMYFUNCTION("""COMPUTED_VALUE"""),"Himay")</f>
        <v>Himay</v>
      </c>
      <c r="C31" s="7" t="str">
        <f>IFERROR(__xludf.DUMMYFUNCTION("""COMPUTED_VALUE"""),"Himay")</f>
        <v>Himay</v>
      </c>
      <c r="D31" s="7"/>
      <c r="E31" s="7"/>
      <c r="F31" s="7"/>
      <c r="G31" s="7" t="str">
        <f>IFERROR(__xludf.DUMMYFUNCTION("""COMPUTED_VALUE"""),"Mumbai, India")</f>
        <v>Mumbai, India</v>
      </c>
      <c r="H31" s="7" t="str">
        <f>IFERROR(__xludf.DUMMYFUNCTION("""COMPUTED_VALUE"""),"DJ")</f>
        <v>DJ</v>
      </c>
      <c r="I31" s="7" t="str">
        <f>IFERROR(__xludf.DUMMYFUNCTION("""COMPUTED_VALUE"""),"House, Breaks, Electronic")</f>
        <v>House, Breaks, Electronic</v>
      </c>
      <c r="J31" s="7" t="str">
        <f>IFERROR(__xludf.DUMMYFUNCTION("""COMPUTED_VALUE"""),"Himay.kumbhani89@gmail.com")</f>
        <v>Himay.kumbhani89@gmail.com</v>
      </c>
      <c r="K31" s="57" t="str">
        <f>IFERROR(__xludf.DUMMYFUNCTION("""COMPUTED_VALUE"""),"https://www.instagram.com/heeemay/")</f>
        <v>https://www.instagram.com/heeemay/</v>
      </c>
      <c r="L31" s="57" t="str">
        <f>IFERROR(__xludf.DUMMYFUNCTION("""COMPUTED_VALUE"""),"https://soundcloud.com/heeemay")</f>
        <v>https://soundcloud.com/heeemay</v>
      </c>
      <c r="M31" s="7"/>
      <c r="N31" s="7"/>
      <c r="O31" s="57" t="str">
        <f>IFERROR(__xludf.DUMMYFUNCTION("""COMPUTED_VALUE"""),"https://soundcloud.com/heeemay")</f>
        <v>https://soundcloud.com/heeemay</v>
      </c>
      <c r="P31" s="62">
        <f t="array" ref="P31">MAX(IF($A31=AB_TF!F:F,AB_TF!D:D))</f>
        <v>0</v>
      </c>
      <c r="Q31" s="63" t="str">
        <f t="array" ref="Q31">INDEX(AB_TF!C:C,MATCH(1,(AB_TF!F:F=A31)*(AB_TF!D:D=P31),0))</f>
        <v>#N/A</v>
      </c>
      <c r="R31" s="63">
        <f>COUNTIFS(AB_TF!F:F,"="&amp;A31,AB_TF!E:E,"Small*")</f>
        <v>0</v>
      </c>
      <c r="S31" s="63">
        <f>COUNTIFS(AB_TF!F:F,"="&amp;A31,AB_TF!E:E,"Medium*")</f>
        <v>0</v>
      </c>
      <c r="T31" s="63">
        <f>COUNTIFS(AB_TF!F:F,"="&amp;A31,AB_TF!E:E,"Large*")</f>
        <v>0</v>
      </c>
      <c r="U31" s="64">
        <f t="shared" si="1"/>
        <v>0</v>
      </c>
    </row>
    <row r="32">
      <c r="A32" s="7">
        <f>IFERROR(__xludf.DUMMYFUNCTION("""COMPUTED_VALUE"""),233.0)</f>
        <v>233</v>
      </c>
      <c r="B32" s="7" t="str">
        <f>IFERROR(__xludf.DUMMYFUNCTION("""COMPUTED_VALUE"""),"Shortsell")</f>
        <v>Shortsell</v>
      </c>
      <c r="C32" s="7" t="str">
        <f>IFERROR(__xludf.DUMMYFUNCTION("""COMPUTED_VALUE"""),"Apoorv Khanna")</f>
        <v>Apoorv Khanna</v>
      </c>
      <c r="D32" s="7"/>
      <c r="E32" s="7"/>
      <c r="F32" s="7"/>
      <c r="G32" s="7" t="str">
        <f>IFERROR(__xludf.DUMMYFUNCTION("""COMPUTED_VALUE"""),"Mumbai, India")</f>
        <v>Mumbai, India</v>
      </c>
      <c r="H32" s="7" t="str">
        <f>IFERROR(__xludf.DUMMYFUNCTION("""COMPUTED_VALUE"""),"DJ")</f>
        <v>DJ</v>
      </c>
      <c r="I32" s="7" t="str">
        <f>IFERROR(__xludf.DUMMYFUNCTION("""COMPUTED_VALUE"""),"Techno, Garage, Genre Agnostic")</f>
        <v>Techno, Garage, Genre Agnostic</v>
      </c>
      <c r="J32" s="7"/>
      <c r="K32" s="57" t="str">
        <f>IFERROR(__xludf.DUMMYFUNCTION("""COMPUTED_VALUE"""),"https://www.instagram.com/shortsell.wav/")</f>
        <v>https://www.instagram.com/shortsell.wav/</v>
      </c>
      <c r="L32" s="57" t="str">
        <f>IFERROR(__xludf.DUMMYFUNCTION("""COMPUTED_VALUE"""),"https://soundcloud.com/djshortsell")</f>
        <v>https://soundcloud.com/djshortsell</v>
      </c>
      <c r="M32" s="7"/>
      <c r="N32" s="7"/>
      <c r="O32" s="57" t="str">
        <f>IFERROR(__xludf.DUMMYFUNCTION("""COMPUTED_VALUE"""),"https://www.mixcloud.com/djshortsell/")</f>
        <v>https://www.mixcloud.com/djshortsell/</v>
      </c>
      <c r="P32" s="62">
        <f t="array" ref="P32">MAX(IF($A32=AB_TF!F:F,AB_TF!D:D))</f>
        <v>0</v>
      </c>
      <c r="Q32" s="63" t="str">
        <f t="array" ref="Q32">INDEX(AB_TF!C:C,MATCH(1,(AB_TF!F:F=A32)*(AB_TF!D:D=P32),0))</f>
        <v>#N/A</v>
      </c>
      <c r="R32" s="63">
        <f>COUNTIFS(AB_TF!F:F,"="&amp;A32,AB_TF!E:E,"Small*")</f>
        <v>0</v>
      </c>
      <c r="S32" s="63">
        <f>COUNTIFS(AB_TF!F:F,"="&amp;A32,AB_TF!E:E,"Medium*")</f>
        <v>0</v>
      </c>
      <c r="T32" s="63">
        <f>COUNTIFS(AB_TF!F:F,"="&amp;A32,AB_TF!E:E,"Large*")</f>
        <v>0</v>
      </c>
      <c r="U32" s="64">
        <f t="shared" si="1"/>
        <v>0</v>
      </c>
    </row>
    <row r="33">
      <c r="A33" s="7">
        <f>IFERROR(__xludf.DUMMYFUNCTION("""COMPUTED_VALUE"""),234.0)</f>
        <v>234</v>
      </c>
      <c r="B33" s="7" t="str">
        <f>IFERROR(__xludf.DUMMYFUNCTION("""COMPUTED_VALUE"""),"IYRE")</f>
        <v>IYRE</v>
      </c>
      <c r="C33" s="7" t="str">
        <f>IFERROR(__xludf.DUMMYFUNCTION("""COMPUTED_VALUE"""),"Sasith Gamage")</f>
        <v>Sasith Gamage</v>
      </c>
      <c r="D33" s="7"/>
      <c r="E33" s="7"/>
      <c r="F33" s="7"/>
      <c r="G33" s="7" t="str">
        <f>IFERROR(__xludf.DUMMYFUNCTION("""COMPUTED_VALUE"""),"Colombo, Sri Lanka")</f>
        <v>Colombo, Sri Lanka</v>
      </c>
      <c r="H33" s="7" t="str">
        <f>IFERROR(__xludf.DUMMYFUNCTION("""COMPUTED_VALUE"""),"DJ")</f>
        <v>DJ</v>
      </c>
      <c r="I33" s="7" t="str">
        <f>IFERROR(__xludf.DUMMYFUNCTION("""COMPUTED_VALUE"""),"DnB")</f>
        <v>DnB</v>
      </c>
      <c r="J33" s="7" t="str">
        <f>IFERROR(__xludf.DUMMYFUNCTION("""COMPUTED_VALUE"""),"leah@theboom.live")</f>
        <v>leah@theboom.live</v>
      </c>
      <c r="K33" s="57" t="str">
        <f>IFERROR(__xludf.DUMMYFUNCTION("""COMPUTED_VALUE"""),"https://www.instagram.com/iyre_dnb/")</f>
        <v>https://www.instagram.com/iyre_dnb/</v>
      </c>
      <c r="L33" s="57" t="str">
        <f>IFERROR(__xludf.DUMMYFUNCTION("""COMPUTED_VALUE"""),"https://soundcloud.com/iyrednb")</f>
        <v>https://soundcloud.com/iyrednb</v>
      </c>
      <c r="M33" s="7"/>
      <c r="N33" s="7"/>
      <c r="O33" s="57" t="str">
        <f>IFERROR(__xludf.DUMMYFUNCTION("""COMPUTED_VALUE"""),"https://linktr.ee/IYREdnb")</f>
        <v>https://linktr.ee/IYREdnb</v>
      </c>
      <c r="P33" s="62">
        <f t="array" ref="P33">MAX(IF($A33=AB_TF!F:F,AB_TF!D:D))</f>
        <v>0</v>
      </c>
      <c r="Q33" s="63" t="str">
        <f t="array" ref="Q33">INDEX(AB_TF!C:C,MATCH(1,(AB_TF!F:F=A33)*(AB_TF!D:D=P33),0))</f>
        <v>#N/A</v>
      </c>
      <c r="R33" s="63">
        <f>COUNTIFS(AB_TF!F:F,"="&amp;A33,AB_TF!E:E,"Small*")</f>
        <v>0</v>
      </c>
      <c r="S33" s="63">
        <f>COUNTIFS(AB_TF!F:F,"="&amp;A33,AB_TF!E:E,"Medium*")</f>
        <v>0</v>
      </c>
      <c r="T33" s="63">
        <f>COUNTIFS(AB_TF!F:F,"="&amp;A33,AB_TF!E:E,"Large*")</f>
        <v>0</v>
      </c>
      <c r="U33" s="64">
        <f t="shared" si="1"/>
        <v>0</v>
      </c>
    </row>
    <row r="34">
      <c r="A34" s="7">
        <f>IFERROR(__xludf.DUMMYFUNCTION("""COMPUTED_VALUE"""),235.0)</f>
        <v>235</v>
      </c>
      <c r="B34" s="7" t="str">
        <f>IFERROR(__xludf.DUMMYFUNCTION("""COMPUTED_VALUE"""),"Jayhaan")</f>
        <v>Jayhaan</v>
      </c>
      <c r="C34" s="7" t="str">
        <f>IFERROR(__xludf.DUMMYFUNCTION("""COMPUTED_VALUE"""),"Jehan Bhesania")</f>
        <v>Jehan Bhesania</v>
      </c>
      <c r="D34" s="7"/>
      <c r="E34" s="7"/>
      <c r="F34" s="7"/>
      <c r="G34" s="7" t="str">
        <f>IFERROR(__xludf.DUMMYFUNCTION("""COMPUTED_VALUE"""),"Mumbai, India")</f>
        <v>Mumbai, India</v>
      </c>
      <c r="H34" s="7" t="str">
        <f>IFERROR(__xludf.DUMMYFUNCTION("""COMPUTED_VALUE"""),"DJ")</f>
        <v>DJ</v>
      </c>
      <c r="I34" s="7" t="str">
        <f>IFERROR(__xludf.DUMMYFUNCTION("""COMPUTED_VALUE"""),"Asian Underground / Open Format / Jersey Club / Trap")</f>
        <v>Asian Underground / Open Format / Jersey Club / Trap</v>
      </c>
      <c r="J34" s="7" t="str">
        <f>IFERROR(__xludf.DUMMYFUNCTION("""COMPUTED_VALUE"""),"contactjayhan@gmail.com")</f>
        <v>contactjayhan@gmail.com</v>
      </c>
      <c r="K34" s="57" t="str">
        <f>IFERROR(__xludf.DUMMYFUNCTION("""COMPUTED_VALUE"""),"https://www.instagram.com/jayhaanofficial/")</f>
        <v>https://www.instagram.com/jayhaanofficial/</v>
      </c>
      <c r="L34" s="57" t="str">
        <f>IFERROR(__xludf.DUMMYFUNCTION("""COMPUTED_VALUE"""),"https://soundcloud.com/jayhaanofficial")</f>
        <v>https://soundcloud.com/jayhaanofficial</v>
      </c>
      <c r="M34" s="7"/>
      <c r="N34" s="7"/>
      <c r="O34" s="57" t="str">
        <f>IFERROR(__xludf.DUMMYFUNCTION("""COMPUTED_VALUE"""),"https://ghelo.biglink.to/jayhaan")</f>
        <v>https://ghelo.biglink.to/jayhaan</v>
      </c>
      <c r="P34" s="62">
        <f t="array" ref="P34">MAX(IF($A34=AB_TF!F:F,AB_TF!D:D))</f>
        <v>0</v>
      </c>
      <c r="Q34" s="63" t="str">
        <f t="array" ref="Q34">INDEX(AB_TF!C:C,MATCH(1,(AB_TF!F:F=A34)*(AB_TF!D:D=P34),0))</f>
        <v>#N/A</v>
      </c>
      <c r="R34" s="63">
        <f>COUNTIFS(AB_TF!F:F,"="&amp;A34,AB_TF!E:E,"Small*")</f>
        <v>0</v>
      </c>
      <c r="S34" s="63">
        <f>COUNTIFS(AB_TF!F:F,"="&amp;A34,AB_TF!E:E,"Medium*")</f>
        <v>0</v>
      </c>
      <c r="T34" s="63">
        <f>COUNTIFS(AB_TF!F:F,"="&amp;A34,AB_TF!E:E,"Large*")</f>
        <v>0</v>
      </c>
      <c r="U34" s="64">
        <f t="shared" si="1"/>
        <v>0</v>
      </c>
    </row>
    <row r="35">
      <c r="A35" s="7">
        <f>IFERROR(__xludf.DUMMYFUNCTION("""COMPUTED_VALUE"""),236.0)</f>
        <v>236</v>
      </c>
      <c r="B35" s="7" t="str">
        <f>IFERROR(__xludf.DUMMYFUNCTION("""COMPUTED_VALUE"""),"Iti")</f>
        <v>Iti</v>
      </c>
      <c r="C35" s="7" t="str">
        <f>IFERROR(__xludf.DUMMYFUNCTION("""COMPUTED_VALUE"""),"Itrat (Iti) Memon")</f>
        <v>Itrat (Iti) Memon</v>
      </c>
      <c r="D35" s="7"/>
      <c r="E35" s="7"/>
      <c r="F35" s="7"/>
      <c r="G35" s="7" t="str">
        <f>IFERROR(__xludf.DUMMYFUNCTION("""COMPUTED_VALUE"""),"Brisbane, Australia")</f>
        <v>Brisbane, Australia</v>
      </c>
      <c r="H35" s="7" t="str">
        <f>IFERROR(__xludf.DUMMYFUNCTION("""COMPUTED_VALUE"""),"DJ, Live Act")</f>
        <v>DJ, Live Act</v>
      </c>
      <c r="I35" s="7" t="str">
        <f>IFERROR(__xludf.DUMMYFUNCTION("""COMPUTED_VALUE"""),"UK Funky, Breaks, Electro, Garage, 2-step, ambient")</f>
        <v>UK Funky, Breaks, Electro, Garage, 2-step, ambient</v>
      </c>
      <c r="J35" s="7" t="str">
        <f>IFERROR(__xludf.DUMMYFUNCTION("""COMPUTED_VALUE"""),"iti@affix.management")</f>
        <v>iti@affix.management</v>
      </c>
      <c r="K35" s="57" t="str">
        <f>IFERROR(__xludf.DUMMYFUNCTION("""COMPUTED_VALUE"""),"https://www.instagram.com/iti______/")</f>
        <v>https://www.instagram.com/iti______/</v>
      </c>
      <c r="L35" s="57" t="str">
        <f>IFERROR(__xludf.DUMMYFUNCTION("""COMPUTED_VALUE"""),"https://soundcloud.com/iti_mqn")</f>
        <v>https://soundcloud.com/iti_mqn</v>
      </c>
      <c r="M35" s="7"/>
      <c r="N35" s="7"/>
      <c r="O35" s="57" t="str">
        <f>IFERROR(__xludf.DUMMYFUNCTION("""COMPUTED_VALUE"""),"https://linktr.ee/iti_")</f>
        <v>https://linktr.ee/iti_</v>
      </c>
      <c r="P35" s="62">
        <f t="array" ref="P35">MAX(IF($A35=AB_TF!F:F,AB_TF!D:D))</f>
        <v>0</v>
      </c>
      <c r="Q35" s="63" t="str">
        <f t="array" ref="Q35">INDEX(AB_TF!C:C,MATCH(1,(AB_TF!F:F=A35)*(AB_TF!D:D=P35),0))</f>
        <v>#N/A</v>
      </c>
      <c r="R35" s="63">
        <f>COUNTIFS(AB_TF!F:F,"="&amp;A35,AB_TF!E:E,"Small*")</f>
        <v>0</v>
      </c>
      <c r="S35" s="63">
        <f>COUNTIFS(AB_TF!F:F,"="&amp;A35,AB_TF!E:E,"Medium*")</f>
        <v>0</v>
      </c>
      <c r="T35" s="63">
        <f>COUNTIFS(AB_TF!F:F,"="&amp;A35,AB_TF!E:E,"Large*")</f>
        <v>0</v>
      </c>
      <c r="U35" s="64">
        <f t="shared" si="1"/>
        <v>0</v>
      </c>
    </row>
    <row r="36">
      <c r="A36" s="7">
        <f>IFERROR(__xludf.DUMMYFUNCTION("""COMPUTED_VALUE"""),237.0)</f>
        <v>237</v>
      </c>
      <c r="B36" s="7" t="str">
        <f>IFERROR(__xludf.DUMMYFUNCTION("""COMPUTED_VALUE"""),"Snad")</f>
        <v>Snad</v>
      </c>
      <c r="C36" s="7" t="str">
        <f>IFERROR(__xludf.DUMMYFUNCTION("""COMPUTED_VALUE"""),"Shyam Anand")</f>
        <v>Shyam Anand</v>
      </c>
      <c r="D36" s="7"/>
      <c r="E36" s="7"/>
      <c r="F36" s="7"/>
      <c r="G36" s="7" t="str">
        <f>IFERROR(__xludf.DUMMYFUNCTION("""COMPUTED_VALUE"""),"Philadelphia, USA/Berlin, Germany")</f>
        <v>Philadelphia, USA/Berlin, Germany</v>
      </c>
      <c r="H36" s="7" t="str">
        <f>IFERROR(__xludf.DUMMYFUNCTION("""COMPUTED_VALUE"""),"DJ")</f>
        <v>DJ</v>
      </c>
      <c r="I36" s="7" t="str">
        <f>IFERROR(__xludf.DUMMYFUNCTION("""COMPUTED_VALUE"""),"house, garage (New York, New Jersey and UK), good tech house")</f>
        <v>house, garage (New York, New Jersey and UK), good tech house</v>
      </c>
      <c r="J36" s="7" t="str">
        <f>IFERROR(__xludf.DUMMYFUNCTION("""COMPUTED_VALUE"""),"snadbad@gmail.com")</f>
        <v>snadbad@gmail.com</v>
      </c>
      <c r="K36" s="57" t="str">
        <f>IFERROR(__xludf.DUMMYFUNCTION("""COMPUTED_VALUE"""),"https://www.instagram.com/snadmusic/")</f>
        <v>https://www.instagram.com/snadmusic/</v>
      </c>
      <c r="L36" s="57" t="str">
        <f>IFERROR(__xludf.DUMMYFUNCTION("""COMPUTED_VALUE"""),"https://soundcloud.com/snad")</f>
        <v>https://soundcloud.com/snad</v>
      </c>
      <c r="M36" s="7"/>
      <c r="N36" s="7"/>
      <c r="O36" s="57" t="str">
        <f>IFERROR(__xludf.DUMMYFUNCTION("""COMPUTED_VALUE"""),"https://linktr.ee/snad")</f>
        <v>https://linktr.ee/snad</v>
      </c>
      <c r="P36" s="62">
        <f t="array" ref="P36">MAX(IF($A36=AB_TF!F:F,AB_TF!D:D))</f>
        <v>0</v>
      </c>
      <c r="Q36" s="63" t="str">
        <f t="array" ref="Q36">INDEX(AB_TF!C:C,MATCH(1,(AB_TF!F:F=A36)*(AB_TF!D:D=P36),0))</f>
        <v>#N/A</v>
      </c>
      <c r="R36" s="63">
        <f>COUNTIFS(AB_TF!F:F,"="&amp;A36,AB_TF!E:E,"Small*")</f>
        <v>0</v>
      </c>
      <c r="S36" s="63">
        <f>COUNTIFS(AB_TF!F:F,"="&amp;A36,AB_TF!E:E,"Medium*")</f>
        <v>0</v>
      </c>
      <c r="T36" s="63">
        <f>COUNTIFS(AB_TF!F:F,"="&amp;A36,AB_TF!E:E,"Large*")</f>
        <v>0</v>
      </c>
      <c r="U36" s="64">
        <f t="shared" si="1"/>
        <v>0</v>
      </c>
    </row>
    <row r="37">
      <c r="A37" s="7">
        <f>IFERROR(__xludf.DUMMYFUNCTION("""COMPUTED_VALUE"""),238.0)</f>
        <v>238</v>
      </c>
      <c r="B37" s="7" t="str">
        <f>IFERROR(__xludf.DUMMYFUNCTION("""COMPUTED_VALUE"""),"Gasing")</f>
        <v>Gasing</v>
      </c>
      <c r="C37" s="7" t="str">
        <f>IFERROR(__xludf.DUMMYFUNCTION("""COMPUTED_VALUE"""),"Akhilan Singam")</f>
        <v>Akhilan Singam</v>
      </c>
      <c r="D37" s="7"/>
      <c r="E37" s="7"/>
      <c r="F37" s="7" t="str">
        <f>IFERROR(__xludf.DUMMYFUNCTION("""COMPUTED_VALUE"""),"Bristol")</f>
        <v>Bristol</v>
      </c>
      <c r="G37" s="7"/>
      <c r="H37" s="7" t="str">
        <f>IFERROR(__xludf.DUMMYFUNCTION("""COMPUTED_VALUE"""),"DJ")</f>
        <v>DJ</v>
      </c>
      <c r="I37" s="7" t="str">
        <f>IFERROR(__xludf.DUMMYFUNCTION("""COMPUTED_VALUE"""),"House, Techno, Garage, Grime, Jungle ")</f>
        <v>House, Techno, Garage, Grime, Jungle </v>
      </c>
      <c r="J37" s="7" t="str">
        <f>IFERROR(__xludf.DUMMYFUNCTION("""COMPUTED_VALUE"""),"akhilan2512@gmail.com")</f>
        <v>akhilan2512@gmail.com</v>
      </c>
      <c r="K37" s="57" t="str">
        <f>IFERROR(__xludf.DUMMYFUNCTION("""COMPUTED_VALUE"""),"www.instagram.com/gasingraised/")</f>
        <v>www.instagram.com/gasingraised/</v>
      </c>
      <c r="L37" s="57" t="str">
        <f>IFERROR(__xludf.DUMMYFUNCTION("""COMPUTED_VALUE"""),"https://soundcloud.com/gasingraised")</f>
        <v>https://soundcloud.com/gasingraised</v>
      </c>
      <c r="M37" s="7"/>
      <c r="N37" s="7"/>
      <c r="O37" s="57" t="str">
        <f>IFERROR(__xludf.DUMMYFUNCTION("""COMPUTED_VALUE"""),"https://www.mixcloud.com/gasingraised/")</f>
        <v>https://www.mixcloud.com/gasingraised/</v>
      </c>
      <c r="P37" s="62">
        <f t="array" ref="P37">MAX(IF($A37=AB_TF!F:F,AB_TF!D:D))</f>
        <v>0</v>
      </c>
      <c r="Q37" s="63" t="str">
        <f t="array" ref="Q37">INDEX(AB_TF!C:C,MATCH(1,(AB_TF!F:F=A37)*(AB_TF!D:D=P37),0))</f>
        <v>#N/A</v>
      </c>
      <c r="R37" s="63">
        <f>COUNTIFS(AB_TF!F:F,"="&amp;A37,AB_TF!E:E,"Small*")</f>
        <v>0</v>
      </c>
      <c r="S37" s="63">
        <f>COUNTIFS(AB_TF!F:F,"="&amp;A37,AB_TF!E:E,"Medium*")</f>
        <v>0</v>
      </c>
      <c r="T37" s="63">
        <f>COUNTIFS(AB_TF!F:F,"="&amp;A37,AB_TF!E:E,"Large*")</f>
        <v>0</v>
      </c>
      <c r="U37" s="64">
        <f t="shared" si="1"/>
        <v>0</v>
      </c>
    </row>
    <row r="38">
      <c r="A38" s="7">
        <f>IFERROR(__xludf.DUMMYFUNCTION("""COMPUTED_VALUE"""),239.0)</f>
        <v>239</v>
      </c>
      <c r="B38" s="7" t="str">
        <f>IFERROR(__xludf.DUMMYFUNCTION("""COMPUTED_VALUE"""),"Kai Kaspar")</f>
        <v>Kai Kaspar</v>
      </c>
      <c r="C38" s="7" t="str">
        <f>IFERROR(__xludf.DUMMYFUNCTION("""COMPUTED_VALUE"""),"Raj Chandrarajah")</f>
        <v>Raj Chandrarajah</v>
      </c>
      <c r="D38" s="7"/>
      <c r="E38" s="7"/>
      <c r="F38" s="7" t="str">
        <f>IFERROR(__xludf.DUMMYFUNCTION("""COMPUTED_VALUE"""),"Glasgow")</f>
        <v>Glasgow</v>
      </c>
      <c r="G38" s="7"/>
      <c r="H38" s="7" t="str">
        <f>IFERROR(__xludf.DUMMYFUNCTION("""COMPUTED_VALUE"""),"DJ")</f>
        <v>DJ</v>
      </c>
      <c r="I38" s="7" t="str">
        <f>IFERROR(__xludf.DUMMYFUNCTION("""COMPUTED_VALUE"""),"House, electro &amp; acid")</f>
        <v>House, electro &amp; acid</v>
      </c>
      <c r="J38" s="7"/>
      <c r="K38" s="7"/>
      <c r="L38" s="7"/>
      <c r="M38" s="7"/>
      <c r="N38" s="7"/>
      <c r="O38" s="57" t="str">
        <f>IFERROR(__xludf.DUMMYFUNCTION("""COMPUTED_VALUE"""),"https://soundcloud.com/clydebuiltradio/kai-kasper-7221")</f>
        <v>https://soundcloud.com/clydebuiltradio/kai-kasper-7221</v>
      </c>
      <c r="P38" s="62">
        <f t="array" ref="P38">MAX(IF($A38=AB_TF!F:F,AB_TF!D:D))</f>
        <v>0</v>
      </c>
      <c r="Q38" s="63" t="str">
        <f t="array" ref="Q38">INDEX(AB_TF!C:C,MATCH(1,(AB_TF!F:F=A38)*(AB_TF!D:D=P38),0))</f>
        <v>#N/A</v>
      </c>
      <c r="R38" s="63">
        <f>COUNTIFS(AB_TF!F:F,"="&amp;A38,AB_TF!E:E,"Small*")</f>
        <v>0</v>
      </c>
      <c r="S38" s="63">
        <f>COUNTIFS(AB_TF!F:F,"="&amp;A38,AB_TF!E:E,"Medium*")</f>
        <v>0</v>
      </c>
      <c r="T38" s="63">
        <f>COUNTIFS(AB_TF!F:F,"="&amp;A38,AB_TF!E:E,"Large*")</f>
        <v>0</v>
      </c>
      <c r="U38" s="64">
        <f t="shared" si="1"/>
        <v>0</v>
      </c>
    </row>
    <row r="39">
      <c r="A39" s="7">
        <f>IFERROR(__xludf.DUMMYFUNCTION("""COMPUTED_VALUE"""),240.0)</f>
        <v>240</v>
      </c>
      <c r="B39" s="7" t="str">
        <f>IFERROR(__xludf.DUMMYFUNCTION("""COMPUTED_VALUE"""),"Full Motion Disaster")</f>
        <v>Full Motion Disaster</v>
      </c>
      <c r="C39" s="7" t="str">
        <f>IFERROR(__xludf.DUMMYFUNCTION("""COMPUTED_VALUE"""),"Aniket Dabholkar")</f>
        <v>Aniket Dabholkar</v>
      </c>
      <c r="D39" s="7"/>
      <c r="E39" s="7"/>
      <c r="F39" s="7"/>
      <c r="G39" s="7" t="str">
        <f>IFERROR(__xludf.DUMMYFUNCTION("""COMPUTED_VALUE"""),"Mumbai, India")</f>
        <v>Mumbai, India</v>
      </c>
      <c r="H39" s="7" t="str">
        <f>IFERROR(__xludf.DUMMYFUNCTION("""COMPUTED_VALUE"""),"DJ")</f>
        <v>DJ</v>
      </c>
      <c r="I39" s="7" t="str">
        <f>IFERROR(__xludf.DUMMYFUNCTION("""COMPUTED_VALUE"""),"Ghettotech, Breaks, Electro, House, Hard Dance")</f>
        <v>Ghettotech, Breaks, Electro, House, Hard Dance</v>
      </c>
      <c r="J39" s="7" t="str">
        <f>IFERROR(__xludf.DUMMYFUNCTION("""COMPUTED_VALUE"""),"fullmotiondisaster@gmail.com")</f>
        <v>fullmotiondisaster@gmail.com</v>
      </c>
      <c r="K39" s="57" t="str">
        <f>IFERROR(__xludf.DUMMYFUNCTION("""COMPUTED_VALUE"""),"https://www.instagram.com/fullmotiondisaster/")</f>
        <v>https://www.instagram.com/fullmotiondisaster/</v>
      </c>
      <c r="L39" s="57" t="str">
        <f>IFERROR(__xludf.DUMMYFUNCTION("""COMPUTED_VALUE"""),"https://soundcloud.com/full-motion-disaster")</f>
        <v>https://soundcloud.com/full-motion-disaster</v>
      </c>
      <c r="M39" s="7"/>
      <c r="N39" s="7"/>
      <c r="O39" s="57" t="str">
        <f>IFERROR(__xludf.DUMMYFUNCTION("""COMPUTED_VALUE"""),"https://soundcloud.com/full-motion-disaster")</f>
        <v>https://soundcloud.com/full-motion-disaster</v>
      </c>
      <c r="P39" s="62">
        <f t="array" ref="P39">MAX(IF($A39=AB_TF!F:F,AB_TF!D:D))</f>
        <v>0</v>
      </c>
      <c r="Q39" s="63" t="str">
        <f t="array" ref="Q39">INDEX(AB_TF!C:C,MATCH(1,(AB_TF!F:F=A39)*(AB_TF!D:D=P39),0))</f>
        <v>#N/A</v>
      </c>
      <c r="R39" s="63">
        <f>COUNTIFS(AB_TF!F:F,"="&amp;A39,AB_TF!E:E,"Small*")</f>
        <v>0</v>
      </c>
      <c r="S39" s="63">
        <f>COUNTIFS(AB_TF!F:F,"="&amp;A39,AB_TF!E:E,"Medium*")</f>
        <v>0</v>
      </c>
      <c r="T39" s="63">
        <f>COUNTIFS(AB_TF!F:F,"="&amp;A39,AB_TF!E:E,"Large*")</f>
        <v>0</v>
      </c>
      <c r="U39" s="64">
        <f t="shared" si="1"/>
        <v>0</v>
      </c>
    </row>
    <row r="40">
      <c r="A40" s="7">
        <f>IFERROR(__xludf.DUMMYFUNCTION("""COMPUTED_VALUE"""),241.0)</f>
        <v>241</v>
      </c>
      <c r="B40" s="7" t="str">
        <f>IFERROR(__xludf.DUMMYFUNCTION("""COMPUTED_VALUE"""),"Cardamami")</f>
        <v>Cardamami</v>
      </c>
      <c r="C40" s="7" t="str">
        <f>IFERROR(__xludf.DUMMYFUNCTION("""COMPUTED_VALUE"""),"Anisa Jackson")</f>
        <v>Anisa Jackson</v>
      </c>
      <c r="D40" s="7"/>
      <c r="E40" s="7"/>
      <c r="F40" s="7"/>
      <c r="G40" s="7" t="str">
        <f>IFERROR(__xludf.DUMMYFUNCTION("""COMPUTED_VALUE"""),"New York, USA")</f>
        <v>New York, USA</v>
      </c>
      <c r="H40" s="7" t="str">
        <f>IFERROR(__xludf.DUMMYFUNCTION("""COMPUTED_VALUE"""),"DJ")</f>
        <v>DJ</v>
      </c>
      <c r="I40" s="7" t="str">
        <f>IFERROR(__xludf.DUMMYFUNCTION("""COMPUTED_VALUE"""),"All")</f>
        <v>All</v>
      </c>
      <c r="J40" s="7" t="str">
        <f>IFERROR(__xludf.DUMMYFUNCTION("""COMPUTED_VALUE"""),"djcardamami@gmail.com")</f>
        <v>djcardamami@gmail.com</v>
      </c>
      <c r="K40" s="57" t="str">
        <f>IFERROR(__xludf.DUMMYFUNCTION("""COMPUTED_VALUE"""),"https://www.instagram.com/djcardamami/")</f>
        <v>https://www.instagram.com/djcardamami/</v>
      </c>
      <c r="L40" s="57" t="str">
        <f>IFERROR(__xludf.DUMMYFUNCTION("""COMPUTED_VALUE"""),"https://soundcloud.com/cardamami")</f>
        <v>https://soundcloud.com/cardamami</v>
      </c>
      <c r="M40" s="7"/>
      <c r="N40" s="7"/>
      <c r="O40" s="57" t="str">
        <f>IFERROR(__xludf.DUMMYFUNCTION("""COMPUTED_VALUE"""),"https://soundcloud.com/cardamami")</f>
        <v>https://soundcloud.com/cardamami</v>
      </c>
      <c r="P40" s="62">
        <f t="array" ref="P40">MAX(IF($A40=AB_TF!F:F,AB_TF!D:D))</f>
        <v>0</v>
      </c>
      <c r="Q40" s="63" t="str">
        <f t="array" ref="Q40">INDEX(AB_TF!C:C,MATCH(1,(AB_TF!F:F=A40)*(AB_TF!D:D=P40),0))</f>
        <v>#N/A</v>
      </c>
      <c r="R40" s="63">
        <f>COUNTIFS(AB_TF!F:F,"="&amp;A40,AB_TF!E:E,"Small*")</f>
        <v>0</v>
      </c>
      <c r="S40" s="63">
        <f>COUNTIFS(AB_TF!F:F,"="&amp;A40,AB_TF!E:E,"Medium*")</f>
        <v>0</v>
      </c>
      <c r="T40" s="63">
        <f>COUNTIFS(AB_TF!F:F,"="&amp;A40,AB_TF!E:E,"Large*")</f>
        <v>0</v>
      </c>
      <c r="U40" s="64">
        <f t="shared" si="1"/>
        <v>0</v>
      </c>
    </row>
    <row r="41">
      <c r="A41" s="7">
        <f>IFERROR(__xludf.DUMMYFUNCTION("""COMPUTED_VALUE"""),242.0)</f>
        <v>242</v>
      </c>
      <c r="B41" s="7" t="str">
        <f>IFERROR(__xludf.DUMMYFUNCTION("""COMPUTED_VALUE"""),"GoodMostlyBad")</f>
        <v>GoodMostlyBad</v>
      </c>
      <c r="C41" s="7" t="str">
        <f>IFERROR(__xludf.DUMMYFUNCTION("""COMPUTED_VALUE"""),"Mehar Bedi")</f>
        <v>Mehar Bedi</v>
      </c>
      <c r="D41" s="7"/>
      <c r="E41" s="7"/>
      <c r="F41" s="7"/>
      <c r="G41" s="7" t="str">
        <f>IFERROR(__xludf.DUMMYFUNCTION("""COMPUTED_VALUE"""),"Doha, Qatar")</f>
        <v>Doha, Qatar</v>
      </c>
      <c r="H41" s="7" t="str">
        <f>IFERROR(__xludf.DUMMYFUNCTION("""COMPUTED_VALUE"""),"DJ")</f>
        <v>DJ</v>
      </c>
      <c r="I41" s="7" t="str">
        <f>IFERROR(__xludf.DUMMYFUNCTION("""COMPUTED_VALUE"""),"ASS CLAPS ONLY (Hiphop,Afrobeats, Amapiano,UKG,Bass,Dancehall,Trap etc)")</f>
        <v>ASS CLAPS ONLY (Hiphop,Afrobeats, Amapiano,UKG,Bass,Dancehall,Trap etc)</v>
      </c>
      <c r="J41" s="7" t="str">
        <f>IFERROR(__xludf.DUMMYFUNCTION("""COMPUTED_VALUE"""),"mehar.bedi@gmail.com")</f>
        <v>mehar.bedi@gmail.com</v>
      </c>
      <c r="K41" s="57" t="str">
        <f>IFERROR(__xludf.DUMMYFUNCTION("""COMPUTED_VALUE"""),"https://www.instagram.com/goodmostlybad__/")</f>
        <v>https://www.instagram.com/goodmostlybad__/</v>
      </c>
      <c r="L41" s="57" t="str">
        <f>IFERROR(__xludf.DUMMYFUNCTION("""COMPUTED_VALUE"""),"https://soundcloud.com/goodmostlybad")</f>
        <v>https://soundcloud.com/goodmostlybad</v>
      </c>
      <c r="M41" s="7"/>
      <c r="N41" s="7"/>
      <c r="O41" s="57" t="str">
        <f>IFERROR(__xludf.DUMMYFUNCTION("""COMPUTED_VALUE"""),"https://soundcloud.com/goodmostlybad")</f>
        <v>https://soundcloud.com/goodmostlybad</v>
      </c>
      <c r="P41" s="62">
        <f t="array" ref="P41">MAX(IF($A41=AB_TF!F:F,AB_TF!D:D))</f>
        <v>0</v>
      </c>
      <c r="Q41" s="63" t="str">
        <f t="array" ref="Q41">INDEX(AB_TF!C:C,MATCH(1,(AB_TF!F:F=A41)*(AB_TF!D:D=P41),0))</f>
        <v>#N/A</v>
      </c>
      <c r="R41" s="63">
        <f>COUNTIFS(AB_TF!F:F,"="&amp;A41,AB_TF!E:E,"Small*")</f>
        <v>0</v>
      </c>
      <c r="S41" s="63">
        <f>COUNTIFS(AB_TF!F:F,"="&amp;A41,AB_TF!E:E,"Medium*")</f>
        <v>0</v>
      </c>
      <c r="T41" s="63">
        <f>COUNTIFS(AB_TF!F:F,"="&amp;A41,AB_TF!E:E,"Large*")</f>
        <v>0</v>
      </c>
      <c r="U41" s="64">
        <f t="shared" si="1"/>
        <v>0</v>
      </c>
    </row>
    <row r="42">
      <c r="A42" s="7">
        <f>IFERROR(__xludf.DUMMYFUNCTION("""COMPUTED_VALUE"""),243.0)</f>
        <v>243</v>
      </c>
      <c r="B42" s="7" t="str">
        <f>IFERROR(__xludf.DUMMYFUNCTION("""COMPUTED_VALUE"""),"Liyo / RISE / JDS")</f>
        <v>Liyo / RISE / JDS</v>
      </c>
      <c r="C42" s="7" t="str">
        <f>IFERROR(__xludf.DUMMYFUNCTION("""COMPUTED_VALUE"""),"Josh de Silva")</f>
        <v>Josh de Silva</v>
      </c>
      <c r="D42" s="7"/>
      <c r="E42" s="7"/>
      <c r="F42" s="7" t="str">
        <f>IFERROR(__xludf.DUMMYFUNCTION("""COMPUTED_VALUE"""),"London")</f>
        <v>London</v>
      </c>
      <c r="G42" s="7"/>
      <c r="H42" s="7" t="str">
        <f>IFERROR(__xludf.DUMMYFUNCTION("""COMPUTED_VALUE"""),"DJ")</f>
        <v>DJ</v>
      </c>
      <c r="I42" s="7" t="str">
        <f>IFERROR(__xludf.DUMMYFUNCTION("""COMPUTED_VALUE"""),"Techno, Dubstep, Jungle, Garage, Electro etc etc")</f>
        <v>Techno, Dubstep, Jungle, Garage, Electro etc etc</v>
      </c>
      <c r="J42" s="7" t="str">
        <f>IFERROR(__xludf.DUMMYFUNCTION("""COMPUTED_VALUE"""),"josh@onehouse.com")</f>
        <v>josh@onehouse.com</v>
      </c>
      <c r="K42" s="57" t="str">
        <f>IFERROR(__xludf.DUMMYFUNCTION("""COMPUTED_VALUE"""),"https://www.instagram.com/j___d___s___/")</f>
        <v>https://www.instagram.com/j___d___s___/</v>
      </c>
      <c r="L42" s="7"/>
      <c r="M42" s="7"/>
      <c r="N42" s="7"/>
      <c r="O42" s="57" t="str">
        <f>IFERROR(__xludf.DUMMYFUNCTION("""COMPUTED_VALUE"""),"https://www.instagram.com/j___d___s___/")</f>
        <v>https://www.instagram.com/j___d___s___/</v>
      </c>
      <c r="P42" s="62">
        <f t="array" ref="P42">MAX(IF($A42=AB_TF!F:F,AB_TF!D:D))</f>
        <v>0</v>
      </c>
      <c r="Q42" s="63" t="str">
        <f t="array" ref="Q42">INDEX(AB_TF!C:C,MATCH(1,(AB_TF!F:F=A42)*(AB_TF!D:D=P42),0))</f>
        <v>#N/A</v>
      </c>
      <c r="R42" s="63">
        <f>COUNTIFS(AB_TF!F:F,"="&amp;A42,AB_TF!E:E,"Small*")</f>
        <v>0</v>
      </c>
      <c r="S42" s="63">
        <f>COUNTIFS(AB_TF!F:F,"="&amp;A42,AB_TF!E:E,"Medium*")</f>
        <v>0</v>
      </c>
      <c r="T42" s="63">
        <f>COUNTIFS(AB_TF!F:F,"="&amp;A42,AB_TF!E:E,"Large*")</f>
        <v>0</v>
      </c>
      <c r="U42" s="64">
        <f t="shared" si="1"/>
        <v>0</v>
      </c>
    </row>
    <row r="43">
      <c r="A43" s="7">
        <f>IFERROR(__xludf.DUMMYFUNCTION("""COMPUTED_VALUE"""),244.0)</f>
        <v>244</v>
      </c>
      <c r="B43" s="7" t="str">
        <f>IFERROR(__xludf.DUMMYFUNCTION("""COMPUTED_VALUE"""),"Darama")</f>
        <v>Darama</v>
      </c>
      <c r="C43" s="7" t="str">
        <f>IFERROR(__xludf.DUMMYFUNCTION("""COMPUTED_VALUE"""),"Dhillon Chhabra")</f>
        <v>Dhillon Chhabra</v>
      </c>
      <c r="D43" s="7"/>
      <c r="E43" s="7"/>
      <c r="F43" s="7" t="str">
        <f>IFERROR(__xludf.DUMMYFUNCTION("""COMPUTED_VALUE"""),"London, Manchester, Leeds")</f>
        <v>London, Manchester, Leeds</v>
      </c>
      <c r="G43" s="7"/>
      <c r="H43" s="7" t="str">
        <f>IFERROR(__xludf.DUMMYFUNCTION("""COMPUTED_VALUE"""),"DJ")</f>
        <v>DJ</v>
      </c>
      <c r="I43" s="7" t="str">
        <f>IFERROR(__xludf.DUMMYFUNCTION("""COMPUTED_VALUE"""),"UK Bass, anything percussive, Grime, Drill, House,Techno, UK Funky, UKG, Disco")</f>
        <v>UK Bass, anything percussive, Grime, Drill, House,Techno, UK Funky, UKG, Disco</v>
      </c>
      <c r="J43" s="7" t="str">
        <f>IFERROR(__xludf.DUMMYFUNCTION("""COMPUTED_VALUE"""),"darama@daytimers.org")</f>
        <v>darama@daytimers.org</v>
      </c>
      <c r="K43" s="57" t="str">
        <f>IFERROR(__xludf.DUMMYFUNCTION("""COMPUTED_VALUE"""),"https://www.instagram.com/daramadj/")</f>
        <v>https://www.instagram.com/daramadj/</v>
      </c>
      <c r="L43" s="57" t="str">
        <f>IFERROR(__xludf.DUMMYFUNCTION("""COMPUTED_VALUE"""),"https://soundcloud.com/daramadj")</f>
        <v>https://soundcloud.com/daramadj</v>
      </c>
      <c r="M43" s="7"/>
      <c r="N43" s="7"/>
      <c r="O43" s="57" t="str">
        <f>IFERROR(__xludf.DUMMYFUNCTION("""COMPUTED_VALUE"""),"https://soundcloud.com/daramadj")</f>
        <v>https://soundcloud.com/daramadj</v>
      </c>
      <c r="P43" s="62">
        <f t="array" ref="P43">MAX(IF($A43=AB_TF!F:F,AB_TF!D:D))</f>
        <v>0</v>
      </c>
      <c r="Q43" s="63" t="str">
        <f t="array" ref="Q43">INDEX(AB_TF!C:C,MATCH(1,(AB_TF!F:F=A43)*(AB_TF!D:D=P43),0))</f>
        <v>#N/A</v>
      </c>
      <c r="R43" s="63">
        <f>COUNTIFS(AB_TF!F:F,"="&amp;A43,AB_TF!E:E,"Small*")</f>
        <v>0</v>
      </c>
      <c r="S43" s="63">
        <f>COUNTIFS(AB_TF!F:F,"="&amp;A43,AB_TF!E:E,"Medium*")</f>
        <v>0</v>
      </c>
      <c r="T43" s="63">
        <f>COUNTIFS(AB_TF!F:F,"="&amp;A43,AB_TF!E:E,"Large*")</f>
        <v>0</v>
      </c>
      <c r="U43" s="64">
        <f t="shared" si="1"/>
        <v>0</v>
      </c>
    </row>
    <row r="44">
      <c r="A44" s="7">
        <f>IFERROR(__xludf.DUMMYFUNCTION("""COMPUTED_VALUE"""),245.0)</f>
        <v>245</v>
      </c>
      <c r="B44" s="7" t="str">
        <f>IFERROR(__xludf.DUMMYFUNCTION("""COMPUTED_VALUE"""),"Ash Lovecraft")</f>
        <v>Ash Lovecraft</v>
      </c>
      <c r="C44" s="7" t="str">
        <f>IFERROR(__xludf.DUMMYFUNCTION("""COMPUTED_VALUE"""),"Kashif Majeed")</f>
        <v>Kashif Majeed</v>
      </c>
      <c r="D44" s="7"/>
      <c r="E44" s="7"/>
      <c r="F44" s="7"/>
      <c r="G44" s="7" t="str">
        <f>IFERROR(__xludf.DUMMYFUNCTION("""COMPUTED_VALUE"""),"Toronto, Canada")</f>
        <v>Toronto, Canada</v>
      </c>
      <c r="H44" s="7" t="str">
        <f>IFERROR(__xludf.DUMMYFUNCTION("""COMPUTED_VALUE"""),"DJ")</f>
        <v>DJ</v>
      </c>
      <c r="I44" s="7" t="str">
        <f>IFERROR(__xludf.DUMMYFUNCTION("""COMPUTED_VALUE"""),"Moombahton/Dancehall")</f>
        <v>Moombahton/Dancehall</v>
      </c>
      <c r="J44" s="7" t="str">
        <f>IFERROR(__xludf.DUMMYFUNCTION("""COMPUTED_VALUE"""),"ashlovecraftmusic@gmail.com")</f>
        <v>ashlovecraftmusic@gmail.com</v>
      </c>
      <c r="K44" s="57" t="str">
        <f>IFERROR(__xludf.DUMMYFUNCTION("""COMPUTED_VALUE"""),"https://www.instagram.com/ashlovecraft/")</f>
        <v>https://www.instagram.com/ashlovecraft/</v>
      </c>
      <c r="L44" s="7"/>
      <c r="M44" s="7"/>
      <c r="N44" s="7"/>
      <c r="O44" s="57" t="str">
        <f>IFERROR(__xludf.DUMMYFUNCTION("""COMPUTED_VALUE"""),"https://www.youtube.com/watch?v=JhsZSmVNGPw")</f>
        <v>https://www.youtube.com/watch?v=JhsZSmVNGPw</v>
      </c>
      <c r="P44" s="62">
        <f t="array" ref="P44">MAX(IF($A44=AB_TF!F:F,AB_TF!D:D))</f>
        <v>0</v>
      </c>
      <c r="Q44" s="63" t="str">
        <f t="array" ref="Q44">INDEX(AB_TF!C:C,MATCH(1,(AB_TF!F:F=A44)*(AB_TF!D:D=P44),0))</f>
        <v>#N/A</v>
      </c>
      <c r="R44" s="63">
        <f>COUNTIFS(AB_TF!F:F,"="&amp;A44,AB_TF!E:E,"Small*")</f>
        <v>0</v>
      </c>
      <c r="S44" s="63">
        <f>COUNTIFS(AB_TF!F:F,"="&amp;A44,AB_TF!E:E,"Medium*")</f>
        <v>0</v>
      </c>
      <c r="T44" s="63">
        <f>COUNTIFS(AB_TF!F:F,"="&amp;A44,AB_TF!E:E,"Large*")</f>
        <v>0</v>
      </c>
      <c r="U44" s="64">
        <f t="shared" si="1"/>
        <v>0</v>
      </c>
    </row>
    <row r="45">
      <c r="A45" s="7">
        <f>IFERROR(__xludf.DUMMYFUNCTION("""COMPUTED_VALUE"""),246.0)</f>
        <v>246</v>
      </c>
      <c r="B45" s="7" t="str">
        <f>IFERROR(__xludf.DUMMYFUNCTION("""COMPUTED_VALUE"""),"Adnan.Afghani")</f>
        <v>Adnan.Afghani</v>
      </c>
      <c r="C45" s="7" t="str">
        <f>IFERROR(__xludf.DUMMYFUNCTION("""COMPUTED_VALUE"""),"Adnan")</f>
        <v>Adnan</v>
      </c>
      <c r="D45" s="7"/>
      <c r="E45" s="7"/>
      <c r="F45" s="7" t="str">
        <f>IFERROR(__xludf.DUMMYFUNCTION("""COMPUTED_VALUE"""),"London")</f>
        <v>London</v>
      </c>
      <c r="G45" s="7"/>
      <c r="H45" s="7" t="str">
        <f>IFERROR(__xludf.DUMMYFUNCTION("""COMPUTED_VALUE"""),"DJ")</f>
        <v>DJ</v>
      </c>
      <c r="I45" s="7" t="str">
        <f>IFERROR(__xludf.DUMMYFUNCTION("""COMPUTED_VALUE"""),"""140/160 (techno/breaks/idm/dubstep) +experimental""")</f>
        <v>"140/160 (techno/breaks/idm/dubstep) +experimental"</v>
      </c>
      <c r="J45" s="7" t="str">
        <f>IFERROR(__xludf.DUMMYFUNCTION("""COMPUTED_VALUE"""),"-")</f>
        <v>-</v>
      </c>
      <c r="K45" s="7"/>
      <c r="L45" s="57" t="str">
        <f>IFERROR(__xludf.DUMMYFUNCTION("""COMPUTED_VALUE"""),"https://soundcloud.com/daytimers_uk/adnan-afghani-disoriented-rhythms")</f>
        <v>https://soundcloud.com/daytimers_uk/adnan-afghani-disoriented-rhythms</v>
      </c>
      <c r="M45" s="7"/>
      <c r="N45" s="7"/>
      <c r="O45" s="57" t="str">
        <f>IFERROR(__xludf.DUMMYFUNCTION("""COMPUTED_VALUE"""),"https://linktr.ee/adnan1198?fbclid=IwAR1RFFnK-rK7SohrsOqfXMyTqflU4LM_MhHgXmHq3o3qZ4QmW9sHmiT9kKk")</f>
        <v>https://linktr.ee/adnan1198?fbclid=IwAR1RFFnK-rK7SohrsOqfXMyTqflU4LM_MhHgXmHq3o3qZ4QmW9sHmiT9kKk</v>
      </c>
      <c r="P45" s="62">
        <f t="array" ref="P45">MAX(IF($A45=AB_TF!F:F,AB_TF!D:D))</f>
        <v>0</v>
      </c>
      <c r="Q45" s="63" t="str">
        <f t="array" ref="Q45">INDEX(AB_TF!C:C,MATCH(1,(AB_TF!F:F=A45)*(AB_TF!D:D=P45),0))</f>
        <v>#N/A</v>
      </c>
      <c r="R45" s="63">
        <f>COUNTIFS(AB_TF!F:F,"="&amp;A45,AB_TF!E:E,"Small*")</f>
        <v>0</v>
      </c>
      <c r="S45" s="63">
        <f>COUNTIFS(AB_TF!F:F,"="&amp;A45,AB_TF!E:E,"Medium*")</f>
        <v>0</v>
      </c>
      <c r="T45" s="63">
        <f>COUNTIFS(AB_TF!F:F,"="&amp;A45,AB_TF!E:E,"Large*")</f>
        <v>0</v>
      </c>
      <c r="U45" s="64">
        <f t="shared" si="1"/>
        <v>0</v>
      </c>
    </row>
    <row r="46">
      <c r="A46" s="7">
        <f>IFERROR(__xludf.DUMMYFUNCTION("""COMPUTED_VALUE"""),247.0)</f>
        <v>247</v>
      </c>
      <c r="B46" s="7" t="str">
        <f>IFERROR(__xludf.DUMMYFUNCTION("""COMPUTED_VALUE"""),"Dushume")</f>
        <v>Dushume</v>
      </c>
      <c r="C46" s="7" t="str">
        <f>IFERROR(__xludf.DUMMYFUNCTION("""COMPUTED_VALUE"""),"Dr Amit Dinesh Patel")</f>
        <v>Dr Amit Dinesh Patel</v>
      </c>
      <c r="D46" s="7"/>
      <c r="E46" s="7"/>
      <c r="F46" s="7" t="str">
        <f>IFERROR(__xludf.DUMMYFUNCTION("""COMPUTED_VALUE"""),"Leicester")</f>
        <v>Leicester</v>
      </c>
      <c r="G46" s="7"/>
      <c r="H46" s="7" t="str">
        <f>IFERROR(__xludf.DUMMYFUNCTION("""COMPUTED_VALUE"""),"DJ, Live Act")</f>
        <v>DJ, Live Act</v>
      </c>
      <c r="I46" s="7" t="str">
        <f>IFERROR(__xludf.DUMMYFUNCTION("""COMPUTED_VALUE"""),"Noise, Experimental Sound, Glitch, Electroacoustic music, Sound Art, Live Electronics")</f>
        <v>Noise, Experimental Sound, Glitch, Electroacoustic music, Sound Art, Live Electronics</v>
      </c>
      <c r="J46" s="7" t="str">
        <f>IFERROR(__xludf.DUMMYFUNCTION("""COMPUTED_VALUE"""),"djdushume@gmail.com")</f>
        <v>djdushume@gmail.com</v>
      </c>
      <c r="K46" s="57" t="str">
        <f>IFERROR(__xludf.DUMMYFUNCTION("""COMPUTED_VALUE"""),"http://www.instagram.com/dushume")</f>
        <v>http://www.instagram.com/dushume</v>
      </c>
      <c r="L46" s="57" t="str">
        <f>IFERROR(__xludf.DUMMYFUNCTION("""COMPUTED_VALUE"""),"https://soundcloud.com/dushume")</f>
        <v>https://soundcloud.com/dushume</v>
      </c>
      <c r="M46" s="7"/>
      <c r="N46" s="7"/>
      <c r="O46" s="57" t="str">
        <f>IFERROR(__xludf.DUMMYFUNCTION("""COMPUTED_VALUE"""),"https://soundcloud.com/dushume")</f>
        <v>https://soundcloud.com/dushume</v>
      </c>
      <c r="P46" s="62">
        <f t="array" ref="P46">MAX(IF($A46=AB_TF!F:F,AB_TF!D:D))</f>
        <v>0</v>
      </c>
      <c r="Q46" s="63" t="str">
        <f t="array" ref="Q46">INDEX(AB_TF!C:C,MATCH(1,(AB_TF!F:F=A46)*(AB_TF!D:D=P46),0))</f>
        <v>#N/A</v>
      </c>
      <c r="R46" s="63">
        <f>COUNTIFS(AB_TF!F:F,"="&amp;A46,AB_TF!E:E,"Small*")</f>
        <v>0</v>
      </c>
      <c r="S46" s="63">
        <f>COUNTIFS(AB_TF!F:F,"="&amp;A46,AB_TF!E:E,"Medium*")</f>
        <v>0</v>
      </c>
      <c r="T46" s="63">
        <f>COUNTIFS(AB_TF!F:F,"="&amp;A46,AB_TF!E:E,"Large*")</f>
        <v>0</v>
      </c>
      <c r="U46" s="64">
        <f t="shared" si="1"/>
        <v>0</v>
      </c>
    </row>
    <row r="47">
      <c r="A47" s="7">
        <f>IFERROR(__xludf.DUMMYFUNCTION("""COMPUTED_VALUE"""),248.0)</f>
        <v>248</v>
      </c>
      <c r="B47" s="7" t="str">
        <f>IFERROR(__xludf.DUMMYFUNCTION("""COMPUTED_VALUE"""),"Ghosty")</f>
        <v>Ghosty</v>
      </c>
      <c r="C47" s="7" t="str">
        <f>IFERROR(__xludf.DUMMYFUNCTION("""COMPUTED_VALUE"""),"Nik Sahdev")</f>
        <v>Nik Sahdev</v>
      </c>
      <c r="D47" s="7"/>
      <c r="E47" s="7"/>
      <c r="F47" s="7" t="str">
        <f>IFERROR(__xludf.DUMMYFUNCTION("""COMPUTED_VALUE"""),"Liverpool")</f>
        <v>Liverpool</v>
      </c>
      <c r="G47" s="7"/>
      <c r="H47" s="7" t="str">
        <f>IFERROR(__xludf.DUMMYFUNCTION("""COMPUTED_VALUE"""),"DJ")</f>
        <v>DJ</v>
      </c>
      <c r="I47" s="7" t="str">
        <f>IFERROR(__xludf.DUMMYFUNCTION("""COMPUTED_VALUE"""),"Jungle, DnB")</f>
        <v>Jungle, DnB</v>
      </c>
      <c r="J47" s="7" t="str">
        <f>IFERROR(__xludf.DUMMYFUNCTION("""COMPUTED_VALUE"""),"Dnbghosty@gmail.com ")</f>
        <v>Dnbghosty@gmail.com </v>
      </c>
      <c r="K47" s="57" t="str">
        <f>IFERROR(__xludf.DUMMYFUNCTION("""COMPUTED_VALUE"""),"Www.Instagram.com/Nik.ghosty")</f>
        <v>Www.Instagram.com/Nik.ghosty</v>
      </c>
      <c r="L47" s="57" t="str">
        <f>IFERROR(__xludf.DUMMYFUNCTION("""COMPUTED_VALUE"""),"https://soundcloud.app.goo.gl/jvRkYtRdQbaamWh8A")</f>
        <v>https://soundcloud.app.goo.gl/jvRkYtRdQbaamWh8A</v>
      </c>
      <c r="M47" s="7"/>
      <c r="N47" s="7"/>
      <c r="O47" s="57" t="str">
        <f>IFERROR(__xludf.DUMMYFUNCTION("""COMPUTED_VALUE"""),"https://soundcloud.app.goo.gl/jvRkYtRdQbaamWh8A")</f>
        <v>https://soundcloud.app.goo.gl/jvRkYtRdQbaamWh8A</v>
      </c>
      <c r="P47" s="62">
        <f t="array" ref="P47">MAX(IF($A47=AB_TF!F:F,AB_TF!D:D))</f>
        <v>0</v>
      </c>
      <c r="Q47" s="63" t="str">
        <f t="array" ref="Q47">INDEX(AB_TF!C:C,MATCH(1,(AB_TF!F:F=A47)*(AB_TF!D:D=P47),0))</f>
        <v>#N/A</v>
      </c>
      <c r="R47" s="63">
        <f>COUNTIFS(AB_TF!F:F,"="&amp;A47,AB_TF!E:E,"Small*")</f>
        <v>0</v>
      </c>
      <c r="S47" s="63">
        <f>COUNTIFS(AB_TF!F:F,"="&amp;A47,AB_TF!E:E,"Medium*")</f>
        <v>0</v>
      </c>
      <c r="T47" s="63">
        <f>COUNTIFS(AB_TF!F:F,"="&amp;A47,AB_TF!E:E,"Large*")</f>
        <v>0</v>
      </c>
      <c r="U47" s="64">
        <f t="shared" si="1"/>
        <v>0</v>
      </c>
    </row>
    <row r="48">
      <c r="A48" s="7">
        <f>IFERROR(__xludf.DUMMYFUNCTION("""COMPUTED_VALUE"""),249.0)</f>
        <v>249</v>
      </c>
      <c r="B48" s="7" t="str">
        <f>IFERROR(__xludf.DUMMYFUNCTION("""COMPUTED_VALUE"""),"ORDERLY ROOM")</f>
        <v>ORDERLY ROOM</v>
      </c>
      <c r="C48" s="7" t="str">
        <f>IFERROR(__xludf.DUMMYFUNCTION("""COMPUTED_VALUE"""),"Dani Wijesinghe")</f>
        <v>Dani Wijesinghe</v>
      </c>
      <c r="D48" s="7"/>
      <c r="E48" s="7"/>
      <c r="F48" s="7" t="str">
        <f>IFERROR(__xludf.DUMMYFUNCTION("""COMPUTED_VALUE"""),"Bristol")</f>
        <v>Bristol</v>
      </c>
      <c r="G48" s="7"/>
      <c r="H48" s="7" t="str">
        <f>IFERROR(__xludf.DUMMYFUNCTION("""COMPUTED_VALUE"""),"DJ")</f>
        <v>DJ</v>
      </c>
      <c r="I48" s="7" t="str">
        <f>IFERROR(__xludf.DUMMYFUNCTION("""COMPUTED_VALUE"""),"bass music, deconstructed club, hard drum, techno, noise, industril")</f>
        <v>bass music, deconstructed club, hard drum, techno, noise, industril</v>
      </c>
      <c r="J48" s="7" t="str">
        <f>IFERROR(__xludf.DUMMYFUNCTION("""COMPUTED_VALUE"""),"wijesinghedani@gmail.com")</f>
        <v>wijesinghedani@gmail.com</v>
      </c>
      <c r="K48" s="57" t="str">
        <f>IFERROR(__xludf.DUMMYFUNCTION("""COMPUTED_VALUE"""),"https://www.instagram.com/acertainknot/")</f>
        <v>https://www.instagram.com/acertainknot/</v>
      </c>
      <c r="L48" s="57" t="str">
        <f>IFERROR(__xludf.DUMMYFUNCTION("""COMPUTED_VALUE"""),"https://soundcloud.com/orderly-room")</f>
        <v>https://soundcloud.com/orderly-room</v>
      </c>
      <c r="M48" s="7"/>
      <c r="N48" s="7"/>
      <c r="O48" s="57" t="str">
        <f>IFERROR(__xludf.DUMMYFUNCTION("""COMPUTED_VALUE"""),"https://soundcloud.com/orderly-room")</f>
        <v>https://soundcloud.com/orderly-room</v>
      </c>
      <c r="P48" s="62">
        <f t="array" ref="P48">MAX(IF($A48=AB_TF!F:F,AB_TF!D:D))</f>
        <v>0</v>
      </c>
      <c r="Q48" s="63" t="str">
        <f t="array" ref="Q48">INDEX(AB_TF!C:C,MATCH(1,(AB_TF!F:F=A48)*(AB_TF!D:D=P48),0))</f>
        <v>#N/A</v>
      </c>
      <c r="R48" s="63">
        <f>COUNTIFS(AB_TF!F:F,"="&amp;A48,AB_TF!E:E,"Small*")</f>
        <v>0</v>
      </c>
      <c r="S48" s="63">
        <f>COUNTIFS(AB_TF!F:F,"="&amp;A48,AB_TF!E:E,"Medium*")</f>
        <v>0</v>
      </c>
      <c r="T48" s="63">
        <f>COUNTIFS(AB_TF!F:F,"="&amp;A48,AB_TF!E:E,"Large*")</f>
        <v>0</v>
      </c>
      <c r="U48" s="64">
        <f t="shared" si="1"/>
        <v>0</v>
      </c>
    </row>
    <row r="49">
      <c r="A49" s="7">
        <f>IFERROR(__xludf.DUMMYFUNCTION("""COMPUTED_VALUE"""),250.0)</f>
        <v>250</v>
      </c>
      <c r="B49" s="7" t="str">
        <f>IFERROR(__xludf.DUMMYFUNCTION("""COMPUTED_VALUE"""),"JAY TAPES")</f>
        <v>JAY TAPES</v>
      </c>
      <c r="C49" s="7" t="str">
        <f>IFERROR(__xludf.DUMMYFUNCTION("""COMPUTED_VALUE"""),"Vijay Patel")</f>
        <v>Vijay Patel</v>
      </c>
      <c r="D49" s="7"/>
      <c r="E49" s="7"/>
      <c r="F49" s="7" t="str">
        <f>IFERROR(__xludf.DUMMYFUNCTION("""COMPUTED_VALUE"""),"London")</f>
        <v>London</v>
      </c>
      <c r="G49" s="7"/>
      <c r="H49" s="7" t="str">
        <f>IFERROR(__xludf.DUMMYFUNCTION("""COMPUTED_VALUE"""),"DJ")</f>
        <v>DJ</v>
      </c>
      <c r="I49" s="7" t="str">
        <f>IFERROR(__xludf.DUMMYFUNCTION("""COMPUTED_VALUE"""),"House, Techno, Electro, Breaks, Dubstep, Footwork, Reggaeton /Baile, Jungle, etc")</f>
        <v>House, Techno, Electro, Breaks, Dubstep, Footwork, Reggaeton /Baile, Jungle, etc</v>
      </c>
      <c r="J49" s="7" t="str">
        <f>IFERROR(__xludf.DUMMYFUNCTION("""COMPUTED_VALUE"""),"jaytapesmusic@gmail.com")</f>
        <v>jaytapesmusic@gmail.com</v>
      </c>
      <c r="K49" s="57" t="str">
        <f>IFERROR(__xludf.DUMMYFUNCTION("""COMPUTED_VALUE"""),"https://www.instagram.com/jay.tapes/")</f>
        <v>https://www.instagram.com/jay.tapes/</v>
      </c>
      <c r="L49" s="57" t="str">
        <f>IFERROR(__xludf.DUMMYFUNCTION("""COMPUTED_VALUE"""),"https://soundcloud.com/jaytapes")</f>
        <v>https://soundcloud.com/jaytapes</v>
      </c>
      <c r="M49" s="57" t="str">
        <f>IFERROR(__xludf.DUMMYFUNCTION("""COMPUTED_VALUE"""),"https://www.tiktok.com/@jaytapes")</f>
        <v>https://www.tiktok.com/@jaytapes</v>
      </c>
      <c r="N49" s="57" t="str">
        <f>IFERROR(__xludf.DUMMYFUNCTION("""COMPUTED_VALUE"""),"https://linktr.ee/jaytapes")</f>
        <v>https://linktr.ee/jaytapes</v>
      </c>
      <c r="O49" s="57" t="str">
        <f>IFERROR(__xludf.DUMMYFUNCTION("""COMPUTED_VALUE"""),"https://www.mixcloud.com/jaytapesmusic/")</f>
        <v>https://www.mixcloud.com/jaytapesmusic/</v>
      </c>
      <c r="P49" s="62">
        <f t="array" ref="P49">MAX(IF($A49=AB_TF!F:F,AB_TF!D:D))</f>
        <v>0</v>
      </c>
      <c r="Q49" s="63" t="str">
        <f t="array" ref="Q49">INDEX(AB_TF!C:C,MATCH(1,(AB_TF!F:F=A49)*(AB_TF!D:D=P49),0))</f>
        <v>#N/A</v>
      </c>
      <c r="R49" s="63">
        <f>COUNTIFS(AB_TF!F:F,"="&amp;A49,AB_TF!E:E,"Small*")</f>
        <v>0</v>
      </c>
      <c r="S49" s="63">
        <f>COUNTIFS(AB_TF!F:F,"="&amp;A49,AB_TF!E:E,"Medium*")</f>
        <v>0</v>
      </c>
      <c r="T49" s="63">
        <f>COUNTIFS(AB_TF!F:F,"="&amp;A49,AB_TF!E:E,"Large*")</f>
        <v>0</v>
      </c>
      <c r="U49" s="64">
        <f t="shared" si="1"/>
        <v>0</v>
      </c>
    </row>
    <row r="50">
      <c r="A50" s="7">
        <f>IFERROR(__xludf.DUMMYFUNCTION("""COMPUTED_VALUE"""),251.0)</f>
        <v>251</v>
      </c>
      <c r="B50" s="7" t="str">
        <f>IFERROR(__xludf.DUMMYFUNCTION("""COMPUTED_VALUE"""),"élan vital")</f>
        <v>élan vital</v>
      </c>
      <c r="C50" s="7" t="str">
        <f>IFERROR(__xludf.DUMMYFUNCTION("""COMPUTED_VALUE"""),"Pranam Mavahalli")</f>
        <v>Pranam Mavahalli</v>
      </c>
      <c r="D50" s="7"/>
      <c r="E50" s="7"/>
      <c r="F50" s="7" t="str">
        <f>IFERROR(__xludf.DUMMYFUNCTION("""COMPUTED_VALUE"""),"Manchester")</f>
        <v>Manchester</v>
      </c>
      <c r="G50" s="7"/>
      <c r="H50" s="7" t="str">
        <f>IFERROR(__xludf.DUMMYFUNCTION("""COMPUTED_VALUE"""),"DJ, Live Act")</f>
        <v>DJ, Live Act</v>
      </c>
      <c r="I50" s="7" t="str">
        <f>IFERROR(__xludf.DUMMYFUNCTION("""COMPUTED_VALUE"""),"Breaks/electronic/jungle/beats")</f>
        <v>Breaks/electronic/jungle/beats</v>
      </c>
      <c r="J50" s="7" t="str">
        <f>IFERROR(__xludf.DUMMYFUNCTION("""COMPUTED_VALUE"""),"elanvitalbeats@gmail.com")</f>
        <v>elanvitalbeats@gmail.com</v>
      </c>
      <c r="K50" s="57" t="str">
        <f>IFERROR(__xludf.DUMMYFUNCTION("""COMPUTED_VALUE"""),"https://www.instagram.com/elanvitaluk/")</f>
        <v>https://www.instagram.com/elanvitaluk/</v>
      </c>
      <c r="L50" s="57" t="str">
        <f>IFERROR(__xludf.DUMMYFUNCTION("""COMPUTED_VALUE"""),"https://soundcloud.com/elanvitaluk")</f>
        <v>https://soundcloud.com/elanvitaluk</v>
      </c>
      <c r="M50" s="7"/>
      <c r="N50" s="57" t="str">
        <f>IFERROR(__xludf.DUMMYFUNCTION("""COMPUTED_VALUE"""),"https://linktr.ee/elanvitaluk")</f>
        <v>https://linktr.ee/elanvitaluk</v>
      </c>
      <c r="O50" s="57" t="str">
        <f>IFERROR(__xludf.DUMMYFUNCTION("""COMPUTED_VALUE"""),"https://open.spotify.com/artist/6PVOJqMGjo0XqIRuc3v1vs?si=gE1xPku1TUqkGhunC4NKhg&amp;nd=1")</f>
        <v>https://open.spotify.com/artist/6PVOJqMGjo0XqIRuc3v1vs?si=gE1xPku1TUqkGhunC4NKhg&amp;nd=1</v>
      </c>
      <c r="P50" s="62">
        <f t="array" ref="P50">MAX(IF($A50=AB_TF!F:F,AB_TF!D:D))</f>
        <v>0</v>
      </c>
      <c r="Q50" s="63" t="str">
        <f t="array" ref="Q50">INDEX(AB_TF!C:C,MATCH(1,(AB_TF!F:F=A50)*(AB_TF!D:D=P50),0))</f>
        <v>#N/A</v>
      </c>
      <c r="R50" s="63">
        <f>COUNTIFS(AB_TF!F:F,"="&amp;A50,AB_TF!E:E,"Small*")</f>
        <v>0</v>
      </c>
      <c r="S50" s="63">
        <f>COUNTIFS(AB_TF!F:F,"="&amp;A50,AB_TF!E:E,"Medium*")</f>
        <v>0</v>
      </c>
      <c r="T50" s="63">
        <f>COUNTIFS(AB_TF!F:F,"="&amp;A50,AB_TF!E:E,"Large*")</f>
        <v>0</v>
      </c>
      <c r="U50" s="64">
        <f t="shared" si="1"/>
        <v>0</v>
      </c>
    </row>
    <row r="51">
      <c r="A51" s="7">
        <f>IFERROR(__xludf.DUMMYFUNCTION("""COMPUTED_VALUE"""),252.0)</f>
        <v>252</v>
      </c>
      <c r="B51" s="7" t="str">
        <f>IFERROR(__xludf.DUMMYFUNCTION("""COMPUTED_VALUE"""),"OT")</f>
        <v>OT</v>
      </c>
      <c r="C51" s="7" t="str">
        <f>IFERROR(__xludf.DUMMYFUNCTION("""COMPUTED_VALUE"""),"Omer Tariq")</f>
        <v>Omer Tariq</v>
      </c>
      <c r="D51" s="7"/>
      <c r="E51" s="7"/>
      <c r="F51" s="7" t="str">
        <f>IFERROR(__xludf.DUMMYFUNCTION("""COMPUTED_VALUE"""),"Luton")</f>
        <v>Luton</v>
      </c>
      <c r="G51" s="7"/>
      <c r="H51" s="7" t="str">
        <f>IFERROR(__xludf.DUMMYFUNCTION("""COMPUTED_VALUE"""),"DJ")</f>
        <v>DJ</v>
      </c>
      <c r="I51" s="7" t="str">
        <f>IFERROR(__xludf.DUMMYFUNCTION("""COMPUTED_VALUE"""),"Indian classical music")</f>
        <v>Indian classical music</v>
      </c>
      <c r="J51" s="7"/>
      <c r="K51" s="7"/>
      <c r="L51" s="7"/>
      <c r="M51" s="7"/>
      <c r="N51" s="57" t="str">
        <f>IFERROR(__xludf.DUMMYFUNCTION("""COMPUTED_VALUE"""),"https://twitter.com/o_tariq")</f>
        <v>https://twitter.com/o_tariq</v>
      </c>
      <c r="O51" s="57" t="str">
        <f>IFERROR(__xludf.DUMMYFUNCTION("""COMPUTED_VALUE"""),"https://www.mixcloud.com/ot/")</f>
        <v>https://www.mixcloud.com/ot/</v>
      </c>
      <c r="P51" s="62">
        <f t="array" ref="P51">MAX(IF($A51=AB_TF!F:F,AB_TF!D:D))</f>
        <v>0</v>
      </c>
      <c r="Q51" s="63" t="str">
        <f t="array" ref="Q51">INDEX(AB_TF!C:C,MATCH(1,(AB_TF!F:F=A51)*(AB_TF!D:D=P51),0))</f>
        <v>#N/A</v>
      </c>
      <c r="R51" s="63">
        <f>COUNTIFS(AB_TF!F:F,"="&amp;A51,AB_TF!E:E,"Small*")</f>
        <v>0</v>
      </c>
      <c r="S51" s="63">
        <f>COUNTIFS(AB_TF!F:F,"="&amp;A51,AB_TF!E:E,"Medium*")</f>
        <v>0</v>
      </c>
      <c r="T51" s="63">
        <f>COUNTIFS(AB_TF!F:F,"="&amp;A51,AB_TF!E:E,"Large*")</f>
        <v>0</v>
      </c>
      <c r="U51" s="64">
        <f t="shared" si="1"/>
        <v>0</v>
      </c>
    </row>
    <row r="52">
      <c r="A52" s="7">
        <f>IFERROR(__xludf.DUMMYFUNCTION("""COMPUTED_VALUE"""),253.0)</f>
        <v>253</v>
      </c>
      <c r="B52" s="7" t="str">
        <f>IFERROR(__xludf.DUMMYFUNCTION("""COMPUTED_VALUE"""),"Alvi Island")</f>
        <v>Alvi Island</v>
      </c>
      <c r="C52" s="7" t="str">
        <f>IFERROR(__xludf.DUMMYFUNCTION("""COMPUTED_VALUE"""),"Alvi")</f>
        <v>Alvi</v>
      </c>
      <c r="D52" s="7"/>
      <c r="E52" s="7"/>
      <c r="F52" s="7" t="str">
        <f>IFERROR(__xludf.DUMMYFUNCTION("""COMPUTED_VALUE"""),"London")</f>
        <v>London</v>
      </c>
      <c r="G52" s="7"/>
      <c r="H52" s="7" t="str">
        <f>IFERROR(__xludf.DUMMYFUNCTION("""COMPUTED_VALUE"""),"DJ")</f>
        <v>DJ</v>
      </c>
      <c r="I52" s="7" t="str">
        <f>IFERROR(__xludf.DUMMYFUNCTION("""COMPUTED_VALUE"""),"UK Garage, Grime")</f>
        <v>UK Garage, Grime</v>
      </c>
      <c r="J52" s="7"/>
      <c r="K52" s="57" t="str">
        <f>IFERROR(__xludf.DUMMYFUNCTION("""COMPUTED_VALUE"""),"https://www.instagram.com/alvi_island/")</f>
        <v>https://www.instagram.com/alvi_island/</v>
      </c>
      <c r="L52" s="57" t="str">
        <f>IFERROR(__xludf.DUMMYFUNCTION("""COMPUTED_VALUE"""),"https://soundcloud.app.goo.gl/X94u2oBg7626c3bB8 ")</f>
        <v>https://soundcloud.app.goo.gl/X94u2oBg7626c3bB8 </v>
      </c>
      <c r="M52" s="7"/>
      <c r="N52" s="7"/>
      <c r="O52" s="57" t="str">
        <f>IFERROR(__xludf.DUMMYFUNCTION("""COMPUTED_VALUE"""),"https://youtube.com/channel/UCm8utJlMuE9LFvnS3SWN1XQ")</f>
        <v>https://youtube.com/channel/UCm8utJlMuE9LFvnS3SWN1XQ</v>
      </c>
      <c r="P52" s="62">
        <f t="array" ref="P52">MAX(IF($A52=AB_TF!F:F,AB_TF!D:D))</f>
        <v>0</v>
      </c>
      <c r="Q52" s="63" t="str">
        <f t="array" ref="Q52">INDEX(AB_TF!C:C,MATCH(1,(AB_TF!F:F=A52)*(AB_TF!D:D=P52),0))</f>
        <v>#N/A</v>
      </c>
      <c r="R52" s="63">
        <f>COUNTIFS(AB_TF!F:F,"="&amp;A52,AB_TF!E:E,"Small*")</f>
        <v>0</v>
      </c>
      <c r="S52" s="63">
        <f>COUNTIFS(AB_TF!F:F,"="&amp;A52,AB_TF!E:E,"Medium*")</f>
        <v>0</v>
      </c>
      <c r="T52" s="63">
        <f>COUNTIFS(AB_TF!F:F,"="&amp;A52,AB_TF!E:E,"Large*")</f>
        <v>0</v>
      </c>
      <c r="U52" s="64">
        <f t="shared" si="1"/>
        <v>0</v>
      </c>
    </row>
    <row r="53">
      <c r="A53" s="7">
        <f>IFERROR(__xludf.DUMMYFUNCTION("""COMPUTED_VALUE"""),254.0)</f>
        <v>254</v>
      </c>
      <c r="B53" s="7" t="str">
        <f>IFERROR(__xludf.DUMMYFUNCTION("""COMPUTED_VALUE"""),"No Nation")</f>
        <v>No Nation</v>
      </c>
      <c r="C53" s="7" t="str">
        <f>IFERROR(__xludf.DUMMYFUNCTION("""COMPUTED_VALUE"""),"Humzah Awan")</f>
        <v>Humzah Awan</v>
      </c>
      <c r="D53" s="7"/>
      <c r="E53" s="7"/>
      <c r="F53" s="7" t="str">
        <f>IFERROR(__xludf.DUMMYFUNCTION("""COMPUTED_VALUE"""),"Bristol")</f>
        <v>Bristol</v>
      </c>
      <c r="G53" s="7"/>
      <c r="H53" s="7" t="str">
        <f>IFERROR(__xludf.DUMMYFUNCTION("""COMPUTED_VALUE"""),"DJ")</f>
        <v>DJ</v>
      </c>
      <c r="I53" s="7" t="str">
        <f>IFERROR(__xludf.DUMMYFUNCTION("""COMPUTED_VALUE"""),"Jungle, dnb, rave")</f>
        <v>Jungle, dnb, rave</v>
      </c>
      <c r="J53" s="7" t="str">
        <f>IFERROR(__xludf.DUMMYFUNCTION("""COMPUTED_VALUE"""),"humzahawan@gmail.com")</f>
        <v>humzahawan@gmail.com</v>
      </c>
      <c r="K53" s="57" t="str">
        <f>IFERROR(__xludf.DUMMYFUNCTION("""COMPUTED_VALUE"""),"https://www.instagram.com/_nonation/")</f>
        <v>https://www.instagram.com/_nonation/</v>
      </c>
      <c r="L53" s="7"/>
      <c r="M53" s="7"/>
      <c r="N53" s="7"/>
      <c r="O53" s="57" t="str">
        <f>IFERROR(__xludf.DUMMYFUNCTION("""COMPUTED_VALUE"""),"http://thelivinglevel.tumblr.com")</f>
        <v>http://thelivinglevel.tumblr.com</v>
      </c>
      <c r="P53" s="62">
        <f t="array" ref="P53">MAX(IF($A53=AB_TF!F:F,AB_TF!D:D))</f>
        <v>0</v>
      </c>
      <c r="Q53" s="63" t="str">
        <f t="array" ref="Q53">INDEX(AB_TF!C:C,MATCH(1,(AB_TF!F:F=A53)*(AB_TF!D:D=P53),0))</f>
        <v>#N/A</v>
      </c>
      <c r="R53" s="63">
        <f>COUNTIFS(AB_TF!F:F,"="&amp;A53,AB_TF!E:E,"Small*")</f>
        <v>0</v>
      </c>
      <c r="S53" s="63">
        <f>COUNTIFS(AB_TF!F:F,"="&amp;A53,AB_TF!E:E,"Medium*")</f>
        <v>0</v>
      </c>
      <c r="T53" s="63">
        <f>COUNTIFS(AB_TF!F:F,"="&amp;A53,AB_TF!E:E,"Large*")</f>
        <v>0</v>
      </c>
      <c r="U53" s="64">
        <f t="shared" si="1"/>
        <v>0</v>
      </c>
    </row>
    <row r="54">
      <c r="A54" s="7">
        <f>IFERROR(__xludf.DUMMYFUNCTION("""COMPUTED_VALUE"""),255.0)</f>
        <v>255</v>
      </c>
      <c r="B54" s="7" t="str">
        <f>IFERROR(__xludf.DUMMYFUNCTION("""COMPUTED_VALUE"""),"yourboykiran")</f>
        <v>yourboykiran</v>
      </c>
      <c r="C54" s="7" t="str">
        <f>IFERROR(__xludf.DUMMYFUNCTION("""COMPUTED_VALUE"""),"Kiran Kotecha")</f>
        <v>Kiran Kotecha</v>
      </c>
      <c r="D54" s="7"/>
      <c r="E54" s="7"/>
      <c r="F54" s="7" t="str">
        <f>IFERROR(__xludf.DUMMYFUNCTION("""COMPUTED_VALUE"""),"London")</f>
        <v>London</v>
      </c>
      <c r="G54" s="7"/>
      <c r="H54" s="7" t="str">
        <f>IFERROR(__xludf.DUMMYFUNCTION("""COMPUTED_VALUE"""),"DJ")</f>
        <v>DJ</v>
      </c>
      <c r="I54" s="7" t="str">
        <f>IFERROR(__xludf.DUMMYFUNCTION("""COMPUTED_VALUE"""),"Flips + Edits / Baile Funk / UK Funky / Breaks / UKG / 140 / Electro / 160 / Jungle")</f>
        <v>Flips + Edits / Baile Funk / UK Funky / Breaks / UKG / 140 / Electro / 160 / Jungle</v>
      </c>
      <c r="J54" s="7" t="str">
        <f>IFERROR(__xludf.DUMMYFUNCTION("""COMPUTED_VALUE"""),"yourboykiran@gmail.com")</f>
        <v>yourboykiran@gmail.com</v>
      </c>
      <c r="K54" s="57" t="str">
        <f>IFERROR(__xludf.DUMMYFUNCTION("""COMPUTED_VALUE"""),"https://www.instagram.com/yourboykiran/")</f>
        <v>https://www.instagram.com/yourboykiran/</v>
      </c>
      <c r="L54" s="57" t="str">
        <f>IFERROR(__xludf.DUMMYFUNCTION("""COMPUTED_VALUE"""),"https://soundcloud.com/yourboykiran")</f>
        <v>https://soundcloud.com/yourboykiran</v>
      </c>
      <c r="M54" s="7"/>
      <c r="N54" s="57" t="str">
        <f>IFERROR(__xludf.DUMMYFUNCTION("""COMPUTED_VALUE"""),"https://lnk.bio/yourboykiran")</f>
        <v>https://lnk.bio/yourboykiran</v>
      </c>
      <c r="O54" s="57" t="str">
        <f>IFERROR(__xludf.DUMMYFUNCTION("""COMPUTED_VALUE"""),"https://soundcloud.com/yourboykiran")</f>
        <v>https://soundcloud.com/yourboykiran</v>
      </c>
      <c r="P54" s="62">
        <f t="array" ref="P54">MAX(IF($A54=AB_TF!F:F,AB_TF!D:D))</f>
        <v>0</v>
      </c>
      <c r="Q54" s="63" t="str">
        <f t="array" ref="Q54">INDEX(AB_TF!C:C,MATCH(1,(AB_TF!F:F=A54)*(AB_TF!D:D=P54),0))</f>
        <v>#N/A</v>
      </c>
      <c r="R54" s="63">
        <f>COUNTIFS(AB_TF!F:F,"="&amp;A54,AB_TF!E:E,"Small*")</f>
        <v>0</v>
      </c>
      <c r="S54" s="63">
        <f>COUNTIFS(AB_TF!F:F,"="&amp;A54,AB_TF!E:E,"Medium*")</f>
        <v>0</v>
      </c>
      <c r="T54" s="63">
        <f>COUNTIFS(AB_TF!F:F,"="&amp;A54,AB_TF!E:E,"Large*")</f>
        <v>0</v>
      </c>
      <c r="U54" s="64">
        <f t="shared" si="1"/>
        <v>0</v>
      </c>
    </row>
    <row r="55">
      <c r="A55" s="7">
        <f>IFERROR(__xludf.DUMMYFUNCTION("""COMPUTED_VALUE"""),256.0)</f>
        <v>256</v>
      </c>
      <c r="B55" s="7" t="str">
        <f>IFERROR(__xludf.DUMMYFUNCTION("""COMPUTED_VALUE"""),"Abana")</f>
        <v>Abana</v>
      </c>
      <c r="C55" s="7" t="str">
        <f>IFERROR(__xludf.DUMMYFUNCTION("""COMPUTED_VALUE"""),"Sahil Dhingra")</f>
        <v>Sahil Dhingra</v>
      </c>
      <c r="D55" s="7"/>
      <c r="E55" s="7"/>
      <c r="F55" s="7" t="str">
        <f>IFERROR(__xludf.DUMMYFUNCTION("""COMPUTED_VALUE"""),"London")</f>
        <v>London</v>
      </c>
      <c r="G55" s="7" t="str">
        <f>IFERROR(__xludf.DUMMYFUNCTION("""COMPUTED_VALUE"""),"Los Angeles, USA")</f>
        <v>Los Angeles, USA</v>
      </c>
      <c r="H55" s="7" t="str">
        <f>IFERROR(__xludf.DUMMYFUNCTION("""COMPUTED_VALUE"""),"DJ")</f>
        <v>DJ</v>
      </c>
      <c r="I55" s="7" t="str">
        <f>IFERROR(__xludf.DUMMYFUNCTION("""COMPUTED_VALUE"""),"house / electro / electronic / UK (all genres)")</f>
        <v>house / electro / electronic / UK (all genres)</v>
      </c>
      <c r="J55" s="7"/>
      <c r="K55" s="57" t="str">
        <f>IFERROR(__xludf.DUMMYFUNCTION("""COMPUTED_VALUE"""),"https://www.instagram.com/abanamusic/")</f>
        <v>https://www.instagram.com/abanamusic/</v>
      </c>
      <c r="L55" s="7"/>
      <c r="M55" s="7"/>
      <c r="N55" s="7"/>
      <c r="O55" s="57" t="str">
        <f>IFERROR(__xludf.DUMMYFUNCTION("""COMPUTED_VALUE"""),"https://linktr.ee/abana")</f>
        <v>https://linktr.ee/abana</v>
      </c>
      <c r="P55" s="62">
        <f t="array" ref="P55">MAX(IF($A55=AB_TF!F:F,AB_TF!D:D))</f>
        <v>0</v>
      </c>
      <c r="Q55" s="63" t="str">
        <f t="array" ref="Q55">INDEX(AB_TF!C:C,MATCH(1,(AB_TF!F:F=A55)*(AB_TF!D:D=P55),0))</f>
        <v>#N/A</v>
      </c>
      <c r="R55" s="63">
        <f>COUNTIFS(AB_TF!F:F,"="&amp;A55,AB_TF!E:E,"Small*")</f>
        <v>0</v>
      </c>
      <c r="S55" s="63">
        <f>COUNTIFS(AB_TF!F:F,"="&amp;A55,AB_TF!E:E,"Medium*")</f>
        <v>0</v>
      </c>
      <c r="T55" s="63">
        <f>COUNTIFS(AB_TF!F:F,"="&amp;A55,AB_TF!E:E,"Large*")</f>
        <v>0</v>
      </c>
      <c r="U55" s="64">
        <f t="shared" si="1"/>
        <v>0</v>
      </c>
    </row>
    <row r="56">
      <c r="A56" s="7">
        <f>IFERROR(__xludf.DUMMYFUNCTION("""COMPUTED_VALUE"""),257.0)</f>
        <v>257</v>
      </c>
      <c r="B56" s="7" t="str">
        <f>IFERROR(__xludf.DUMMYFUNCTION("""COMPUTED_VALUE"""),"Petit P")</f>
        <v>Petit P</v>
      </c>
      <c r="C56" s="7" t="str">
        <f>IFERROR(__xludf.DUMMYFUNCTION("""COMPUTED_VALUE"""),"Puneet Gill")</f>
        <v>Puneet Gill</v>
      </c>
      <c r="D56" s="7"/>
      <c r="E56" s="7"/>
      <c r="F56" s="7" t="str">
        <f>IFERROR(__xludf.DUMMYFUNCTION("""COMPUTED_VALUE"""),"London")</f>
        <v>London</v>
      </c>
      <c r="G56" s="7"/>
      <c r="H56" s="7" t="str">
        <f>IFERROR(__xludf.DUMMYFUNCTION("""COMPUTED_VALUE"""),"DJ")</f>
        <v>DJ</v>
      </c>
      <c r="I56" s="7" t="str">
        <f>IFERROR(__xludf.DUMMYFUNCTION("""COMPUTED_VALUE"""),"House, techo, funk, disco")</f>
        <v>House, techo, funk, disco</v>
      </c>
      <c r="J56" s="7"/>
      <c r="K56" s="57" t="str">
        <f>IFERROR(__xludf.DUMMYFUNCTION("""COMPUTED_VALUE"""),"https://instagram.com/djpetitp?r=nametag")</f>
        <v>https://instagram.com/djpetitp?r=nametag</v>
      </c>
      <c r="L56" s="57" t="str">
        <f>IFERROR(__xludf.DUMMYFUNCTION("""COMPUTED_VALUE"""),"https://m.soundcloud.com/djpetitp")</f>
        <v>https://m.soundcloud.com/djpetitp</v>
      </c>
      <c r="M56" s="7"/>
      <c r="N56" s="7"/>
      <c r="O56" s="57" t="str">
        <f>IFERROR(__xludf.DUMMYFUNCTION("""COMPUTED_VALUE"""),"https://m.soundcloud.com/djpetitp")</f>
        <v>https://m.soundcloud.com/djpetitp</v>
      </c>
      <c r="P56" s="62">
        <f t="array" ref="P56">MAX(IF($A56=AB_TF!F:F,AB_TF!D:D))</f>
        <v>0</v>
      </c>
      <c r="Q56" s="63" t="str">
        <f t="array" ref="Q56">INDEX(AB_TF!C:C,MATCH(1,(AB_TF!F:F=A56)*(AB_TF!D:D=P56),0))</f>
        <v>#N/A</v>
      </c>
      <c r="R56" s="63">
        <f>COUNTIFS(AB_TF!F:F,"="&amp;A56,AB_TF!E:E,"Small*")</f>
        <v>0</v>
      </c>
      <c r="S56" s="63">
        <f>COUNTIFS(AB_TF!F:F,"="&amp;A56,AB_TF!E:E,"Medium*")</f>
        <v>0</v>
      </c>
      <c r="T56" s="63">
        <f>COUNTIFS(AB_TF!F:F,"="&amp;A56,AB_TF!E:E,"Large*")</f>
        <v>0</v>
      </c>
      <c r="U56" s="64">
        <f t="shared" si="1"/>
        <v>0</v>
      </c>
    </row>
    <row r="57">
      <c r="A57" s="7">
        <f>IFERROR(__xludf.DUMMYFUNCTION("""COMPUTED_VALUE"""),258.0)</f>
        <v>258</v>
      </c>
      <c r="B57" s="7" t="str">
        <f>IFERROR(__xludf.DUMMYFUNCTION("""COMPUTED_VALUE"""),"Nadī")</f>
        <v>Nadī</v>
      </c>
      <c r="C57" s="7" t="str">
        <f>IFERROR(__xludf.DUMMYFUNCTION("""COMPUTED_VALUE"""),"Samia")</f>
        <v>Samia</v>
      </c>
      <c r="D57" s="7"/>
      <c r="E57" s="7"/>
      <c r="F57" s="7" t="str">
        <f>IFERROR(__xludf.DUMMYFUNCTION("""COMPUTED_VALUE"""),"London")</f>
        <v>London</v>
      </c>
      <c r="G57" s="7"/>
      <c r="H57" s="7" t="str">
        <f>IFERROR(__xludf.DUMMYFUNCTION("""COMPUTED_VALUE"""),"DJ")</f>
        <v>DJ</v>
      </c>
      <c r="I57" s="7" t="str">
        <f>IFERROR(__xludf.DUMMYFUNCTION("""COMPUTED_VALUE"""),"Club, dancehall, R&amp;b, hiphop, Asian underground and more ")</f>
        <v>Club, dancehall, R&amp;b, hiphop, Asian underground and more </v>
      </c>
      <c r="J57" s="7" t="str">
        <f>IFERROR(__xludf.DUMMYFUNCTION("""COMPUTED_VALUE"""),"nadi.enquiries@gmail.com")</f>
        <v>nadi.enquiries@gmail.com</v>
      </c>
      <c r="K57" s="57" t="str">
        <f>IFERROR(__xludf.DUMMYFUNCTION("""COMPUTED_VALUE"""),"https://www.instagram.com/nadi_bpm/")</f>
        <v>https://www.instagram.com/nadi_bpm/</v>
      </c>
      <c r="L57" s="57" t="str">
        <f>IFERROR(__xludf.DUMMYFUNCTION("""COMPUTED_VALUE"""),"https://soundcloud.com/thisisnadi")</f>
        <v>https://soundcloud.com/thisisnadi</v>
      </c>
      <c r="M57" s="7"/>
      <c r="N57" s="7"/>
      <c r="O57" s="57" t="str">
        <f>IFERROR(__xludf.DUMMYFUNCTION("""COMPUTED_VALUE"""),"https://www.thisisnadi.com")</f>
        <v>https://www.thisisnadi.com</v>
      </c>
      <c r="P57" s="62">
        <f t="array" ref="P57">MAX(IF($A57=AB_TF!F:F,AB_TF!D:D))</f>
        <v>0</v>
      </c>
      <c r="Q57" s="63" t="str">
        <f t="array" ref="Q57">INDEX(AB_TF!C:C,MATCH(1,(AB_TF!F:F=A57)*(AB_TF!D:D=P57),0))</f>
        <v>#N/A</v>
      </c>
      <c r="R57" s="63">
        <f>COUNTIFS(AB_TF!F:F,"="&amp;A57,AB_TF!E:E,"Small*")</f>
        <v>0</v>
      </c>
      <c r="S57" s="63">
        <f>COUNTIFS(AB_TF!F:F,"="&amp;A57,AB_TF!E:E,"Medium*")</f>
        <v>0</v>
      </c>
      <c r="T57" s="63">
        <f>COUNTIFS(AB_TF!F:F,"="&amp;A57,AB_TF!E:E,"Large*")</f>
        <v>0</v>
      </c>
      <c r="U57" s="64">
        <f t="shared" si="1"/>
        <v>0</v>
      </c>
    </row>
    <row r="58">
      <c r="A58" s="7">
        <f>IFERROR(__xludf.DUMMYFUNCTION("""COMPUTED_VALUE"""),259.0)</f>
        <v>259</v>
      </c>
      <c r="B58" s="7" t="str">
        <f>IFERROR(__xludf.DUMMYFUNCTION("""COMPUTED_VALUE"""),"TRAFFICC")</f>
        <v>TRAFFICC</v>
      </c>
      <c r="C58" s="7" t="str">
        <f>IFERROR(__xludf.DUMMYFUNCTION("""COMPUTED_VALUE"""),"Nihal Kanwar")</f>
        <v>Nihal Kanwar</v>
      </c>
      <c r="D58" s="7"/>
      <c r="E58" s="7"/>
      <c r="F58" s="7"/>
      <c r="G58" s="7" t="str">
        <f>IFERROR(__xludf.DUMMYFUNCTION("""COMPUTED_VALUE"""),"New Delhi, India")</f>
        <v>New Delhi, India</v>
      </c>
      <c r="H58" s="7" t="str">
        <f>IFERROR(__xludf.DUMMYFUNCTION("""COMPUTED_VALUE"""),"DJ")</f>
        <v>DJ</v>
      </c>
      <c r="I58" s="7" t="str">
        <f>IFERROR(__xludf.DUMMYFUNCTION("""COMPUTED_VALUE"""),"Techno, House, Garage, Breaks, Bass")</f>
        <v>Techno, House, Garage, Breaks, Bass</v>
      </c>
      <c r="J58" s="7" t="str">
        <f>IFERROR(__xludf.DUMMYFUNCTION("""COMPUTED_VALUE"""),"trafficcmusic@gmail.com")</f>
        <v>trafficcmusic@gmail.com</v>
      </c>
      <c r="K58" s="57" t="str">
        <f>IFERROR(__xludf.DUMMYFUNCTION("""COMPUTED_VALUE"""),"https://www.instagram.com/trafficccccc/")</f>
        <v>https://www.instagram.com/trafficccccc/</v>
      </c>
      <c r="L58" s="57" t="str">
        <f>IFERROR(__xludf.DUMMYFUNCTION("""COMPUTED_VALUE"""),"https://soundcloud.com/trafficc-music")</f>
        <v>https://soundcloud.com/trafficc-music</v>
      </c>
      <c r="M58" s="7"/>
      <c r="N58" s="7"/>
      <c r="O58" s="57" t="str">
        <f>IFERROR(__xludf.DUMMYFUNCTION("""COMPUTED_VALUE"""),"https://linktr.ee/trafficcmusic")</f>
        <v>https://linktr.ee/trafficcmusic</v>
      </c>
      <c r="P58" s="62">
        <f t="array" ref="P58">MAX(IF($A58=AB_TF!F:F,AB_TF!D:D))</f>
        <v>0</v>
      </c>
      <c r="Q58" s="63" t="str">
        <f t="array" ref="Q58">INDEX(AB_TF!C:C,MATCH(1,(AB_TF!F:F=A58)*(AB_TF!D:D=P58),0))</f>
        <v>#N/A</v>
      </c>
      <c r="R58" s="63">
        <f>COUNTIFS(AB_TF!F:F,"="&amp;A58,AB_TF!E:E,"Small*")</f>
        <v>0</v>
      </c>
      <c r="S58" s="63">
        <f>COUNTIFS(AB_TF!F:F,"="&amp;A58,AB_TF!E:E,"Medium*")</f>
        <v>0</v>
      </c>
      <c r="T58" s="63">
        <f>COUNTIFS(AB_TF!F:F,"="&amp;A58,AB_TF!E:E,"Large*")</f>
        <v>0</v>
      </c>
      <c r="U58" s="64">
        <f t="shared" si="1"/>
        <v>0</v>
      </c>
    </row>
    <row r="59">
      <c r="A59" s="7">
        <f>IFERROR(__xludf.DUMMYFUNCTION("""COMPUTED_VALUE"""),260.0)</f>
        <v>260</v>
      </c>
      <c r="B59" s="7" t="str">
        <f>IFERROR(__xludf.DUMMYFUNCTION("""COMPUTED_VALUE"""),"Tommy Khosla")</f>
        <v>Tommy Khosla</v>
      </c>
      <c r="C59" s="7" t="str">
        <f>IFERROR(__xludf.DUMMYFUNCTION("""COMPUTED_VALUE"""),"Tommy Khosla")</f>
        <v>Tommy Khosla</v>
      </c>
      <c r="D59" s="7"/>
      <c r="E59" s="7"/>
      <c r="F59" s="7" t="str">
        <f>IFERROR(__xludf.DUMMYFUNCTION("""COMPUTED_VALUE"""),"London")</f>
        <v>London</v>
      </c>
      <c r="G59" s="7"/>
      <c r="H59" s="7" t="str">
        <f>IFERROR(__xludf.DUMMYFUNCTION("""COMPUTED_VALUE"""),"Live Act")</f>
        <v>Live Act</v>
      </c>
      <c r="I59" s="7" t="str">
        <f>IFERROR(__xludf.DUMMYFUNCTION("""COMPUTED_VALUE"""),"Electro Indo-Jazz (or Neo Indo-Jazz - we’re still working genre descriptors out!) Also, I usually perform with my band which is called Jawari")</f>
        <v>Electro Indo-Jazz (or Neo Indo-Jazz - we’re still working genre descriptors out!) Also, I usually perform with my band which is called Jawari</v>
      </c>
      <c r="J59" s="7" t="str">
        <f>IFERROR(__xludf.DUMMYFUNCTION("""COMPUTED_VALUE"""),"tommykhosla@gmail.com")</f>
        <v>tommykhosla@gmail.com</v>
      </c>
      <c r="K59" s="57" t="str">
        <f>IFERROR(__xludf.DUMMYFUNCTION("""COMPUTED_VALUE"""),"https://www.instagram.com/tommykhosla/")</f>
        <v>https://www.instagram.com/tommykhosla/</v>
      </c>
      <c r="L59" s="7"/>
      <c r="M59" s="7"/>
      <c r="N59" s="7"/>
      <c r="O59" s="57" t="str">
        <f>IFERROR(__xludf.DUMMYFUNCTION("""COMPUTED_VALUE"""),"https://linktr.ee/tommykhosla")</f>
        <v>https://linktr.ee/tommykhosla</v>
      </c>
      <c r="P59" s="62">
        <f t="array" ref="P59">MAX(IF($A59=AB_TF!F:F,AB_TF!D:D))</f>
        <v>0</v>
      </c>
      <c r="Q59" s="63" t="str">
        <f t="array" ref="Q59">INDEX(AB_TF!C:C,MATCH(1,(AB_TF!F:F=A59)*(AB_TF!D:D=P59),0))</f>
        <v>#N/A</v>
      </c>
      <c r="R59" s="63">
        <f>COUNTIFS(AB_TF!F:F,"="&amp;A59,AB_TF!E:E,"Small*")</f>
        <v>0</v>
      </c>
      <c r="S59" s="63">
        <f>COUNTIFS(AB_TF!F:F,"="&amp;A59,AB_TF!E:E,"Medium*")</f>
        <v>0</v>
      </c>
      <c r="T59" s="63">
        <f>COUNTIFS(AB_TF!F:F,"="&amp;A59,AB_TF!E:E,"Large*")</f>
        <v>0</v>
      </c>
      <c r="U59" s="64">
        <f t="shared" si="1"/>
        <v>0</v>
      </c>
    </row>
    <row r="60">
      <c r="A60" s="7">
        <f>IFERROR(__xludf.DUMMYFUNCTION("""COMPUTED_VALUE"""),261.0)</f>
        <v>261</v>
      </c>
      <c r="B60" s="7" t="str">
        <f>IFERROR(__xludf.DUMMYFUNCTION("""COMPUTED_VALUE"""),"Cralias / DJ animebby ")</f>
        <v>Cralias / DJ animebby </v>
      </c>
      <c r="C60" s="7" t="str">
        <f>IFERROR(__xludf.DUMMYFUNCTION("""COMPUTED_VALUE"""),"Nicholas Subramaniam ")</f>
        <v>Nicholas Subramaniam </v>
      </c>
      <c r="D60" s="7"/>
      <c r="E60" s="7"/>
      <c r="F60" s="7" t="str">
        <f>IFERROR(__xludf.DUMMYFUNCTION("""COMPUTED_VALUE"""),"London")</f>
        <v>London</v>
      </c>
      <c r="G60" s="7"/>
      <c r="H60" s="7" t="str">
        <f>IFERROR(__xludf.DUMMYFUNCTION("""COMPUTED_VALUE"""),"DJ")</f>
        <v>DJ</v>
      </c>
      <c r="I60" s="7" t="str">
        <f>IFERROR(__xludf.DUMMYFUNCTION("""COMPUTED_VALUE"""),"Cralias - UK bass/grime/club track (120 -140 stuff. DJ animebby - jungle/cheeky remixes/Nightcore/donk / happy hardcore (160-180 stuff)")</f>
        <v>Cralias - UK bass/grime/club track (120 -140 stuff. DJ animebby - jungle/cheeky remixes/Nightcore/donk / happy hardcore (160-180 stuff)</v>
      </c>
      <c r="J60" s="7"/>
      <c r="K60" s="7"/>
      <c r="L60" s="57" t="str">
        <f>IFERROR(__xludf.DUMMYFUNCTION("""COMPUTED_VALUE"""),"SoundCloud.com/djanimebby")</f>
        <v>SoundCloud.com/djanimebby</v>
      </c>
      <c r="M60" s="7"/>
      <c r="N60" s="57" t="str">
        <f>IFERROR(__xludf.DUMMYFUNCTION("""COMPUTED_VALUE"""),"SoundCloud.com/cralias")</f>
        <v>SoundCloud.com/cralias</v>
      </c>
      <c r="O60" s="57" t="str">
        <f>IFERROR(__xludf.DUMMYFUNCTION("""COMPUTED_VALUE"""),"Cralias.bandcamp.com")</f>
        <v>Cralias.bandcamp.com</v>
      </c>
      <c r="P60" s="62">
        <f t="array" ref="P60">MAX(IF($A60=AB_TF!F:F,AB_TF!D:D))</f>
        <v>0</v>
      </c>
      <c r="Q60" s="63" t="str">
        <f t="array" ref="Q60">INDEX(AB_TF!C:C,MATCH(1,(AB_TF!F:F=A60)*(AB_TF!D:D=P60),0))</f>
        <v>#N/A</v>
      </c>
      <c r="R60" s="63">
        <f>COUNTIFS(AB_TF!F:F,"="&amp;A60,AB_TF!E:E,"Small*")</f>
        <v>0</v>
      </c>
      <c r="S60" s="63">
        <f>COUNTIFS(AB_TF!F:F,"="&amp;A60,AB_TF!E:E,"Medium*")</f>
        <v>0</v>
      </c>
      <c r="T60" s="63">
        <f>COUNTIFS(AB_TF!F:F,"="&amp;A60,AB_TF!E:E,"Large*")</f>
        <v>0</v>
      </c>
      <c r="U60" s="64">
        <f t="shared" si="1"/>
        <v>0</v>
      </c>
    </row>
    <row r="61">
      <c r="A61" s="7">
        <f>IFERROR(__xludf.DUMMYFUNCTION("""COMPUTED_VALUE"""),262.0)</f>
        <v>262</v>
      </c>
      <c r="B61" s="7" t="str">
        <f>IFERROR(__xludf.DUMMYFUNCTION("""COMPUTED_VALUE"""),"Gracie T")</f>
        <v>Gracie T</v>
      </c>
      <c r="C61" s="7"/>
      <c r="D61" s="7"/>
      <c r="E61" s="7"/>
      <c r="F61" s="7"/>
      <c r="G61" s="7"/>
      <c r="H61" s="7" t="str">
        <f>IFERROR(__xludf.DUMMYFUNCTION("""COMPUTED_VALUE"""),"DJ")</f>
        <v>DJ</v>
      </c>
      <c r="I61" s="7"/>
      <c r="J61" s="7"/>
      <c r="K61" s="7"/>
      <c r="L61" s="7"/>
      <c r="M61" s="7"/>
      <c r="N61" s="7"/>
      <c r="O61" s="7"/>
      <c r="P61" s="62">
        <f t="array" ref="P61">MAX(IF($A61=AB_TF!F:F,AB_TF!D:D))</f>
        <v>0</v>
      </c>
      <c r="Q61" s="63" t="str">
        <f t="array" ref="Q61">INDEX(AB_TF!C:C,MATCH(1,(AB_TF!F:F=A61)*(AB_TF!D:D=P61),0))</f>
        <v>#N/A</v>
      </c>
      <c r="R61" s="63">
        <f>COUNTIFS(AB_TF!F:F,"="&amp;A61,AB_TF!E:E,"Small*")</f>
        <v>0</v>
      </c>
      <c r="S61" s="63">
        <f>COUNTIFS(AB_TF!F:F,"="&amp;A61,AB_TF!E:E,"Medium*")</f>
        <v>0</v>
      </c>
      <c r="T61" s="63">
        <f>COUNTIFS(AB_TF!F:F,"="&amp;A61,AB_TF!E:E,"Large*")</f>
        <v>0</v>
      </c>
      <c r="U61" s="64">
        <f t="shared" si="1"/>
        <v>0</v>
      </c>
    </row>
    <row r="62">
      <c r="A62" s="7">
        <f>IFERROR(__xludf.DUMMYFUNCTION("""COMPUTED_VALUE"""),263.0)</f>
        <v>263</v>
      </c>
      <c r="B62" s="7" t="str">
        <f>IFERROR(__xludf.DUMMYFUNCTION("""COMPUTED_VALUE"""),"Suchi")</f>
        <v>Suchi</v>
      </c>
      <c r="C62" s="7"/>
      <c r="D62" s="7"/>
      <c r="E62" s="7"/>
      <c r="F62" s="7"/>
      <c r="G62" s="7"/>
      <c r="H62" s="7" t="str">
        <f>IFERROR(__xludf.DUMMYFUNCTION("""COMPUTED_VALUE"""),"DJ")</f>
        <v>DJ</v>
      </c>
      <c r="I62" s="7"/>
      <c r="J62" s="7"/>
      <c r="K62" s="7"/>
      <c r="L62" s="7"/>
      <c r="M62" s="7"/>
      <c r="N62" s="7"/>
      <c r="O62" s="7"/>
      <c r="P62" s="62">
        <f t="array" ref="P62">MAX(IF($A62=AB_TF!F:F,AB_TF!D:D))</f>
        <v>0</v>
      </c>
      <c r="Q62" s="63" t="str">
        <f t="array" ref="Q62">INDEX(AB_TF!C:C,MATCH(1,(AB_TF!F:F=A62)*(AB_TF!D:D=P62),0))</f>
        <v>#N/A</v>
      </c>
      <c r="R62" s="63">
        <f>COUNTIFS(AB_TF!F:F,"="&amp;A62,AB_TF!E:E,"Small*")</f>
        <v>0</v>
      </c>
      <c r="S62" s="63">
        <f>COUNTIFS(AB_TF!F:F,"="&amp;A62,AB_TF!E:E,"Medium*")</f>
        <v>0</v>
      </c>
      <c r="T62" s="63">
        <f>COUNTIFS(AB_TF!F:F,"="&amp;A62,AB_TF!E:E,"Large*")</f>
        <v>0</v>
      </c>
      <c r="U62" s="64">
        <f t="shared" si="1"/>
        <v>0</v>
      </c>
    </row>
    <row r="63">
      <c r="A63" s="7">
        <f>IFERROR(__xludf.DUMMYFUNCTION("""COMPUTED_VALUE"""),264.0)</f>
        <v>264</v>
      </c>
      <c r="B63" s="7" t="str">
        <f>IFERROR(__xludf.DUMMYFUNCTION("""COMPUTED_VALUE"""),"Chande")</f>
        <v>Chande</v>
      </c>
      <c r="C63" s="7"/>
      <c r="D63" s="7"/>
      <c r="E63" s="7"/>
      <c r="F63" s="7"/>
      <c r="G63" s="7"/>
      <c r="H63" s="7" t="str">
        <f>IFERROR(__xludf.DUMMYFUNCTION("""COMPUTED_VALUE"""),"DJ")</f>
        <v>DJ</v>
      </c>
      <c r="I63" s="7"/>
      <c r="J63" s="7"/>
      <c r="K63" s="7"/>
      <c r="L63" s="7"/>
      <c r="M63" s="7"/>
      <c r="N63" s="7"/>
      <c r="O63" s="7"/>
      <c r="P63" s="62">
        <f t="array" ref="P63">MAX(IF($A63=AB_TF!F:F,AB_TF!D:D))</f>
        <v>0</v>
      </c>
      <c r="Q63" s="63" t="str">
        <f t="array" ref="Q63">INDEX(AB_TF!C:C,MATCH(1,(AB_TF!F:F=A63)*(AB_TF!D:D=P63),0))</f>
        <v>#N/A</v>
      </c>
      <c r="R63" s="63">
        <f>COUNTIFS(AB_TF!F:F,"="&amp;A63,AB_TF!E:E,"Small*")</f>
        <v>0</v>
      </c>
      <c r="S63" s="63">
        <f>COUNTIFS(AB_TF!F:F,"="&amp;A63,AB_TF!E:E,"Medium*")</f>
        <v>0</v>
      </c>
      <c r="T63" s="63">
        <f>COUNTIFS(AB_TF!F:F,"="&amp;A63,AB_TF!E:E,"Large*")</f>
        <v>0</v>
      </c>
      <c r="U63" s="64">
        <f t="shared" si="1"/>
        <v>0</v>
      </c>
    </row>
    <row r="64">
      <c r="A64" s="7">
        <f>IFERROR(__xludf.DUMMYFUNCTION("""COMPUTED_VALUE"""),265.0)</f>
        <v>265</v>
      </c>
      <c r="B64" s="7" t="str">
        <f>IFERROR(__xludf.DUMMYFUNCTION("""COMPUTED_VALUE"""),"amad.png")</f>
        <v>amad.png</v>
      </c>
      <c r="C64" s="7" t="str">
        <f>IFERROR(__xludf.DUMMYFUNCTION("""COMPUTED_VALUE"""),"amad ilyas")</f>
        <v>amad ilyas</v>
      </c>
      <c r="D64" s="7"/>
      <c r="E64" s="7"/>
      <c r="F64" s="7"/>
      <c r="G64" s="7"/>
      <c r="H64" s="7" t="str">
        <f>IFERROR(__xludf.DUMMYFUNCTION("""COMPUTED_VALUE"""),"DJ")</f>
        <v>DJ</v>
      </c>
      <c r="I64" s="7"/>
      <c r="J64" s="7"/>
      <c r="K64" s="7"/>
      <c r="L64" s="7"/>
      <c r="M64" s="7"/>
      <c r="N64" s="7"/>
      <c r="O64" s="7"/>
      <c r="P64" s="62">
        <f t="array" ref="P64">MAX(IF($A64=AB_TF!F:F,AB_TF!D:D))</f>
        <v>0</v>
      </c>
      <c r="Q64" s="63" t="str">
        <f t="array" ref="Q64">INDEX(AB_TF!C:C,MATCH(1,(AB_TF!F:F=A64)*(AB_TF!D:D=P64),0))</f>
        <v>#N/A</v>
      </c>
      <c r="R64" s="63">
        <f>COUNTIFS(AB_TF!F:F,"="&amp;A64,AB_TF!E:E,"Small*")</f>
        <v>0</v>
      </c>
      <c r="S64" s="63">
        <f>COUNTIFS(AB_TF!F:F,"="&amp;A64,AB_TF!E:E,"Medium*")</f>
        <v>0</v>
      </c>
      <c r="T64" s="63">
        <f>COUNTIFS(AB_TF!F:F,"="&amp;A64,AB_TF!E:E,"Large*")</f>
        <v>0</v>
      </c>
      <c r="U64" s="64">
        <f t="shared" si="1"/>
        <v>0</v>
      </c>
    </row>
    <row r="65">
      <c r="A65" s="7">
        <f>IFERROR(__xludf.DUMMYFUNCTION("""COMPUTED_VALUE"""),266.0)</f>
        <v>266</v>
      </c>
      <c r="B65" s="7" t="str">
        <f>IFERROR(__xludf.DUMMYFUNCTION("""COMPUTED_VALUE"""),"Amani Saeed")</f>
        <v>Amani Saeed</v>
      </c>
      <c r="C65" s="7" t="str">
        <f>IFERROR(__xludf.DUMMYFUNCTION("""COMPUTED_VALUE"""),"Amani Saeed")</f>
        <v>Amani Saeed</v>
      </c>
      <c r="D65" s="7"/>
      <c r="E65" s="7"/>
      <c r="F65" s="7"/>
      <c r="G65" s="7"/>
      <c r="H65" s="7" t="str">
        <f>IFERROR(__xludf.DUMMYFUNCTION("""COMPUTED_VALUE"""),"Live Act")</f>
        <v>Live Act</v>
      </c>
      <c r="I65" s="7"/>
      <c r="J65" s="7"/>
      <c r="K65" s="7"/>
      <c r="L65" s="7"/>
      <c r="M65" s="7"/>
      <c r="N65" s="7"/>
      <c r="O65" s="7"/>
      <c r="P65" s="62">
        <f t="array" ref="P65">MAX(IF($A65=AB_TF!F:F,AB_TF!D:D))</f>
        <v>0</v>
      </c>
      <c r="Q65" s="63" t="str">
        <f t="array" ref="Q65">INDEX(AB_TF!C:C,MATCH(1,(AB_TF!F:F=A65)*(AB_TF!D:D=P65),0))</f>
        <v>#N/A</v>
      </c>
      <c r="R65" s="63">
        <f>COUNTIFS(AB_TF!F:F,"="&amp;A65,AB_TF!E:E,"Small*")</f>
        <v>0</v>
      </c>
      <c r="S65" s="63">
        <f>COUNTIFS(AB_TF!F:F,"="&amp;A65,AB_TF!E:E,"Medium*")</f>
        <v>0</v>
      </c>
      <c r="T65" s="63">
        <f>COUNTIFS(AB_TF!F:F,"="&amp;A65,AB_TF!E:E,"Large*")</f>
        <v>0</v>
      </c>
      <c r="U65" s="64">
        <f t="shared" si="1"/>
        <v>0</v>
      </c>
    </row>
    <row r="66">
      <c r="A66" s="7">
        <f>IFERROR(__xludf.DUMMYFUNCTION("""COMPUTED_VALUE"""),267.0)</f>
        <v>267</v>
      </c>
      <c r="B66" s="7" t="str">
        <f>IFERROR(__xludf.DUMMYFUNCTION("""COMPUTED_VALUE"""),"Anjali")</f>
        <v>Anjali</v>
      </c>
      <c r="C66" s="7" t="str">
        <f>IFERROR(__xludf.DUMMYFUNCTION("""COMPUTED_VALUE"""),"Anjali")</f>
        <v>Anjali</v>
      </c>
      <c r="D66" s="7"/>
      <c r="E66" s="7"/>
      <c r="F66" s="7"/>
      <c r="G66" s="7"/>
      <c r="H66" s="7" t="str">
        <f>IFERROR(__xludf.DUMMYFUNCTION("""COMPUTED_VALUE"""),"DJ")</f>
        <v>DJ</v>
      </c>
      <c r="I66" s="7"/>
      <c r="J66" s="7"/>
      <c r="K66" s="7"/>
      <c r="L66" s="7"/>
      <c r="M66" s="7"/>
      <c r="N66" s="7"/>
      <c r="O66" s="7"/>
      <c r="P66" s="62">
        <f t="array" ref="P66">MAX(IF($A66=AB_TF!F:F,AB_TF!D:D))</f>
        <v>0</v>
      </c>
      <c r="Q66" s="63" t="str">
        <f t="array" ref="Q66">INDEX(AB_TF!C:C,MATCH(1,(AB_TF!F:F=A66)*(AB_TF!D:D=P66),0))</f>
        <v>#N/A</v>
      </c>
      <c r="R66" s="63">
        <f>COUNTIFS(AB_TF!F:F,"="&amp;A66,AB_TF!E:E,"Small*")</f>
        <v>0</v>
      </c>
      <c r="S66" s="63">
        <f>COUNTIFS(AB_TF!F:F,"="&amp;A66,AB_TF!E:E,"Medium*")</f>
        <v>0</v>
      </c>
      <c r="T66" s="63">
        <f>COUNTIFS(AB_TF!F:F,"="&amp;A66,AB_TF!E:E,"Large*")</f>
        <v>0</v>
      </c>
      <c r="U66" s="64">
        <f t="shared" si="1"/>
        <v>0</v>
      </c>
    </row>
    <row r="67">
      <c r="A67" s="7">
        <f>IFERROR(__xludf.DUMMYFUNCTION("""COMPUTED_VALUE"""),268.0)</f>
        <v>268</v>
      </c>
      <c r="B67" s="7" t="str">
        <f>IFERROR(__xludf.DUMMYFUNCTION("""COMPUTED_VALUE"""),"Anu")</f>
        <v>Anu</v>
      </c>
      <c r="C67" s="7" t="str">
        <f>IFERROR(__xludf.DUMMYFUNCTION("""COMPUTED_VALUE"""),"Anu")</f>
        <v>Anu</v>
      </c>
      <c r="D67" s="7"/>
      <c r="E67" s="7"/>
      <c r="F67" s="7"/>
      <c r="G67" s="7"/>
      <c r="H67" s="7" t="str">
        <f>IFERROR(__xludf.DUMMYFUNCTION("""COMPUTED_VALUE"""),"DJ")</f>
        <v>DJ</v>
      </c>
      <c r="I67" s="7"/>
      <c r="J67" s="7"/>
      <c r="K67" s="7"/>
      <c r="L67" s="7"/>
      <c r="M67" s="7"/>
      <c r="N67" s="7"/>
      <c r="O67" s="7"/>
      <c r="P67" s="62">
        <f t="array" ref="P67">MAX(IF($A67=AB_TF!F:F,AB_TF!D:D))</f>
        <v>0</v>
      </c>
      <c r="Q67" s="63" t="str">
        <f t="array" ref="Q67">INDEX(AB_TF!C:C,MATCH(1,(AB_TF!F:F=A67)*(AB_TF!D:D=P67),0))</f>
        <v>#N/A</v>
      </c>
      <c r="R67" s="63">
        <f>COUNTIFS(AB_TF!F:F,"="&amp;A67,AB_TF!E:E,"Small*")</f>
        <v>0</v>
      </c>
      <c r="S67" s="63">
        <f>COUNTIFS(AB_TF!F:F,"="&amp;A67,AB_TF!E:E,"Medium*")</f>
        <v>0</v>
      </c>
      <c r="T67" s="63">
        <f>COUNTIFS(AB_TF!F:F,"="&amp;A67,AB_TF!E:E,"Large*")</f>
        <v>0</v>
      </c>
      <c r="U67" s="64">
        <f t="shared" si="1"/>
        <v>0</v>
      </c>
    </row>
    <row r="68">
      <c r="A68" s="7">
        <f>IFERROR(__xludf.DUMMYFUNCTION("""COMPUTED_VALUE"""),269.0)</f>
        <v>269</v>
      </c>
      <c r="B68" s="7" t="str">
        <f>IFERROR(__xludf.DUMMYFUNCTION("""COMPUTED_VALUE"""),"Arnav")</f>
        <v>Arnav</v>
      </c>
      <c r="C68" s="7" t="str">
        <f>IFERROR(__xludf.DUMMYFUNCTION("""COMPUTED_VALUE"""),"Arnav")</f>
        <v>Arnav</v>
      </c>
      <c r="D68" s="7"/>
      <c r="E68" s="7"/>
      <c r="F68" s="7"/>
      <c r="G68" s="7"/>
      <c r="H68" s="7" t="str">
        <f>IFERROR(__xludf.DUMMYFUNCTION("""COMPUTED_VALUE"""),"DJ")</f>
        <v>DJ</v>
      </c>
      <c r="I68" s="7"/>
      <c r="J68" s="7"/>
      <c r="K68" s="7"/>
      <c r="L68" s="7"/>
      <c r="M68" s="7"/>
      <c r="N68" s="7"/>
      <c r="O68" s="7"/>
      <c r="P68" s="62">
        <f t="array" ref="P68">MAX(IF($A68=AB_TF!F:F,AB_TF!D:D))</f>
        <v>0</v>
      </c>
      <c r="Q68" s="63" t="str">
        <f t="array" ref="Q68">INDEX(AB_TF!C:C,MATCH(1,(AB_TF!F:F=A68)*(AB_TF!D:D=P68),0))</f>
        <v>#N/A</v>
      </c>
      <c r="R68" s="63">
        <f>COUNTIFS(AB_TF!F:F,"="&amp;A68,AB_TF!E:E,"Small*")</f>
        <v>0</v>
      </c>
      <c r="S68" s="63">
        <f>COUNTIFS(AB_TF!F:F,"="&amp;A68,AB_TF!E:E,"Medium*")</f>
        <v>0</v>
      </c>
      <c r="T68" s="63">
        <f>COUNTIFS(AB_TF!F:F,"="&amp;A68,AB_TF!E:E,"Large*")</f>
        <v>0</v>
      </c>
      <c r="U68" s="64">
        <f t="shared" si="1"/>
        <v>0</v>
      </c>
    </row>
    <row r="69">
      <c r="A69" s="7">
        <f>IFERROR(__xludf.DUMMYFUNCTION("""COMPUTED_VALUE"""),270.0)</f>
        <v>270</v>
      </c>
      <c r="B69" s="7" t="str">
        <f>IFERROR(__xludf.DUMMYFUNCTION("""COMPUTED_VALUE"""),"Arthi")</f>
        <v>Arthi</v>
      </c>
      <c r="C69" s="7" t="str">
        <f>IFERROR(__xludf.DUMMYFUNCTION("""COMPUTED_VALUE"""),"Arthi")</f>
        <v>Arthi</v>
      </c>
      <c r="D69" s="7"/>
      <c r="E69" s="7"/>
      <c r="F69" s="7"/>
      <c r="G69" s="7"/>
      <c r="H69" s="7" t="str">
        <f>IFERROR(__xludf.DUMMYFUNCTION("""COMPUTED_VALUE"""),"DJ, Live Act")</f>
        <v>DJ, Live Act</v>
      </c>
      <c r="I69" s="7"/>
      <c r="J69" s="7"/>
      <c r="K69" s="7"/>
      <c r="L69" s="7"/>
      <c r="M69" s="7"/>
      <c r="N69" s="7"/>
      <c r="O69" s="7"/>
      <c r="P69" s="62">
        <f t="array" ref="P69">MAX(IF($A69=AB_TF!F:F,AB_TF!D:D))</f>
        <v>0</v>
      </c>
      <c r="Q69" s="63" t="str">
        <f t="array" ref="Q69">INDEX(AB_TF!C:C,MATCH(1,(AB_TF!F:F=A69)*(AB_TF!D:D=P69),0))</f>
        <v>#N/A</v>
      </c>
      <c r="R69" s="63">
        <f>COUNTIFS(AB_TF!F:F,"="&amp;A69,AB_TF!E:E,"Small*")</f>
        <v>0</v>
      </c>
      <c r="S69" s="63">
        <f>COUNTIFS(AB_TF!F:F,"="&amp;A69,AB_TF!E:E,"Medium*")</f>
        <v>0</v>
      </c>
      <c r="T69" s="63">
        <f>COUNTIFS(AB_TF!F:F,"="&amp;A69,AB_TF!E:E,"Large*")</f>
        <v>0</v>
      </c>
      <c r="U69" s="64">
        <f t="shared" si="1"/>
        <v>0</v>
      </c>
    </row>
    <row r="70">
      <c r="A70" s="7">
        <f>IFERROR(__xludf.DUMMYFUNCTION("""COMPUTED_VALUE"""),271.0)</f>
        <v>271</v>
      </c>
      <c r="B70" s="7" t="str">
        <f>IFERROR(__xludf.DUMMYFUNCTION("""COMPUTED_VALUE"""),"Azan Ahmed")</f>
        <v>Azan Ahmed</v>
      </c>
      <c r="C70" s="7" t="str">
        <f>IFERROR(__xludf.DUMMYFUNCTION("""COMPUTED_VALUE"""),"Azan Ahmed")</f>
        <v>Azan Ahmed</v>
      </c>
      <c r="D70" s="7"/>
      <c r="E70" s="7"/>
      <c r="F70" s="7"/>
      <c r="G70" s="7"/>
      <c r="H70" s="7" t="str">
        <f>IFERROR(__xludf.DUMMYFUNCTION("""COMPUTED_VALUE"""),"Live Act")</f>
        <v>Live Act</v>
      </c>
      <c r="I70" s="7"/>
      <c r="J70" s="7"/>
      <c r="K70" s="7"/>
      <c r="L70" s="7"/>
      <c r="M70" s="7"/>
      <c r="N70" s="7"/>
      <c r="O70" s="7"/>
      <c r="P70" s="62">
        <f t="array" ref="P70">MAX(IF($A70=AB_TF!F:F,AB_TF!D:D))</f>
        <v>0</v>
      </c>
      <c r="Q70" s="63" t="str">
        <f t="array" ref="Q70">INDEX(AB_TF!C:C,MATCH(1,(AB_TF!F:F=A70)*(AB_TF!D:D=P70),0))</f>
        <v>#N/A</v>
      </c>
      <c r="R70" s="63">
        <f>COUNTIFS(AB_TF!F:F,"="&amp;A70,AB_TF!E:E,"Small*")</f>
        <v>0</v>
      </c>
      <c r="S70" s="63">
        <f>COUNTIFS(AB_TF!F:F,"="&amp;A70,AB_TF!E:E,"Medium*")</f>
        <v>0</v>
      </c>
      <c r="T70" s="63">
        <f>COUNTIFS(AB_TF!F:F,"="&amp;A70,AB_TF!E:E,"Large*")</f>
        <v>0</v>
      </c>
      <c r="U70" s="64">
        <f t="shared" si="1"/>
        <v>0</v>
      </c>
    </row>
    <row r="71">
      <c r="A71" s="7">
        <f>IFERROR(__xludf.DUMMYFUNCTION("""COMPUTED_VALUE"""),272.0)</f>
        <v>272</v>
      </c>
      <c r="B71" s="7" t="str">
        <f>IFERROR(__xludf.DUMMYFUNCTION("""COMPUTED_VALUE"""),"Bindiyas World")</f>
        <v>Bindiyas World</v>
      </c>
      <c r="C71" s="7"/>
      <c r="D71" s="7"/>
      <c r="E71" s="7"/>
      <c r="F71" s="7"/>
      <c r="G71" s="7"/>
      <c r="H71" s="7" t="str">
        <f>IFERROR(__xludf.DUMMYFUNCTION("""COMPUTED_VALUE"""),"Live Act")</f>
        <v>Live Act</v>
      </c>
      <c r="I71" s="7"/>
      <c r="J71" s="7"/>
      <c r="K71" s="7"/>
      <c r="L71" s="7"/>
      <c r="M71" s="7"/>
      <c r="N71" s="7"/>
      <c r="O71" s="7"/>
      <c r="P71" s="62">
        <f t="array" ref="P71">MAX(IF($A71=AB_TF!F:F,AB_TF!D:D))</f>
        <v>0</v>
      </c>
      <c r="Q71" s="63" t="str">
        <f t="array" ref="Q71">INDEX(AB_TF!C:C,MATCH(1,(AB_TF!F:F=A71)*(AB_TF!D:D=P71),0))</f>
        <v>#N/A</v>
      </c>
      <c r="R71" s="63">
        <f>COUNTIFS(AB_TF!F:F,"="&amp;A71,AB_TF!E:E,"Small*")</f>
        <v>0</v>
      </c>
      <c r="S71" s="63">
        <f>COUNTIFS(AB_TF!F:F,"="&amp;A71,AB_TF!E:E,"Medium*")</f>
        <v>0</v>
      </c>
      <c r="T71" s="63">
        <f>COUNTIFS(AB_TF!F:F,"="&amp;A71,AB_TF!E:E,"Large*")</f>
        <v>0</v>
      </c>
      <c r="U71" s="64">
        <f t="shared" si="1"/>
        <v>0</v>
      </c>
    </row>
    <row r="72">
      <c r="A72" s="7">
        <f>IFERROR(__xludf.DUMMYFUNCTION("""COMPUTED_VALUE"""),273.0)</f>
        <v>273</v>
      </c>
      <c r="B72" s="7" t="str">
        <f>IFERROR(__xludf.DUMMYFUNCTION("""COMPUTED_VALUE"""),"Bintmbareh")</f>
        <v>Bintmbareh</v>
      </c>
      <c r="C72" s="7"/>
      <c r="D72" s="7"/>
      <c r="E72" s="7"/>
      <c r="F72" s="7"/>
      <c r="G72" s="7"/>
      <c r="H72" s="7" t="str">
        <f>IFERROR(__xludf.DUMMYFUNCTION("""COMPUTED_VALUE"""),"DJ")</f>
        <v>DJ</v>
      </c>
      <c r="I72" s="7"/>
      <c r="J72" s="7"/>
      <c r="K72" s="7"/>
      <c r="L72" s="7"/>
      <c r="M72" s="7"/>
      <c r="N72" s="7"/>
      <c r="O72" s="7"/>
      <c r="P72" s="62">
        <f t="array" ref="P72">MAX(IF($A72=AB_TF!F:F,AB_TF!D:D))</f>
        <v>0</v>
      </c>
      <c r="Q72" s="63" t="str">
        <f t="array" ref="Q72">INDEX(AB_TF!C:C,MATCH(1,(AB_TF!F:F=A72)*(AB_TF!D:D=P72),0))</f>
        <v>#N/A</v>
      </c>
      <c r="R72" s="63">
        <f>COUNTIFS(AB_TF!F:F,"="&amp;A72,AB_TF!E:E,"Small*")</f>
        <v>0</v>
      </c>
      <c r="S72" s="63">
        <f>COUNTIFS(AB_TF!F:F,"="&amp;A72,AB_TF!E:E,"Medium*")</f>
        <v>0</v>
      </c>
      <c r="T72" s="63">
        <f>COUNTIFS(AB_TF!F:F,"="&amp;A72,AB_TF!E:E,"Large*")</f>
        <v>0</v>
      </c>
      <c r="U72" s="64">
        <f t="shared" si="1"/>
        <v>0</v>
      </c>
    </row>
    <row r="73">
      <c r="A73" s="7">
        <f>IFERROR(__xludf.DUMMYFUNCTION("""COMPUTED_VALUE"""),274.0)</f>
        <v>274</v>
      </c>
      <c r="B73" s="7" t="str">
        <f>IFERROR(__xludf.DUMMYFUNCTION("""COMPUTED_VALUE"""),"Bolly Illusion")</f>
        <v>Bolly Illusion</v>
      </c>
      <c r="C73" s="7"/>
      <c r="D73" s="7"/>
      <c r="E73" s="7"/>
      <c r="F73" s="7"/>
      <c r="G73" s="7"/>
      <c r="H73" s="7" t="str">
        <f>IFERROR(__xludf.DUMMYFUNCTION("""COMPUTED_VALUE"""),"Live Act")</f>
        <v>Live Act</v>
      </c>
      <c r="I73" s="7"/>
      <c r="J73" s="7"/>
      <c r="K73" s="7"/>
      <c r="L73" s="7"/>
      <c r="M73" s="7"/>
      <c r="N73" s="7"/>
      <c r="O73" s="7"/>
      <c r="P73" s="62">
        <f t="array" ref="P73">MAX(IF($A73=AB_TF!F:F,AB_TF!D:D))</f>
        <v>0</v>
      </c>
      <c r="Q73" s="63" t="str">
        <f t="array" ref="Q73">INDEX(AB_TF!C:C,MATCH(1,(AB_TF!F:F=A73)*(AB_TF!D:D=P73),0))</f>
        <v>#N/A</v>
      </c>
      <c r="R73" s="63">
        <f>COUNTIFS(AB_TF!F:F,"="&amp;A73,AB_TF!E:E,"Small*")</f>
        <v>0</v>
      </c>
      <c r="S73" s="63">
        <f>COUNTIFS(AB_TF!F:F,"="&amp;A73,AB_TF!E:E,"Medium*")</f>
        <v>0</v>
      </c>
      <c r="T73" s="63">
        <f>COUNTIFS(AB_TF!F:F,"="&amp;A73,AB_TF!E:E,"Large*")</f>
        <v>0</v>
      </c>
      <c r="U73" s="64">
        <f t="shared" si="1"/>
        <v>0</v>
      </c>
    </row>
    <row r="74">
      <c r="A74" s="7">
        <f>IFERROR(__xludf.DUMMYFUNCTION("""COMPUTED_VALUE"""),275.0)</f>
        <v>275</v>
      </c>
      <c r="B74" s="7" t="str">
        <f>IFERROR(__xludf.DUMMYFUNCTION("""COMPUTED_VALUE"""),"Disco Arabesquo")</f>
        <v>Disco Arabesquo</v>
      </c>
      <c r="C74" s="7"/>
      <c r="D74" s="7"/>
      <c r="E74" s="7"/>
      <c r="F74" s="7"/>
      <c r="G74" s="7"/>
      <c r="H74" s="7" t="str">
        <f>IFERROR(__xludf.DUMMYFUNCTION("""COMPUTED_VALUE"""),"DJ")</f>
        <v>DJ</v>
      </c>
      <c r="I74" s="7"/>
      <c r="J74" s="7"/>
      <c r="K74" s="7"/>
      <c r="L74" s="7"/>
      <c r="M74" s="7"/>
      <c r="N74" s="7"/>
      <c r="O74" s="7"/>
      <c r="P74" s="62">
        <f t="array" ref="P74">MAX(IF($A74=AB_TF!F:F,AB_TF!D:D))</f>
        <v>0</v>
      </c>
      <c r="Q74" s="63" t="str">
        <f t="array" ref="Q74">INDEX(AB_TF!C:C,MATCH(1,(AB_TF!F:F=A74)*(AB_TF!D:D=P74),0))</f>
        <v>#N/A</v>
      </c>
      <c r="R74" s="63">
        <f>COUNTIFS(AB_TF!F:F,"="&amp;A74,AB_TF!E:E,"Small*")</f>
        <v>0</v>
      </c>
      <c r="S74" s="63">
        <f>COUNTIFS(AB_TF!F:F,"="&amp;A74,AB_TF!E:E,"Medium*")</f>
        <v>0</v>
      </c>
      <c r="T74" s="63">
        <f>COUNTIFS(AB_TF!F:F,"="&amp;A74,AB_TF!E:E,"Large*")</f>
        <v>0</v>
      </c>
      <c r="U74" s="64">
        <f t="shared" si="1"/>
        <v>0</v>
      </c>
    </row>
    <row r="75">
      <c r="A75" s="7">
        <f>IFERROR(__xludf.DUMMYFUNCTION("""COMPUTED_VALUE"""),276.0)</f>
        <v>276</v>
      </c>
      <c r="B75" s="7" t="str">
        <f>IFERROR(__xludf.DUMMYFUNCTION("""COMPUTED_VALUE"""),"DJ Mimi")</f>
        <v>DJ Mimi</v>
      </c>
      <c r="C75" s="7"/>
      <c r="D75" s="7"/>
      <c r="E75" s="7"/>
      <c r="F75" s="7"/>
      <c r="G75" s="7"/>
      <c r="H75" s="7" t="str">
        <f>IFERROR(__xludf.DUMMYFUNCTION("""COMPUTED_VALUE"""),"DJ")</f>
        <v>DJ</v>
      </c>
      <c r="I75" s="7"/>
      <c r="J75" s="7"/>
      <c r="K75" s="7"/>
      <c r="L75" s="7"/>
      <c r="M75" s="7"/>
      <c r="N75" s="7"/>
      <c r="O75" s="7"/>
      <c r="P75" s="62">
        <f t="array" ref="P75">MAX(IF($A75=AB_TF!F:F,AB_TF!D:D))</f>
        <v>0</v>
      </c>
      <c r="Q75" s="63" t="str">
        <f t="array" ref="Q75">INDEX(AB_TF!C:C,MATCH(1,(AB_TF!F:F=A75)*(AB_TF!D:D=P75),0))</f>
        <v>#N/A</v>
      </c>
      <c r="R75" s="63">
        <f>COUNTIFS(AB_TF!F:F,"="&amp;A75,AB_TF!E:E,"Small*")</f>
        <v>0</v>
      </c>
      <c r="S75" s="63">
        <f>COUNTIFS(AB_TF!F:F,"="&amp;A75,AB_TF!E:E,"Medium*")</f>
        <v>0</v>
      </c>
      <c r="T75" s="63">
        <f>COUNTIFS(AB_TF!F:F,"="&amp;A75,AB_TF!E:E,"Large*")</f>
        <v>0</v>
      </c>
      <c r="U75" s="64">
        <f t="shared" si="1"/>
        <v>0</v>
      </c>
    </row>
    <row r="76">
      <c r="A76" s="7">
        <f>IFERROR(__xludf.DUMMYFUNCTION("""COMPUTED_VALUE"""),277.0)</f>
        <v>277</v>
      </c>
      <c r="B76" s="7" t="str">
        <f>IFERROR(__xludf.DUMMYFUNCTION("""COMPUTED_VALUE"""),"Petit P")</f>
        <v>Petit P</v>
      </c>
      <c r="C76" s="7"/>
      <c r="D76" s="7"/>
      <c r="E76" s="7"/>
      <c r="F76" s="7"/>
      <c r="G76" s="7"/>
      <c r="H76" s="7" t="str">
        <f>IFERROR(__xludf.DUMMYFUNCTION("""COMPUTED_VALUE"""),"DJ")</f>
        <v>DJ</v>
      </c>
      <c r="I76" s="7"/>
      <c r="J76" s="7"/>
      <c r="K76" s="7"/>
      <c r="L76" s="7"/>
      <c r="M76" s="7"/>
      <c r="N76" s="7"/>
      <c r="O76" s="7"/>
      <c r="P76" s="62">
        <f t="array" ref="P76">MAX(IF($A76=AB_TF!F:F,AB_TF!D:D))</f>
        <v>0</v>
      </c>
      <c r="Q76" s="63" t="str">
        <f t="array" ref="Q76">INDEX(AB_TF!C:C,MATCH(1,(AB_TF!F:F=A76)*(AB_TF!D:D=P76),0))</f>
        <v>#N/A</v>
      </c>
      <c r="R76" s="63">
        <f>COUNTIFS(AB_TF!F:F,"="&amp;A76,AB_TF!E:E,"Small*")</f>
        <v>0</v>
      </c>
      <c r="S76" s="63">
        <f>COUNTIFS(AB_TF!F:F,"="&amp;A76,AB_TF!E:E,"Medium*")</f>
        <v>0</v>
      </c>
      <c r="T76" s="63">
        <f>COUNTIFS(AB_TF!F:F,"="&amp;A76,AB_TF!E:E,"Large*")</f>
        <v>0</v>
      </c>
      <c r="U76" s="64">
        <f t="shared" si="1"/>
        <v>0</v>
      </c>
    </row>
    <row r="77">
      <c r="A77" s="7">
        <f>IFERROR(__xludf.DUMMYFUNCTION("""COMPUTED_VALUE"""),278.0)</f>
        <v>278</v>
      </c>
      <c r="B77" s="7" t="str">
        <f>IFERROR(__xludf.DUMMYFUNCTION("""COMPUTED_VALUE"""),"D-Lish")</f>
        <v>D-Lish</v>
      </c>
      <c r="C77" s="7" t="str">
        <f>IFERROR(__xludf.DUMMYFUNCTION("""COMPUTED_VALUE"""),"Alisha Shah")</f>
        <v>Alisha Shah</v>
      </c>
      <c r="D77" s="7"/>
      <c r="E77" s="7"/>
      <c r="F77" s="7"/>
      <c r="G77" s="7"/>
      <c r="H77" s="7" t="str">
        <f>IFERROR(__xludf.DUMMYFUNCTION("""COMPUTED_VALUE"""),"DJ")</f>
        <v>DJ</v>
      </c>
      <c r="I77" s="7"/>
      <c r="J77" s="7"/>
      <c r="K77" s="7"/>
      <c r="L77" s="7"/>
      <c r="M77" s="7"/>
      <c r="N77" s="7"/>
      <c r="O77" s="7"/>
      <c r="P77" s="62">
        <f t="array" ref="P77">MAX(IF($A77=AB_TF!F:F,AB_TF!D:D))</f>
        <v>0</v>
      </c>
      <c r="Q77" s="63" t="str">
        <f t="array" ref="Q77">INDEX(AB_TF!C:C,MATCH(1,(AB_TF!F:F=A77)*(AB_TF!D:D=P77),0))</f>
        <v>#N/A</v>
      </c>
      <c r="R77" s="63">
        <f>COUNTIFS(AB_TF!F:F,"="&amp;A77,AB_TF!E:E,"Small*")</f>
        <v>0</v>
      </c>
      <c r="S77" s="63">
        <f>COUNTIFS(AB_TF!F:F,"="&amp;A77,AB_TF!E:E,"Medium*")</f>
        <v>0</v>
      </c>
      <c r="T77" s="63">
        <f>COUNTIFS(AB_TF!F:F,"="&amp;A77,AB_TF!E:E,"Large*")</f>
        <v>0</v>
      </c>
      <c r="U77" s="64">
        <f t="shared" si="1"/>
        <v>0</v>
      </c>
    </row>
    <row r="78">
      <c r="A78" s="7">
        <f>IFERROR(__xludf.DUMMYFUNCTION("""COMPUTED_VALUE"""),279.0)</f>
        <v>279</v>
      </c>
      <c r="B78" s="7" t="str">
        <f>IFERROR(__xludf.DUMMYFUNCTION("""COMPUTED_VALUE"""),"Elvira")</f>
        <v>Elvira</v>
      </c>
      <c r="C78" s="7"/>
      <c r="D78" s="7"/>
      <c r="E78" s="7"/>
      <c r="F78" s="7"/>
      <c r="G78" s="7"/>
      <c r="H78" s="7" t="str">
        <f>IFERROR(__xludf.DUMMYFUNCTION("""COMPUTED_VALUE"""),"DJ")</f>
        <v>DJ</v>
      </c>
      <c r="I78" s="7"/>
      <c r="J78" s="7"/>
      <c r="K78" s="7"/>
      <c r="L78" s="7"/>
      <c r="M78" s="7"/>
      <c r="N78" s="7"/>
      <c r="O78" s="7"/>
      <c r="P78" s="62">
        <f t="array" ref="P78">MAX(IF($A78=AB_TF!F:F,AB_TF!D:D))</f>
        <v>0</v>
      </c>
      <c r="Q78" s="63" t="str">
        <f t="array" ref="Q78">INDEX(AB_TF!C:C,MATCH(1,(AB_TF!F:F=A78)*(AB_TF!D:D=P78),0))</f>
        <v>#N/A</v>
      </c>
      <c r="R78" s="63">
        <f>COUNTIFS(AB_TF!F:F,"="&amp;A78,AB_TF!E:E,"Small*")</f>
        <v>0</v>
      </c>
      <c r="S78" s="63">
        <f>COUNTIFS(AB_TF!F:F,"="&amp;A78,AB_TF!E:E,"Medium*")</f>
        <v>0</v>
      </c>
      <c r="T78" s="63">
        <f>COUNTIFS(AB_TF!F:F,"="&amp;A78,AB_TF!E:E,"Large*")</f>
        <v>0</v>
      </c>
      <c r="U78" s="64">
        <f t="shared" si="1"/>
        <v>0</v>
      </c>
    </row>
    <row r="79">
      <c r="A79" s="7">
        <f>IFERROR(__xludf.DUMMYFUNCTION("""COMPUTED_VALUE"""),280.0)</f>
        <v>280</v>
      </c>
      <c r="B79" s="7" t="str">
        <f>IFERROR(__xludf.DUMMYFUNCTION("""COMPUTED_VALUE"""),"Enayet")</f>
        <v>Enayet</v>
      </c>
      <c r="C79" s="7"/>
      <c r="D79" s="7"/>
      <c r="E79" s="7"/>
      <c r="F79" s="7"/>
      <c r="G79" s="7"/>
      <c r="H79" s="7" t="str">
        <f>IFERROR(__xludf.DUMMYFUNCTION("""COMPUTED_VALUE"""),"DJ")</f>
        <v>DJ</v>
      </c>
      <c r="I79" s="7"/>
      <c r="J79" s="7"/>
      <c r="K79" s="7"/>
      <c r="L79" s="7"/>
      <c r="M79" s="7"/>
      <c r="N79" s="7"/>
      <c r="O79" s="7"/>
      <c r="P79" s="62">
        <f t="array" ref="P79">MAX(IF($A79=AB_TF!F:F,AB_TF!D:D))</f>
        <v>0</v>
      </c>
      <c r="Q79" s="63" t="str">
        <f t="array" ref="Q79">INDEX(AB_TF!C:C,MATCH(1,(AB_TF!F:F=A79)*(AB_TF!D:D=P79),0))</f>
        <v>#N/A</v>
      </c>
      <c r="R79" s="63">
        <f>COUNTIFS(AB_TF!F:F,"="&amp;A79,AB_TF!E:E,"Small*")</f>
        <v>0</v>
      </c>
      <c r="S79" s="63">
        <f>COUNTIFS(AB_TF!F:F,"="&amp;A79,AB_TF!E:E,"Medium*")</f>
        <v>0</v>
      </c>
      <c r="T79" s="63">
        <f>COUNTIFS(AB_TF!F:F,"="&amp;A79,AB_TF!E:E,"Large*")</f>
        <v>0</v>
      </c>
      <c r="U79" s="64">
        <f t="shared" si="1"/>
        <v>0</v>
      </c>
    </row>
    <row r="80">
      <c r="A80" s="7">
        <f>IFERROR(__xludf.DUMMYFUNCTION("""COMPUTED_VALUE"""),281.0)</f>
        <v>281</v>
      </c>
      <c r="B80" s="7" t="str">
        <f>IFERROR(__xludf.DUMMYFUNCTION("""COMPUTED_VALUE"""),"Esky")</f>
        <v>Esky</v>
      </c>
      <c r="C80" s="7"/>
      <c r="D80" s="7"/>
      <c r="E80" s="7"/>
      <c r="F80" s="7"/>
      <c r="G80" s="7"/>
      <c r="H80" s="7" t="str">
        <f>IFERROR(__xludf.DUMMYFUNCTION("""COMPUTED_VALUE"""),"DJ")</f>
        <v>DJ</v>
      </c>
      <c r="I80" s="7"/>
      <c r="J80" s="7"/>
      <c r="K80" s="7"/>
      <c r="L80" s="7"/>
      <c r="M80" s="7"/>
      <c r="N80" s="7"/>
      <c r="O80" s="7"/>
      <c r="P80" s="62">
        <f t="array" ref="P80">MAX(IF($A80=AB_TF!F:F,AB_TF!D:D))</f>
        <v>0</v>
      </c>
      <c r="Q80" s="63" t="str">
        <f t="array" ref="Q80">INDEX(AB_TF!C:C,MATCH(1,(AB_TF!F:F=A80)*(AB_TF!D:D=P80),0))</f>
        <v>#N/A</v>
      </c>
      <c r="R80" s="63">
        <f>COUNTIFS(AB_TF!F:F,"="&amp;A80,AB_TF!E:E,"Small*")</f>
        <v>0</v>
      </c>
      <c r="S80" s="63">
        <f>COUNTIFS(AB_TF!F:F,"="&amp;A80,AB_TF!E:E,"Medium*")</f>
        <v>0</v>
      </c>
      <c r="T80" s="63">
        <f>COUNTIFS(AB_TF!F:F,"="&amp;A80,AB_TF!E:E,"Large*")</f>
        <v>0</v>
      </c>
      <c r="U80" s="64">
        <f t="shared" si="1"/>
        <v>0</v>
      </c>
    </row>
    <row r="81">
      <c r="A81" s="7">
        <f>IFERROR(__xludf.DUMMYFUNCTION("""COMPUTED_VALUE"""),282.0)</f>
        <v>282</v>
      </c>
      <c r="B81" s="7" t="str">
        <f>IFERROR(__xludf.DUMMYFUNCTION("""COMPUTED_VALUE"""),"Grewal Twins")</f>
        <v>Grewal Twins</v>
      </c>
      <c r="C81" s="7"/>
      <c r="D81" s="7"/>
      <c r="E81" s="7"/>
      <c r="F81" s="7"/>
      <c r="G81" s="7"/>
      <c r="H81" s="7" t="str">
        <f>IFERROR(__xludf.DUMMYFUNCTION("""COMPUTED_VALUE"""),"Live Act")</f>
        <v>Live Act</v>
      </c>
      <c r="I81" s="7"/>
      <c r="J81" s="7"/>
      <c r="K81" s="7"/>
      <c r="L81" s="7"/>
      <c r="M81" s="7"/>
      <c r="N81" s="7"/>
      <c r="O81" s="7"/>
      <c r="P81" s="62">
        <f t="array" ref="P81">MAX(IF($A81=AB_TF!F:F,AB_TF!D:D))</f>
        <v>0</v>
      </c>
      <c r="Q81" s="63" t="str">
        <f t="array" ref="Q81">INDEX(AB_TF!C:C,MATCH(1,(AB_TF!F:F=A81)*(AB_TF!D:D=P81),0))</f>
        <v>#N/A</v>
      </c>
      <c r="R81" s="63">
        <f>COUNTIFS(AB_TF!F:F,"="&amp;A81,AB_TF!E:E,"Small*")</f>
        <v>0</v>
      </c>
      <c r="S81" s="63">
        <f>COUNTIFS(AB_TF!F:F,"="&amp;A81,AB_TF!E:E,"Medium*")</f>
        <v>0</v>
      </c>
      <c r="T81" s="63">
        <f>COUNTIFS(AB_TF!F:F,"="&amp;A81,AB_TF!E:E,"Large*")</f>
        <v>0</v>
      </c>
      <c r="U81" s="64">
        <f t="shared" si="1"/>
        <v>0</v>
      </c>
    </row>
    <row r="82">
      <c r="A82" s="7">
        <f>IFERROR(__xludf.DUMMYFUNCTION("""COMPUTED_VALUE"""),283.0)</f>
        <v>283</v>
      </c>
      <c r="B82" s="7" t="str">
        <f>IFERROR(__xludf.DUMMYFUNCTION("""COMPUTED_VALUE"""),"Honeyjamn")</f>
        <v>Honeyjamn</v>
      </c>
      <c r="C82" s="7"/>
      <c r="D82" s="7"/>
      <c r="E82" s="7"/>
      <c r="F82" s="7"/>
      <c r="G82" s="7"/>
      <c r="H82" s="7" t="str">
        <f>IFERROR(__xludf.DUMMYFUNCTION("""COMPUTED_VALUE"""),"DJ")</f>
        <v>DJ</v>
      </c>
      <c r="I82" s="7"/>
      <c r="J82" s="7"/>
      <c r="K82" s="7"/>
      <c r="L82" s="7"/>
      <c r="M82" s="7"/>
      <c r="N82" s="7"/>
      <c r="O82" s="7"/>
      <c r="P82" s="62">
        <f t="array" ref="P82">MAX(IF($A82=AB_TF!F:F,AB_TF!D:D))</f>
        <v>0</v>
      </c>
      <c r="Q82" s="63" t="str">
        <f t="array" ref="Q82">INDEX(AB_TF!C:C,MATCH(1,(AB_TF!F:F=A82)*(AB_TF!D:D=P82),0))</f>
        <v>#N/A</v>
      </c>
      <c r="R82" s="63">
        <f>COUNTIFS(AB_TF!F:F,"="&amp;A82,AB_TF!E:E,"Small*")</f>
        <v>0</v>
      </c>
      <c r="S82" s="63">
        <f>COUNTIFS(AB_TF!F:F,"="&amp;A82,AB_TF!E:E,"Medium*")</f>
        <v>0</v>
      </c>
      <c r="T82" s="63">
        <f>COUNTIFS(AB_TF!F:F,"="&amp;A82,AB_TF!E:E,"Large*")</f>
        <v>0</v>
      </c>
      <c r="U82" s="64">
        <f t="shared" si="1"/>
        <v>0</v>
      </c>
    </row>
    <row r="83">
      <c r="A83" s="7">
        <f>IFERROR(__xludf.DUMMYFUNCTION("""COMPUTED_VALUE"""),284.0)</f>
        <v>284</v>
      </c>
      <c r="B83" s="7" t="str">
        <f>IFERROR(__xludf.DUMMYFUNCTION("""COMPUTED_VALUE"""),"Jameela")</f>
        <v>Jameela</v>
      </c>
      <c r="C83" s="7"/>
      <c r="D83" s="7"/>
      <c r="E83" s="7"/>
      <c r="F83" s="7"/>
      <c r="G83" s="7"/>
      <c r="H83" s="7" t="str">
        <f>IFERROR(__xludf.DUMMYFUNCTION("""COMPUTED_VALUE"""),"DJ")</f>
        <v>DJ</v>
      </c>
      <c r="I83" s="7"/>
      <c r="J83" s="7"/>
      <c r="K83" s="7"/>
      <c r="L83" s="7"/>
      <c r="M83" s="7"/>
      <c r="N83" s="7"/>
      <c r="O83" s="7"/>
      <c r="P83" s="62">
        <f t="array" ref="P83">MAX(IF($A83=AB_TF!F:F,AB_TF!D:D))</f>
        <v>0</v>
      </c>
      <c r="Q83" s="63" t="str">
        <f t="array" ref="Q83">INDEX(AB_TF!C:C,MATCH(1,(AB_TF!F:F=A83)*(AB_TF!D:D=P83),0))</f>
        <v>#N/A</v>
      </c>
      <c r="R83" s="63">
        <f>COUNTIFS(AB_TF!F:F,"="&amp;A83,AB_TF!E:E,"Small*")</f>
        <v>0</v>
      </c>
      <c r="S83" s="63">
        <f>COUNTIFS(AB_TF!F:F,"="&amp;A83,AB_TF!E:E,"Medium*")</f>
        <v>0</v>
      </c>
      <c r="T83" s="63">
        <f>COUNTIFS(AB_TF!F:F,"="&amp;A83,AB_TF!E:E,"Large*")</f>
        <v>0</v>
      </c>
      <c r="U83" s="64">
        <f t="shared" si="1"/>
        <v>0</v>
      </c>
    </row>
    <row r="84">
      <c r="A84" s="7">
        <f>IFERROR(__xludf.DUMMYFUNCTION("""COMPUTED_VALUE"""),285.0)</f>
        <v>285</v>
      </c>
      <c r="B84" s="7" t="str">
        <f>IFERROR(__xludf.DUMMYFUNCTION("""COMPUTED_VALUE"""),"Jaskkkkkkk")</f>
        <v>Jaskkkkkkk</v>
      </c>
      <c r="C84" s="7"/>
      <c r="D84" s="7"/>
      <c r="E84" s="7"/>
      <c r="F84" s="7"/>
      <c r="G84" s="7"/>
      <c r="H84" s="7" t="str">
        <f>IFERROR(__xludf.DUMMYFUNCTION("""COMPUTED_VALUE"""),"DJ")</f>
        <v>DJ</v>
      </c>
      <c r="I84" s="7"/>
      <c r="J84" s="7"/>
      <c r="K84" s="7"/>
      <c r="L84" s="7"/>
      <c r="M84" s="7"/>
      <c r="N84" s="7"/>
      <c r="O84" s="7"/>
      <c r="P84" s="62">
        <f t="array" ref="P84">MAX(IF($A84=AB_TF!F:F,AB_TF!D:D))</f>
        <v>0</v>
      </c>
      <c r="Q84" s="63" t="str">
        <f t="array" ref="Q84">INDEX(AB_TF!C:C,MATCH(1,(AB_TF!F:F=A84)*(AB_TF!D:D=P84),0))</f>
        <v>#N/A</v>
      </c>
      <c r="R84" s="63">
        <f>COUNTIFS(AB_TF!F:F,"="&amp;A84,AB_TF!E:E,"Small*")</f>
        <v>0</v>
      </c>
      <c r="S84" s="63">
        <f>COUNTIFS(AB_TF!F:F,"="&amp;A84,AB_TF!E:E,"Medium*")</f>
        <v>0</v>
      </c>
      <c r="T84" s="63">
        <f>COUNTIFS(AB_TF!F:F,"="&amp;A84,AB_TF!E:E,"Large*")</f>
        <v>0</v>
      </c>
      <c r="U84" s="64">
        <f t="shared" si="1"/>
        <v>0</v>
      </c>
    </row>
    <row r="85">
      <c r="A85" s="7">
        <f>IFERROR(__xludf.DUMMYFUNCTION("""COMPUTED_VALUE"""),286.0)</f>
        <v>286</v>
      </c>
      <c r="B85" s="7" t="str">
        <f>IFERROR(__xludf.DUMMYFUNCTION("""COMPUTED_VALUE"""),"JAY TAPES")</f>
        <v>JAY TAPES</v>
      </c>
      <c r="C85" s="7"/>
      <c r="D85" s="7"/>
      <c r="E85" s="7"/>
      <c r="F85" s="7"/>
      <c r="G85" s="7"/>
      <c r="H85" s="7" t="str">
        <f>IFERROR(__xludf.DUMMYFUNCTION("""COMPUTED_VALUE"""),"DJ")</f>
        <v>DJ</v>
      </c>
      <c r="I85" s="7"/>
      <c r="J85" s="7"/>
      <c r="K85" s="7"/>
      <c r="L85" s="7"/>
      <c r="M85" s="7"/>
      <c r="N85" s="7"/>
      <c r="O85" s="7"/>
      <c r="P85" s="62">
        <f t="array" ref="P85">MAX(IF($A85=AB_TF!F:F,AB_TF!D:D))</f>
        <v>0</v>
      </c>
      <c r="Q85" s="63" t="str">
        <f t="array" ref="Q85">INDEX(AB_TF!C:C,MATCH(1,(AB_TF!F:F=A85)*(AB_TF!D:D=P85),0))</f>
        <v>#N/A</v>
      </c>
      <c r="R85" s="63">
        <f>COUNTIFS(AB_TF!F:F,"="&amp;A85,AB_TF!E:E,"Small*")</f>
        <v>0</v>
      </c>
      <c r="S85" s="63">
        <f>COUNTIFS(AB_TF!F:F,"="&amp;A85,AB_TF!E:E,"Medium*")</f>
        <v>0</v>
      </c>
      <c r="T85" s="63">
        <f>COUNTIFS(AB_TF!F:F,"="&amp;A85,AB_TF!E:E,"Large*")</f>
        <v>0</v>
      </c>
      <c r="U85" s="64">
        <f t="shared" si="1"/>
        <v>0</v>
      </c>
    </row>
    <row r="86">
      <c r="A86" s="7">
        <f>IFERROR(__xludf.DUMMYFUNCTION("""COMPUTED_VALUE"""),287.0)</f>
        <v>287</v>
      </c>
      <c r="B86" s="7" t="str">
        <f>IFERROR(__xludf.DUMMYFUNCTION("""COMPUTED_VALUE"""),"Jhumka")</f>
        <v>Jhumka</v>
      </c>
      <c r="C86" s="7"/>
      <c r="D86" s="7"/>
      <c r="E86" s="7"/>
      <c r="F86" s="7"/>
      <c r="G86" s="7"/>
      <c r="H86" s="7" t="str">
        <f>IFERROR(__xludf.DUMMYFUNCTION("""COMPUTED_VALUE"""),"DJ")</f>
        <v>DJ</v>
      </c>
      <c r="I86" s="7"/>
      <c r="J86" s="7"/>
      <c r="K86" s="7"/>
      <c r="L86" s="7"/>
      <c r="M86" s="7"/>
      <c r="N86" s="7"/>
      <c r="O86" s="7"/>
      <c r="P86" s="62">
        <f t="array" ref="P86">MAX(IF($A86=AB_TF!F:F,AB_TF!D:D))</f>
        <v>0</v>
      </c>
      <c r="Q86" s="63" t="str">
        <f t="array" ref="Q86">INDEX(AB_TF!C:C,MATCH(1,(AB_TF!F:F=A86)*(AB_TF!D:D=P86),0))</f>
        <v>#N/A</v>
      </c>
      <c r="R86" s="63">
        <f>COUNTIFS(AB_TF!F:F,"="&amp;A86,AB_TF!E:E,"Small*")</f>
        <v>0</v>
      </c>
      <c r="S86" s="63">
        <f>COUNTIFS(AB_TF!F:F,"="&amp;A86,AB_TF!E:E,"Medium*")</f>
        <v>0</v>
      </c>
      <c r="T86" s="63">
        <f>COUNTIFS(AB_TF!F:F,"="&amp;A86,AB_TF!E:E,"Large*")</f>
        <v>0</v>
      </c>
      <c r="U86" s="64">
        <f t="shared" si="1"/>
        <v>0</v>
      </c>
    </row>
    <row r="87">
      <c r="A87" s="7">
        <f>IFERROR(__xludf.DUMMYFUNCTION("""COMPUTED_VALUE"""),288.0)</f>
        <v>288</v>
      </c>
      <c r="B87" s="7" t="str">
        <f>IFERROR(__xludf.DUMMYFUNCTION("""COMPUTED_VALUE"""),"Jonny Khan")</f>
        <v>Jonny Khan</v>
      </c>
      <c r="C87" s="7" t="str">
        <f>IFERROR(__xludf.DUMMYFUNCTION("""COMPUTED_VALUE"""),"Jonny Khan")</f>
        <v>Jonny Khan</v>
      </c>
      <c r="D87" s="7"/>
      <c r="E87" s="7"/>
      <c r="F87" s="7"/>
      <c r="G87" s="7"/>
      <c r="H87" s="7" t="str">
        <f>IFERROR(__xludf.DUMMYFUNCTION("""COMPUTED_VALUE"""),"DJ")</f>
        <v>DJ</v>
      </c>
      <c r="I87" s="7"/>
      <c r="J87" s="7"/>
      <c r="K87" s="7"/>
      <c r="L87" s="7"/>
      <c r="M87" s="7"/>
      <c r="N87" s="7"/>
      <c r="O87" s="7"/>
      <c r="P87" s="62">
        <f t="array" ref="P87">MAX(IF($A87=AB_TF!F:F,AB_TF!D:D))</f>
        <v>0</v>
      </c>
      <c r="Q87" s="63" t="str">
        <f t="array" ref="Q87">INDEX(AB_TF!C:C,MATCH(1,(AB_TF!F:F=A87)*(AB_TF!D:D=P87),0))</f>
        <v>#N/A</v>
      </c>
      <c r="R87" s="63">
        <f>COUNTIFS(AB_TF!F:F,"="&amp;A87,AB_TF!E:E,"Small*")</f>
        <v>0</v>
      </c>
      <c r="S87" s="63">
        <f>COUNTIFS(AB_TF!F:F,"="&amp;A87,AB_TF!E:E,"Medium*")</f>
        <v>0</v>
      </c>
      <c r="T87" s="63">
        <f>COUNTIFS(AB_TF!F:F,"="&amp;A87,AB_TF!E:E,"Large*")</f>
        <v>0</v>
      </c>
      <c r="U87" s="64">
        <f t="shared" si="1"/>
        <v>0</v>
      </c>
    </row>
    <row r="88">
      <c r="A88" s="7">
        <f>IFERROR(__xludf.DUMMYFUNCTION("""COMPUTED_VALUE"""),289.0)</f>
        <v>289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62">
        <f t="array" ref="P88">MAX(IF($A88=AB_TF!F:F,AB_TF!D:D))</f>
        <v>0</v>
      </c>
      <c r="Q88" s="63" t="str">
        <f t="array" ref="Q88">INDEX(AB_TF!C:C,MATCH(1,(AB_TF!F:F=A88)*(AB_TF!D:D=P88),0))</f>
        <v>#N/A</v>
      </c>
      <c r="R88" s="63">
        <f>COUNTIFS(AB_TF!F:F,"="&amp;A88,AB_TF!E:E,"Small*")</f>
        <v>0</v>
      </c>
      <c r="S88" s="63">
        <f>COUNTIFS(AB_TF!F:F,"="&amp;A88,AB_TF!E:E,"Medium*")</f>
        <v>0</v>
      </c>
      <c r="T88" s="63">
        <f>COUNTIFS(AB_TF!F:F,"="&amp;A88,AB_TF!E:E,"Large*")</f>
        <v>0</v>
      </c>
      <c r="U88" s="64">
        <f t="shared" si="1"/>
        <v>0</v>
      </c>
    </row>
    <row r="89">
      <c r="A89" s="7">
        <f>IFERROR(__xludf.DUMMYFUNCTION("""COMPUTED_VALUE"""),290.0)</f>
        <v>290</v>
      </c>
      <c r="B89" s="7" t="str">
        <f>IFERROR(__xludf.DUMMYFUNCTION("""COMPUTED_VALUE"""),"Kareem Samara")</f>
        <v>Kareem Samara</v>
      </c>
      <c r="C89" s="7" t="str">
        <f>IFERROR(__xludf.DUMMYFUNCTION("""COMPUTED_VALUE"""),"Kareem Samara")</f>
        <v>Kareem Samara</v>
      </c>
      <c r="D89" s="7"/>
      <c r="E89" s="7"/>
      <c r="F89" s="7"/>
      <c r="G89" s="7"/>
      <c r="H89" s="7" t="str">
        <f>IFERROR(__xludf.DUMMYFUNCTION("""COMPUTED_VALUE"""),"DJ")</f>
        <v>DJ</v>
      </c>
      <c r="I89" s="7"/>
      <c r="J89" s="7"/>
      <c r="K89" s="7"/>
      <c r="L89" s="7"/>
      <c r="M89" s="7"/>
      <c r="N89" s="7"/>
      <c r="O89" s="7"/>
      <c r="P89" s="62">
        <f t="array" ref="P89">MAX(IF($A89=AB_TF!F:F,AB_TF!D:D))</f>
        <v>0</v>
      </c>
      <c r="Q89" s="63" t="str">
        <f t="array" ref="Q89">INDEX(AB_TF!C:C,MATCH(1,(AB_TF!F:F=A89)*(AB_TF!D:D=P89),0))</f>
        <v>#N/A</v>
      </c>
      <c r="R89" s="63">
        <f>COUNTIFS(AB_TF!F:F,"="&amp;A89,AB_TF!E:E,"Small*")</f>
        <v>0</v>
      </c>
      <c r="S89" s="63">
        <f>COUNTIFS(AB_TF!F:F,"="&amp;A89,AB_TF!E:E,"Medium*")</f>
        <v>0</v>
      </c>
      <c r="T89" s="63">
        <f>COUNTIFS(AB_TF!F:F,"="&amp;A89,AB_TF!E:E,"Large*")</f>
        <v>0</v>
      </c>
      <c r="U89" s="64">
        <f t="shared" si="1"/>
        <v>0</v>
      </c>
    </row>
    <row r="90">
      <c r="A90" s="7">
        <f>IFERROR(__xludf.DUMMYFUNCTION("""COMPUTED_VALUE"""),292.0)</f>
        <v>292</v>
      </c>
      <c r="B90" s="7" t="str">
        <f>IFERROR(__xludf.DUMMYFUNCTION("""COMPUTED_VALUE"""),"Larena Amin")</f>
        <v>Larena Amin</v>
      </c>
      <c r="C90" s="7" t="str">
        <f>IFERROR(__xludf.DUMMYFUNCTION("""COMPUTED_VALUE"""),"Larena Amin")</f>
        <v>Larena Amin</v>
      </c>
      <c r="D90" s="7"/>
      <c r="E90" s="7"/>
      <c r="F90" s="7"/>
      <c r="G90" s="7"/>
      <c r="H90" s="7" t="str">
        <f>IFERROR(__xludf.DUMMYFUNCTION("""COMPUTED_VALUE"""),"Live Act")</f>
        <v>Live Act</v>
      </c>
      <c r="I90" s="7"/>
      <c r="J90" s="7"/>
      <c r="K90" s="7"/>
      <c r="L90" s="7"/>
      <c r="M90" s="7"/>
      <c r="N90" s="7"/>
      <c r="O90" s="7"/>
      <c r="P90" s="62">
        <f t="array" ref="P90">MAX(IF($A90=AB_TF!F:F,AB_TF!D:D))</f>
        <v>0</v>
      </c>
      <c r="Q90" s="63" t="str">
        <f t="array" ref="Q90">INDEX(AB_TF!C:C,MATCH(1,(AB_TF!F:F=A90)*(AB_TF!D:D=P90),0))</f>
        <v>#N/A</v>
      </c>
      <c r="R90" s="63">
        <f>COUNTIFS(AB_TF!F:F,"="&amp;A90,AB_TF!E:E,"Small*")</f>
        <v>0</v>
      </c>
      <c r="S90" s="63">
        <f>COUNTIFS(AB_TF!F:F,"="&amp;A90,AB_TF!E:E,"Medium*")</f>
        <v>0</v>
      </c>
      <c r="T90" s="63">
        <f>COUNTIFS(AB_TF!F:F,"="&amp;A90,AB_TF!E:E,"Large*")</f>
        <v>0</v>
      </c>
      <c r="U90" s="64">
        <f t="shared" si="1"/>
        <v>0</v>
      </c>
    </row>
    <row r="91">
      <c r="A91" s="7">
        <f>IFERROR(__xludf.DUMMYFUNCTION("""COMPUTED_VALUE"""),293.0)</f>
        <v>293</v>
      </c>
      <c r="B91" s="7" t="str">
        <f>IFERROR(__xludf.DUMMYFUNCTION("""COMPUTED_VALUE"""),"Mahnoor")</f>
        <v>Mahnoor</v>
      </c>
      <c r="C91" s="7"/>
      <c r="D91" s="7"/>
      <c r="E91" s="7"/>
      <c r="F91" s="7"/>
      <c r="G91" s="7"/>
      <c r="H91" s="7" t="str">
        <f>IFERROR(__xludf.DUMMYFUNCTION("""COMPUTED_VALUE"""),"DJ")</f>
        <v>DJ</v>
      </c>
      <c r="I91" s="7"/>
      <c r="J91" s="7"/>
      <c r="K91" s="7"/>
      <c r="L91" s="7"/>
      <c r="M91" s="7"/>
      <c r="N91" s="7"/>
      <c r="O91" s="7"/>
      <c r="P91" s="62">
        <f t="array" ref="P91">MAX(IF($A91=AB_TF!F:F,AB_TF!D:D))</f>
        <v>0</v>
      </c>
      <c r="Q91" s="63" t="str">
        <f t="array" ref="Q91">INDEX(AB_TF!C:C,MATCH(1,(AB_TF!F:F=A91)*(AB_TF!D:D=P91),0))</f>
        <v>#N/A</v>
      </c>
      <c r="R91" s="63">
        <f>COUNTIFS(AB_TF!F:F,"="&amp;A91,AB_TF!E:E,"Small*")</f>
        <v>0</v>
      </c>
      <c r="S91" s="63">
        <f>COUNTIFS(AB_TF!F:F,"="&amp;A91,AB_TF!E:E,"Medium*")</f>
        <v>0</v>
      </c>
      <c r="T91" s="63">
        <f>COUNTIFS(AB_TF!F:F,"="&amp;A91,AB_TF!E:E,"Large*")</f>
        <v>0</v>
      </c>
      <c r="U91" s="64">
        <f t="shared" si="1"/>
        <v>0</v>
      </c>
    </row>
    <row r="92">
      <c r="A92" s="7">
        <f>IFERROR(__xludf.DUMMYFUNCTION("""COMPUTED_VALUE"""),294.0)</f>
        <v>294</v>
      </c>
      <c r="B92" s="7" t="str">
        <f>IFERROR(__xludf.DUMMYFUNCTION("""COMPUTED_VALUE"""),"Manara")</f>
        <v>Manara</v>
      </c>
      <c r="C92" s="7"/>
      <c r="D92" s="7"/>
      <c r="E92" s="7"/>
      <c r="F92" s="7"/>
      <c r="G92" s="7"/>
      <c r="H92" s="7" t="str">
        <f>IFERROR(__xludf.DUMMYFUNCTION("""COMPUTED_VALUE"""),"DJ")</f>
        <v>DJ</v>
      </c>
      <c r="I92" s="7"/>
      <c r="J92" s="7"/>
      <c r="K92" s="7"/>
      <c r="L92" s="7"/>
      <c r="M92" s="7"/>
      <c r="N92" s="7"/>
      <c r="O92" s="7"/>
      <c r="P92" s="62">
        <f t="array" ref="P92">MAX(IF($A92=AB_TF!F:F,AB_TF!D:D))</f>
        <v>0</v>
      </c>
      <c r="Q92" s="63" t="str">
        <f t="array" ref="Q92">INDEX(AB_TF!C:C,MATCH(1,(AB_TF!F:F=A92)*(AB_TF!D:D=P92),0))</f>
        <v>#N/A</v>
      </c>
      <c r="R92" s="63">
        <f>COUNTIFS(AB_TF!F:F,"="&amp;A92,AB_TF!E:E,"Small*")</f>
        <v>0</v>
      </c>
      <c r="S92" s="63">
        <f>COUNTIFS(AB_TF!F:F,"="&amp;A92,AB_TF!E:E,"Medium*")</f>
        <v>0</v>
      </c>
      <c r="T92" s="63">
        <f>COUNTIFS(AB_TF!F:F,"="&amp;A92,AB_TF!E:E,"Large*")</f>
        <v>0</v>
      </c>
      <c r="U92" s="64">
        <f t="shared" si="1"/>
        <v>0</v>
      </c>
    </row>
    <row r="93">
      <c r="A93" s="7">
        <f>IFERROR(__xludf.DUMMYFUNCTION("""COMPUTED_VALUE"""),296.0)</f>
        <v>296</v>
      </c>
      <c r="B93" s="7" t="str">
        <f>IFERROR(__xludf.DUMMYFUNCTION("""COMPUTED_VALUE"""),"Monophonik")</f>
        <v>Monophonik</v>
      </c>
      <c r="C93" s="7"/>
      <c r="D93" s="7"/>
      <c r="E93" s="7"/>
      <c r="F93" s="7"/>
      <c r="G93" s="7"/>
      <c r="H93" s="7" t="str">
        <f>IFERROR(__xludf.DUMMYFUNCTION("""COMPUTED_VALUE"""),"DJ")</f>
        <v>DJ</v>
      </c>
      <c r="I93" s="7"/>
      <c r="J93" s="7"/>
      <c r="K93" s="7"/>
      <c r="L93" s="7"/>
      <c r="M93" s="7"/>
      <c r="N93" s="7"/>
      <c r="O93" s="7"/>
      <c r="P93" s="62">
        <f t="array" ref="P93">MAX(IF($A93=AB_TF!F:F,AB_TF!D:D))</f>
        <v>0</v>
      </c>
      <c r="Q93" s="63" t="str">
        <f t="array" ref="Q93">INDEX(AB_TF!C:C,MATCH(1,(AB_TF!F:F=A93)*(AB_TF!D:D=P93),0))</f>
        <v>#N/A</v>
      </c>
      <c r="R93" s="63">
        <f>COUNTIFS(AB_TF!F:F,"="&amp;A93,AB_TF!E:E,"Small*")</f>
        <v>0</v>
      </c>
      <c r="S93" s="63">
        <f>COUNTIFS(AB_TF!F:F,"="&amp;A93,AB_TF!E:E,"Medium*")</f>
        <v>0</v>
      </c>
      <c r="T93" s="63">
        <f>COUNTIFS(AB_TF!F:F,"="&amp;A93,AB_TF!E:E,"Large*")</f>
        <v>0</v>
      </c>
      <c r="U93" s="64">
        <f t="shared" si="1"/>
        <v>0</v>
      </c>
    </row>
    <row r="94">
      <c r="A94" s="7">
        <f>IFERROR(__xludf.DUMMYFUNCTION("""COMPUTED_VALUE"""),297.0)</f>
        <v>297</v>
      </c>
      <c r="B94" s="7" t="str">
        <f>IFERROR(__xludf.DUMMYFUNCTION("""COMPUTED_VALUE"""),"Moorni")</f>
        <v>Moorni</v>
      </c>
      <c r="C94" s="7"/>
      <c r="D94" s="7"/>
      <c r="E94" s="7"/>
      <c r="F94" s="7"/>
      <c r="G94" s="7"/>
      <c r="H94" s="7" t="str">
        <f>IFERROR(__xludf.DUMMYFUNCTION("""COMPUTED_VALUE"""),"DJ")</f>
        <v>DJ</v>
      </c>
      <c r="I94" s="7"/>
      <c r="J94" s="7"/>
      <c r="K94" s="7"/>
      <c r="L94" s="7"/>
      <c r="M94" s="7"/>
      <c r="N94" s="7"/>
      <c r="O94" s="7"/>
      <c r="P94" s="62">
        <f t="array" ref="P94">MAX(IF($A94=AB_TF!F:F,AB_TF!D:D))</f>
        <v>0</v>
      </c>
      <c r="Q94" s="63" t="str">
        <f t="array" ref="Q94">INDEX(AB_TF!C:C,MATCH(1,(AB_TF!F:F=A94)*(AB_TF!D:D=P94),0))</f>
        <v>#N/A</v>
      </c>
      <c r="R94" s="63">
        <f>COUNTIFS(AB_TF!F:F,"="&amp;A94,AB_TF!E:E,"Small*")</f>
        <v>0</v>
      </c>
      <c r="S94" s="63">
        <f>COUNTIFS(AB_TF!F:F,"="&amp;A94,AB_TF!E:E,"Medium*")</f>
        <v>0</v>
      </c>
      <c r="T94" s="63">
        <f>COUNTIFS(AB_TF!F:F,"="&amp;A94,AB_TF!E:E,"Large*")</f>
        <v>0</v>
      </c>
      <c r="U94" s="64">
        <f t="shared" si="1"/>
        <v>0</v>
      </c>
    </row>
    <row r="95">
      <c r="A95" s="7">
        <f>IFERROR(__xludf.DUMMYFUNCTION("""COMPUTED_VALUE"""),298.0)</f>
        <v>298</v>
      </c>
      <c r="B95" s="7" t="str">
        <f>IFERROR(__xludf.DUMMYFUNCTION("""COMPUTED_VALUE"""),"Mous Bahri")</f>
        <v>Mous Bahri</v>
      </c>
      <c r="C95" s="7"/>
      <c r="D95" s="7"/>
      <c r="E95" s="7"/>
      <c r="F95" s="7"/>
      <c r="G95" s="7"/>
      <c r="H95" s="7" t="str">
        <f>IFERROR(__xludf.DUMMYFUNCTION("""COMPUTED_VALUE"""),"DJ")</f>
        <v>DJ</v>
      </c>
      <c r="I95" s="7"/>
      <c r="J95" s="7"/>
      <c r="K95" s="7"/>
      <c r="L95" s="7"/>
      <c r="M95" s="7"/>
      <c r="N95" s="7"/>
      <c r="O95" s="7"/>
      <c r="P95" s="62">
        <f t="array" ref="P95">MAX(IF($A95=AB_TF!F:F,AB_TF!D:D))</f>
        <v>0</v>
      </c>
      <c r="Q95" s="63" t="str">
        <f t="array" ref="Q95">INDEX(AB_TF!C:C,MATCH(1,(AB_TF!F:F=A95)*(AB_TF!D:D=P95),0))</f>
        <v>#N/A</v>
      </c>
      <c r="R95" s="63">
        <f>COUNTIFS(AB_TF!F:F,"="&amp;A95,AB_TF!E:E,"Small*")</f>
        <v>0</v>
      </c>
      <c r="S95" s="63">
        <f>COUNTIFS(AB_TF!F:F,"="&amp;A95,AB_TF!E:E,"Medium*")</f>
        <v>0</v>
      </c>
      <c r="T95" s="63">
        <f>COUNTIFS(AB_TF!F:F,"="&amp;A95,AB_TF!E:E,"Large*")</f>
        <v>0</v>
      </c>
      <c r="U95" s="64">
        <f t="shared" si="1"/>
        <v>0</v>
      </c>
    </row>
    <row r="96">
      <c r="A96" s="7">
        <f>IFERROR(__xludf.DUMMYFUNCTION("""COMPUTED_VALUE"""),299.0)</f>
        <v>299</v>
      </c>
      <c r="B96" s="7" t="str">
        <f>IFERROR(__xludf.DUMMYFUNCTION("""COMPUTED_VALUE"""),"Mypandashallfly")</f>
        <v>Mypandashallfly</v>
      </c>
      <c r="C96" s="7"/>
      <c r="D96" s="7"/>
      <c r="E96" s="7"/>
      <c r="F96" s="7"/>
      <c r="G96" s="7"/>
      <c r="H96" s="7" t="str">
        <f>IFERROR(__xludf.DUMMYFUNCTION("""COMPUTED_VALUE"""),"DJ")</f>
        <v>DJ</v>
      </c>
      <c r="I96" s="7"/>
      <c r="J96" s="7"/>
      <c r="K96" s="7"/>
      <c r="L96" s="7"/>
      <c r="M96" s="7"/>
      <c r="N96" s="7"/>
      <c r="O96" s="7"/>
      <c r="P96" s="62">
        <f t="array" ref="P96">MAX(IF($A96=AB_TF!F:F,AB_TF!D:D))</f>
        <v>0</v>
      </c>
      <c r="Q96" s="63" t="str">
        <f t="array" ref="Q96">INDEX(AB_TF!C:C,MATCH(1,(AB_TF!F:F=A96)*(AB_TF!D:D=P96),0))</f>
        <v>#N/A</v>
      </c>
      <c r="R96" s="63">
        <f>COUNTIFS(AB_TF!F:F,"="&amp;A96,AB_TF!E:E,"Small*")</f>
        <v>0</v>
      </c>
      <c r="S96" s="63">
        <f>COUNTIFS(AB_TF!F:F,"="&amp;A96,AB_TF!E:E,"Medium*")</f>
        <v>0</v>
      </c>
      <c r="T96" s="63">
        <f>COUNTIFS(AB_TF!F:F,"="&amp;A96,AB_TF!E:E,"Large*")</f>
        <v>0</v>
      </c>
      <c r="U96" s="64">
        <f t="shared" si="1"/>
        <v>0</v>
      </c>
    </row>
    <row r="97">
      <c r="A97" s="7">
        <f>IFERROR(__xludf.DUMMYFUNCTION("""COMPUTED_VALUE"""),300.0)</f>
        <v>300</v>
      </c>
      <c r="B97" s="7" t="str">
        <f>IFERROR(__xludf.DUMMYFUNCTION("""COMPUTED_VALUE"""),"Nahi Mitti")</f>
        <v>Nahi Mitti</v>
      </c>
      <c r="C97" s="7"/>
      <c r="D97" s="7"/>
      <c r="E97" s="7"/>
      <c r="F97" s="7"/>
      <c r="G97" s="7"/>
      <c r="H97" s="7" t="str">
        <f>IFERROR(__xludf.DUMMYFUNCTION("""COMPUTED_VALUE"""),"DJ")</f>
        <v>DJ</v>
      </c>
      <c r="I97" s="7"/>
      <c r="J97" s="7"/>
      <c r="K97" s="7"/>
      <c r="L97" s="7"/>
      <c r="M97" s="7"/>
      <c r="N97" s="7"/>
      <c r="O97" s="7"/>
      <c r="P97" s="62">
        <f t="array" ref="P97">MAX(IF($A97=AB_TF!F:F,AB_TF!D:D))</f>
        <v>0</v>
      </c>
      <c r="Q97" s="63" t="str">
        <f t="array" ref="Q97">INDEX(AB_TF!C:C,MATCH(1,(AB_TF!F:F=A97)*(AB_TF!D:D=P97),0))</f>
        <v>#N/A</v>
      </c>
      <c r="R97" s="63">
        <f>COUNTIFS(AB_TF!F:F,"="&amp;A97,AB_TF!E:E,"Small*")</f>
        <v>0</v>
      </c>
      <c r="S97" s="63">
        <f>COUNTIFS(AB_TF!F:F,"="&amp;A97,AB_TF!E:E,"Medium*")</f>
        <v>0</v>
      </c>
      <c r="T97" s="63">
        <f>COUNTIFS(AB_TF!F:F,"="&amp;A97,AB_TF!E:E,"Large*")</f>
        <v>0</v>
      </c>
      <c r="U97" s="64">
        <f t="shared" si="1"/>
        <v>0</v>
      </c>
    </row>
    <row r="98">
      <c r="A98" s="7">
        <f>IFERROR(__xludf.DUMMYFUNCTION("""COMPUTED_VALUE"""),301.0)</f>
        <v>301</v>
      </c>
      <c r="B98" s="7" t="str">
        <f>IFERROR(__xludf.DUMMYFUNCTION("""COMPUTED_VALUE"""),"Natanya")</f>
        <v>Natanya</v>
      </c>
      <c r="C98" s="7"/>
      <c r="D98" s="7"/>
      <c r="E98" s="7"/>
      <c r="F98" s="7"/>
      <c r="G98" s="7"/>
      <c r="H98" s="7" t="str">
        <f>IFERROR(__xludf.DUMMYFUNCTION("""COMPUTED_VALUE"""),"Live Act")</f>
        <v>Live Act</v>
      </c>
      <c r="I98" s="7"/>
      <c r="J98" s="7"/>
      <c r="K98" s="7"/>
      <c r="L98" s="7"/>
      <c r="M98" s="7"/>
      <c r="N98" s="7"/>
      <c r="O98" s="7"/>
      <c r="P98" s="62">
        <f t="array" ref="P98">MAX(IF($A98=AB_TF!F:F,AB_TF!D:D))</f>
        <v>0</v>
      </c>
      <c r="Q98" s="63" t="str">
        <f t="array" ref="Q98">INDEX(AB_TF!C:C,MATCH(1,(AB_TF!F:F=A98)*(AB_TF!D:D=P98),0))</f>
        <v>#N/A</v>
      </c>
      <c r="R98" s="63">
        <f>COUNTIFS(AB_TF!F:F,"="&amp;A98,AB_TF!E:E,"Small*")</f>
        <v>0</v>
      </c>
      <c r="S98" s="63">
        <f>COUNTIFS(AB_TF!F:F,"="&amp;A98,AB_TF!E:E,"Medium*")</f>
        <v>0</v>
      </c>
      <c r="T98" s="63">
        <f>COUNTIFS(AB_TF!F:F,"="&amp;A98,AB_TF!E:E,"Large*")</f>
        <v>0</v>
      </c>
      <c r="U98" s="64">
        <f t="shared" si="1"/>
        <v>0</v>
      </c>
    </row>
    <row r="99">
      <c r="A99" s="7">
        <f>IFERROR(__xludf.DUMMYFUNCTION("""COMPUTED_VALUE"""),302.0)</f>
        <v>302</v>
      </c>
      <c r="B99" s="7" t="str">
        <f>IFERROR(__xludf.DUMMYFUNCTION("""COMPUTED_VALUE"""),"Nayana IZ")</f>
        <v>Nayana IZ</v>
      </c>
      <c r="C99" s="7"/>
      <c r="D99" s="7"/>
      <c r="E99" s="7"/>
      <c r="F99" s="7"/>
      <c r="G99" s="7"/>
      <c r="H99" s="7" t="str">
        <f>IFERROR(__xludf.DUMMYFUNCTION("""COMPUTED_VALUE"""),"DJ, Live Act")</f>
        <v>DJ, Live Act</v>
      </c>
      <c r="I99" s="7"/>
      <c r="J99" s="7"/>
      <c r="K99" s="7"/>
      <c r="L99" s="7"/>
      <c r="M99" s="7"/>
      <c r="N99" s="7"/>
      <c r="O99" s="7"/>
      <c r="P99" s="62">
        <f t="array" ref="P99">MAX(IF($A99=AB_TF!F:F,AB_TF!D:D))</f>
        <v>0</v>
      </c>
      <c r="Q99" s="63" t="str">
        <f t="array" ref="Q99">INDEX(AB_TF!C:C,MATCH(1,(AB_TF!F:F=A99)*(AB_TF!D:D=P99),0))</f>
        <v>#N/A</v>
      </c>
      <c r="R99" s="63">
        <f>COUNTIFS(AB_TF!F:F,"="&amp;A99,AB_TF!E:E,"Small*")</f>
        <v>0</v>
      </c>
      <c r="S99" s="63">
        <f>COUNTIFS(AB_TF!F:F,"="&amp;A99,AB_TF!E:E,"Medium*")</f>
        <v>0</v>
      </c>
      <c r="T99" s="63">
        <f>COUNTIFS(AB_TF!F:F,"="&amp;A99,AB_TF!E:E,"Large*")</f>
        <v>0</v>
      </c>
      <c r="U99" s="64">
        <f t="shared" si="1"/>
        <v>0</v>
      </c>
    </row>
    <row r="100">
      <c r="A100" s="7">
        <f>IFERROR(__xludf.DUMMYFUNCTION("""COMPUTED_VALUE"""),303.0)</f>
        <v>303</v>
      </c>
      <c r="B100" s="7" t="str">
        <f>IFERROR(__xludf.DUMMYFUNCTION("""COMPUTED_VALUE"""),"Neeta")</f>
        <v>Neeta</v>
      </c>
      <c r="C100" s="7"/>
      <c r="D100" s="7"/>
      <c r="E100" s="7"/>
      <c r="F100" s="7"/>
      <c r="G100" s="7"/>
      <c r="H100" s="7" t="str">
        <f>IFERROR(__xludf.DUMMYFUNCTION("""COMPUTED_VALUE"""),"Live Act")</f>
        <v>Live Act</v>
      </c>
      <c r="I100" s="7"/>
      <c r="J100" s="7"/>
      <c r="K100" s="7"/>
      <c r="L100" s="7"/>
      <c r="M100" s="7"/>
      <c r="N100" s="7"/>
      <c r="O100" s="7"/>
      <c r="P100" s="62">
        <f t="array" ref="P100">MAX(IF($A100=AB_TF!F:F,AB_TF!D:D))</f>
        <v>0</v>
      </c>
      <c r="Q100" s="63" t="str">
        <f t="array" ref="Q100">INDEX(AB_TF!C:C,MATCH(1,(AB_TF!F:F=A100)*(AB_TF!D:D=P100),0))</f>
        <v>#N/A</v>
      </c>
      <c r="R100" s="63">
        <f>COUNTIFS(AB_TF!F:F,"="&amp;A100,AB_TF!E:E,"Small*")</f>
        <v>0</v>
      </c>
      <c r="S100" s="63">
        <f>COUNTIFS(AB_TF!F:F,"="&amp;A100,AB_TF!E:E,"Medium*")</f>
        <v>0</v>
      </c>
      <c r="T100" s="63">
        <f>COUNTIFS(AB_TF!F:F,"="&amp;A100,AB_TF!E:E,"Large*")</f>
        <v>0</v>
      </c>
      <c r="U100" s="64">
        <f t="shared" si="1"/>
        <v>0</v>
      </c>
    </row>
    <row r="101">
      <c r="A101" s="7">
        <f>IFERROR(__xludf.DUMMYFUNCTION("""COMPUTED_VALUE"""),304.0)</f>
        <v>304</v>
      </c>
      <c r="B101" s="7" t="str">
        <f>IFERROR(__xludf.DUMMYFUNCTION("""COMPUTED_VALUE"""),"Nikhil Beats")</f>
        <v>Nikhil Beats</v>
      </c>
      <c r="C101" s="7"/>
      <c r="D101" s="7"/>
      <c r="E101" s="7"/>
      <c r="F101" s="7"/>
      <c r="G101" s="7"/>
      <c r="H101" s="7" t="str">
        <f>IFERROR(__xludf.DUMMYFUNCTION("""COMPUTED_VALUE"""),"Live Act")</f>
        <v>Live Act</v>
      </c>
      <c r="I101" s="7"/>
      <c r="J101" s="7"/>
      <c r="K101" s="7"/>
      <c r="L101" s="7"/>
      <c r="M101" s="7"/>
      <c r="N101" s="7"/>
      <c r="O101" s="7"/>
      <c r="P101" s="62">
        <f t="array" ref="P101">MAX(IF($A101=AB_TF!F:F,AB_TF!D:D))</f>
        <v>0</v>
      </c>
      <c r="Q101" s="63" t="str">
        <f t="array" ref="Q101">INDEX(AB_TF!C:C,MATCH(1,(AB_TF!F:F=A101)*(AB_TF!D:D=P101),0))</f>
        <v>#N/A</v>
      </c>
      <c r="R101" s="63">
        <f>COUNTIFS(AB_TF!F:F,"="&amp;A101,AB_TF!E:E,"Small*")</f>
        <v>0</v>
      </c>
      <c r="S101" s="63">
        <f>COUNTIFS(AB_TF!F:F,"="&amp;A101,AB_TF!E:E,"Medium*")</f>
        <v>0</v>
      </c>
      <c r="T101" s="63">
        <f>COUNTIFS(AB_TF!F:F,"="&amp;A101,AB_TF!E:E,"Large*")</f>
        <v>0</v>
      </c>
      <c r="U101" s="64">
        <f t="shared" si="1"/>
        <v>0</v>
      </c>
    </row>
    <row r="102">
      <c r="A102" s="7">
        <f>IFERROR(__xludf.DUMMYFUNCTION("""COMPUTED_VALUE"""),305.0)</f>
        <v>305</v>
      </c>
      <c r="B102" s="7" t="str">
        <f>IFERROR(__xludf.DUMMYFUNCTION("""COMPUTED_VALUE"""),"NIVETHA")</f>
        <v>NIVETHA</v>
      </c>
      <c r="C102" s="7"/>
      <c r="D102" s="7"/>
      <c r="E102" s="7"/>
      <c r="F102" s="7"/>
      <c r="G102" s="7"/>
      <c r="H102" s="7" t="str">
        <f>IFERROR(__xludf.DUMMYFUNCTION("""COMPUTED_VALUE"""),"DJ")</f>
        <v>DJ</v>
      </c>
      <c r="I102" s="7"/>
      <c r="J102" s="7"/>
      <c r="K102" s="7"/>
      <c r="L102" s="7"/>
      <c r="M102" s="7"/>
      <c r="N102" s="7"/>
      <c r="O102" s="7"/>
      <c r="P102" s="62">
        <f t="array" ref="P102">MAX(IF($A102=AB_TF!F:F,AB_TF!D:D))</f>
        <v>0</v>
      </c>
      <c r="Q102" s="63" t="str">
        <f t="array" ref="Q102">INDEX(AB_TF!C:C,MATCH(1,(AB_TF!F:F=A102)*(AB_TF!D:D=P102),0))</f>
        <v>#N/A</v>
      </c>
      <c r="R102" s="63">
        <f>COUNTIFS(AB_TF!F:F,"="&amp;A102,AB_TF!E:E,"Small*")</f>
        <v>0</v>
      </c>
      <c r="S102" s="63">
        <f>COUNTIFS(AB_TF!F:F,"="&amp;A102,AB_TF!E:E,"Medium*")</f>
        <v>0</v>
      </c>
      <c r="T102" s="63">
        <f>COUNTIFS(AB_TF!F:F,"="&amp;A102,AB_TF!E:E,"Large*")</f>
        <v>0</v>
      </c>
      <c r="U102" s="64">
        <f t="shared" si="1"/>
        <v>0</v>
      </c>
    </row>
    <row r="103">
      <c r="A103" s="7">
        <f>IFERROR(__xludf.DUMMYFUNCTION("""COMPUTED_VALUE"""),306.0)</f>
        <v>306</v>
      </c>
      <c r="B103" s="7" t="str">
        <f>IFERROR(__xludf.DUMMYFUNCTION("""COMPUTED_VALUE"""),"Nooriyah")</f>
        <v>Nooriyah</v>
      </c>
      <c r="C103" s="7"/>
      <c r="D103" s="7"/>
      <c r="E103" s="7"/>
      <c r="F103" s="7"/>
      <c r="G103" s="7"/>
      <c r="H103" s="7" t="str">
        <f>IFERROR(__xludf.DUMMYFUNCTION("""COMPUTED_VALUE"""),"DJ")</f>
        <v>DJ</v>
      </c>
      <c r="I103" s="7"/>
      <c r="J103" s="7"/>
      <c r="K103" s="7"/>
      <c r="L103" s="7"/>
      <c r="M103" s="7"/>
      <c r="N103" s="7"/>
      <c r="O103" s="7"/>
      <c r="P103" s="62">
        <f t="array" ref="P103">MAX(IF($A103=AB_TF!F:F,AB_TF!D:D))</f>
        <v>0</v>
      </c>
      <c r="Q103" s="63" t="str">
        <f t="array" ref="Q103">INDEX(AB_TF!C:C,MATCH(1,(AB_TF!F:F=A103)*(AB_TF!D:D=P103),0))</f>
        <v>#N/A</v>
      </c>
      <c r="R103" s="63">
        <f>COUNTIFS(AB_TF!F:F,"="&amp;A103,AB_TF!E:E,"Small*")</f>
        <v>0</v>
      </c>
      <c r="S103" s="63">
        <f>COUNTIFS(AB_TF!F:F,"="&amp;A103,AB_TF!E:E,"Medium*")</f>
        <v>0</v>
      </c>
      <c r="T103" s="63">
        <f>COUNTIFS(AB_TF!F:F,"="&amp;A103,AB_TF!E:E,"Large*")</f>
        <v>0</v>
      </c>
      <c r="U103" s="64">
        <f t="shared" si="1"/>
        <v>0</v>
      </c>
    </row>
    <row r="104">
      <c r="A104" s="7">
        <f>IFERROR(__xludf.DUMMYFUNCTION("""COMPUTED_VALUE"""),307.0)</f>
        <v>307</v>
      </c>
      <c r="B104" s="7" t="str">
        <f>IFERROR(__xludf.DUMMYFUNCTION("""COMPUTED_VALUE"""),"Nxvtkwords")</f>
        <v>Nxvtkwords</v>
      </c>
      <c r="C104" s="7"/>
      <c r="D104" s="7"/>
      <c r="E104" s="7"/>
      <c r="F104" s="7"/>
      <c r="G104" s="7"/>
      <c r="H104" s="7" t="str">
        <f>IFERROR(__xludf.DUMMYFUNCTION("""COMPUTED_VALUE"""),"Live Act")</f>
        <v>Live Act</v>
      </c>
      <c r="I104" s="7"/>
      <c r="J104" s="7"/>
      <c r="K104" s="7"/>
      <c r="L104" s="7"/>
      <c r="M104" s="7"/>
      <c r="N104" s="7"/>
      <c r="O104" s="7"/>
      <c r="P104" s="62">
        <f t="array" ref="P104">MAX(IF($A104=AB_TF!F:F,AB_TF!D:D))</f>
        <v>0</v>
      </c>
      <c r="Q104" s="63" t="str">
        <f t="array" ref="Q104">INDEX(AB_TF!C:C,MATCH(1,(AB_TF!F:F=A104)*(AB_TF!D:D=P104),0))</f>
        <v>#N/A</v>
      </c>
      <c r="R104" s="63">
        <f>COUNTIFS(AB_TF!F:F,"="&amp;A104,AB_TF!E:E,"Small*")</f>
        <v>0</v>
      </c>
      <c r="S104" s="63">
        <f>COUNTIFS(AB_TF!F:F,"="&amp;A104,AB_TF!E:E,"Medium*")</f>
        <v>0</v>
      </c>
      <c r="T104" s="63">
        <f>COUNTIFS(AB_TF!F:F,"="&amp;A104,AB_TF!E:E,"Large*")</f>
        <v>0</v>
      </c>
      <c r="U104" s="64">
        <f t="shared" si="1"/>
        <v>0</v>
      </c>
    </row>
    <row r="105">
      <c r="A105" s="7">
        <f>IFERROR(__xludf.DUMMYFUNCTION("""COMPUTED_VALUE"""),308.0)</f>
        <v>308</v>
      </c>
      <c r="B105" s="7" t="str">
        <f>IFERROR(__xludf.DUMMYFUNCTION("""COMPUTED_VALUE"""),"Oshanti Ahmed")</f>
        <v>Oshanti Ahmed</v>
      </c>
      <c r="C105" s="7" t="str">
        <f>IFERROR(__xludf.DUMMYFUNCTION("""COMPUTED_VALUE"""),"Oshanti Ahmed")</f>
        <v>Oshanti Ahmed</v>
      </c>
      <c r="D105" s="7"/>
      <c r="E105" s="7"/>
      <c r="F105" s="7"/>
      <c r="G105" s="7"/>
      <c r="H105" s="7" t="str">
        <f>IFERROR(__xludf.DUMMYFUNCTION("""COMPUTED_VALUE"""),"Live Act")</f>
        <v>Live Act</v>
      </c>
      <c r="I105" s="7"/>
      <c r="J105" s="7"/>
      <c r="K105" s="7"/>
      <c r="L105" s="7"/>
      <c r="M105" s="7"/>
      <c r="N105" s="7"/>
      <c r="O105" s="7"/>
      <c r="P105" s="62">
        <f t="array" ref="P105">MAX(IF($A105=AB_TF!F:F,AB_TF!D:D))</f>
        <v>0</v>
      </c>
      <c r="Q105" s="63" t="str">
        <f t="array" ref="Q105">INDEX(AB_TF!C:C,MATCH(1,(AB_TF!F:F=A105)*(AB_TF!D:D=P105),0))</f>
        <v>#N/A</v>
      </c>
      <c r="R105" s="63">
        <f>COUNTIFS(AB_TF!F:F,"="&amp;A105,AB_TF!E:E,"Small*")</f>
        <v>0</v>
      </c>
      <c r="S105" s="63">
        <f>COUNTIFS(AB_TF!F:F,"="&amp;A105,AB_TF!E:E,"Medium*")</f>
        <v>0</v>
      </c>
      <c r="T105" s="63">
        <f>COUNTIFS(AB_TF!F:F,"="&amp;A105,AB_TF!E:E,"Large*")</f>
        <v>0</v>
      </c>
      <c r="U105" s="64">
        <f t="shared" si="1"/>
        <v>0</v>
      </c>
    </row>
    <row r="106">
      <c r="A106" s="7">
        <f>IFERROR(__xludf.DUMMYFUNCTION("""COMPUTED_VALUE"""),309.0)</f>
        <v>309</v>
      </c>
      <c r="B106" s="7" t="str">
        <f>IFERROR(__xludf.DUMMYFUNCTION("""COMPUTED_VALUE"""),"PAV4N")</f>
        <v>PAV4N</v>
      </c>
      <c r="C106" s="7"/>
      <c r="D106" s="7"/>
      <c r="E106" s="7"/>
      <c r="F106" s="7"/>
      <c r="G106" s="7"/>
      <c r="H106" s="7" t="str">
        <f>IFERROR(__xludf.DUMMYFUNCTION("""COMPUTED_VALUE"""),"DJ, Live Act")</f>
        <v>DJ, Live Act</v>
      </c>
      <c r="I106" s="7"/>
      <c r="J106" s="7"/>
      <c r="K106" s="7"/>
      <c r="L106" s="7"/>
      <c r="M106" s="7"/>
      <c r="N106" s="7"/>
      <c r="O106" s="7"/>
      <c r="P106" s="62">
        <f t="array" ref="P106">MAX(IF($A106=AB_TF!F:F,AB_TF!D:D))</f>
        <v>0</v>
      </c>
      <c r="Q106" s="63" t="str">
        <f t="array" ref="Q106">INDEX(AB_TF!C:C,MATCH(1,(AB_TF!F:F=A106)*(AB_TF!D:D=P106),0))</f>
        <v>#N/A</v>
      </c>
      <c r="R106" s="63">
        <f>COUNTIFS(AB_TF!F:F,"="&amp;A106,AB_TF!E:E,"Small*")</f>
        <v>0</v>
      </c>
      <c r="S106" s="63">
        <f>COUNTIFS(AB_TF!F:F,"="&amp;A106,AB_TF!E:E,"Medium*")</f>
        <v>0</v>
      </c>
      <c r="T106" s="63">
        <f>COUNTIFS(AB_TF!F:F,"="&amp;A106,AB_TF!E:E,"Large*")</f>
        <v>0</v>
      </c>
      <c r="U106" s="64">
        <f t="shared" si="1"/>
        <v>0</v>
      </c>
    </row>
    <row r="107">
      <c r="A107" s="7">
        <f>IFERROR(__xludf.DUMMYFUNCTION("""COMPUTED_VALUE"""),310.0)</f>
        <v>310</v>
      </c>
      <c r="B107" s="7" t="str">
        <f>IFERROR(__xludf.DUMMYFUNCTION("""COMPUTED_VALUE"""),"Petit Oiseau")</f>
        <v>Petit Oiseau</v>
      </c>
      <c r="C107" s="7"/>
      <c r="D107" s="7"/>
      <c r="E107" s="7"/>
      <c r="F107" s="7"/>
      <c r="G107" s="7"/>
      <c r="H107" s="7" t="str">
        <f>IFERROR(__xludf.DUMMYFUNCTION("""COMPUTED_VALUE"""),"Live Act")</f>
        <v>Live Act</v>
      </c>
      <c r="I107" s="7"/>
      <c r="J107" s="7"/>
      <c r="K107" s="7"/>
      <c r="L107" s="7"/>
      <c r="M107" s="7"/>
      <c r="N107" s="7"/>
      <c r="O107" s="7"/>
      <c r="P107" s="62">
        <f t="array" ref="P107">MAX(IF($A107=AB_TF!F:F,AB_TF!D:D))</f>
        <v>0</v>
      </c>
      <c r="Q107" s="63" t="str">
        <f t="array" ref="Q107">INDEX(AB_TF!C:C,MATCH(1,(AB_TF!F:F=A107)*(AB_TF!D:D=P107),0))</f>
        <v>#N/A</v>
      </c>
      <c r="R107" s="63">
        <f>COUNTIFS(AB_TF!F:F,"="&amp;A107,AB_TF!E:E,"Small*")</f>
        <v>0</v>
      </c>
      <c r="S107" s="63">
        <f>COUNTIFS(AB_TF!F:F,"="&amp;A107,AB_TF!E:E,"Medium*")</f>
        <v>0</v>
      </c>
      <c r="T107" s="63">
        <f>COUNTIFS(AB_TF!F:F,"="&amp;A107,AB_TF!E:E,"Large*")</f>
        <v>0</v>
      </c>
      <c r="U107" s="64">
        <f t="shared" si="1"/>
        <v>0</v>
      </c>
    </row>
    <row r="108">
      <c r="A108" s="7">
        <f>IFERROR(__xludf.DUMMYFUNCTION("""COMPUTED_VALUE"""),311.0)</f>
        <v>311</v>
      </c>
      <c r="B108" s="7" t="str">
        <f>IFERROR(__xludf.DUMMYFUNCTION("""COMPUTED_VALUE"""),"Rajesh Kumar")</f>
        <v>Rajesh Kumar</v>
      </c>
      <c r="C108" s="7" t="str">
        <f>IFERROR(__xludf.DUMMYFUNCTION("""COMPUTED_VALUE"""),"Rajesh Kumar")</f>
        <v>Rajesh Kumar</v>
      </c>
      <c r="D108" s="7"/>
      <c r="E108" s="7"/>
      <c r="F108" s="7"/>
      <c r="G108" s="7"/>
      <c r="H108" s="7" t="str">
        <f>IFERROR(__xludf.DUMMYFUNCTION("""COMPUTED_VALUE"""),"DJ")</f>
        <v>DJ</v>
      </c>
      <c r="I108" s="7"/>
      <c r="J108" s="7"/>
      <c r="K108" s="7"/>
      <c r="L108" s="7"/>
      <c r="M108" s="7"/>
      <c r="N108" s="7"/>
      <c r="O108" s="7"/>
      <c r="P108" s="62">
        <f t="array" ref="P108">MAX(IF($A108=AB_TF!F:F,AB_TF!D:D))</f>
        <v>0</v>
      </c>
      <c r="Q108" s="63" t="str">
        <f t="array" ref="Q108">INDEX(AB_TF!C:C,MATCH(1,(AB_TF!F:F=A108)*(AB_TF!D:D=P108),0))</f>
        <v>#N/A</v>
      </c>
      <c r="R108" s="63">
        <f>COUNTIFS(AB_TF!F:F,"="&amp;A108,AB_TF!E:E,"Small*")</f>
        <v>0</v>
      </c>
      <c r="S108" s="63">
        <f>COUNTIFS(AB_TF!F:F,"="&amp;A108,AB_TF!E:E,"Medium*")</f>
        <v>0</v>
      </c>
      <c r="T108" s="63">
        <f>COUNTIFS(AB_TF!F:F,"="&amp;A108,AB_TF!E:E,"Large*")</f>
        <v>0</v>
      </c>
      <c r="U108" s="64">
        <f t="shared" si="1"/>
        <v>0</v>
      </c>
    </row>
    <row r="109">
      <c r="A109" s="7">
        <f>IFERROR(__xludf.DUMMYFUNCTION("""COMPUTED_VALUE"""),312.0)</f>
        <v>312</v>
      </c>
      <c r="B109" s="7" t="str">
        <f>IFERROR(__xludf.DUMMYFUNCTION("""COMPUTED_VALUE"""),"Raji Rags")</f>
        <v>Raji Rags</v>
      </c>
      <c r="C109" s="7"/>
      <c r="D109" s="7"/>
      <c r="E109" s="7"/>
      <c r="F109" s="7"/>
      <c r="G109" s="7"/>
      <c r="H109" s="7" t="str">
        <f>IFERROR(__xludf.DUMMYFUNCTION("""COMPUTED_VALUE"""),"DJ")</f>
        <v>DJ</v>
      </c>
      <c r="I109" s="7"/>
      <c r="J109" s="7"/>
      <c r="K109" s="7"/>
      <c r="L109" s="7"/>
      <c r="M109" s="7"/>
      <c r="N109" s="7"/>
      <c r="O109" s="7"/>
      <c r="P109" s="62">
        <f t="array" ref="P109">MAX(IF($A109=AB_TF!F:F,AB_TF!D:D))</f>
        <v>0</v>
      </c>
      <c r="Q109" s="63" t="str">
        <f t="array" ref="Q109">INDEX(AB_TF!C:C,MATCH(1,(AB_TF!F:F=A109)*(AB_TF!D:D=P109),0))</f>
        <v>#N/A</v>
      </c>
      <c r="R109" s="63">
        <f>COUNTIFS(AB_TF!F:F,"="&amp;A109,AB_TF!E:E,"Small*")</f>
        <v>0</v>
      </c>
      <c r="S109" s="63">
        <f>COUNTIFS(AB_TF!F:F,"="&amp;A109,AB_TF!E:E,"Medium*")</f>
        <v>0</v>
      </c>
      <c r="T109" s="63">
        <f>COUNTIFS(AB_TF!F:F,"="&amp;A109,AB_TF!E:E,"Large*")</f>
        <v>0</v>
      </c>
      <c r="U109" s="64">
        <f t="shared" si="1"/>
        <v>0</v>
      </c>
    </row>
    <row r="110">
      <c r="A110" s="7">
        <f>IFERROR(__xludf.DUMMYFUNCTION("""COMPUTED_VALUE"""),313.0)</f>
        <v>313</v>
      </c>
      <c r="B110" s="7" t="str">
        <f>IFERROR(__xludf.DUMMYFUNCTION("""COMPUTED_VALUE"""),"DJ Rani")</f>
        <v>DJ Rani</v>
      </c>
      <c r="C110" s="7"/>
      <c r="D110" s="7"/>
      <c r="E110" s="7"/>
      <c r="F110" s="7"/>
      <c r="G110" s="7"/>
      <c r="H110" s="7" t="str">
        <f>IFERROR(__xludf.DUMMYFUNCTION("""COMPUTED_VALUE"""),"DJ")</f>
        <v>DJ</v>
      </c>
      <c r="I110" s="7"/>
      <c r="J110" s="7"/>
      <c r="K110" s="7"/>
      <c r="L110" s="7"/>
      <c r="M110" s="7"/>
      <c r="N110" s="7"/>
      <c r="O110" s="7"/>
      <c r="P110" s="62">
        <f t="array" ref="P110">MAX(IF($A110=AB_TF!F:F,AB_TF!D:D))</f>
        <v>0</v>
      </c>
      <c r="Q110" s="63" t="str">
        <f t="array" ref="Q110">INDEX(AB_TF!C:C,MATCH(1,(AB_TF!F:F=A110)*(AB_TF!D:D=P110),0))</f>
        <v>#N/A</v>
      </c>
      <c r="R110" s="63">
        <f>COUNTIFS(AB_TF!F:F,"="&amp;A110,AB_TF!E:E,"Small*")</f>
        <v>0</v>
      </c>
      <c r="S110" s="63">
        <f>COUNTIFS(AB_TF!F:F,"="&amp;A110,AB_TF!E:E,"Medium*")</f>
        <v>0</v>
      </c>
      <c r="T110" s="63">
        <f>COUNTIFS(AB_TF!F:F,"="&amp;A110,AB_TF!E:E,"Large*")</f>
        <v>0</v>
      </c>
      <c r="U110" s="64">
        <f t="shared" si="1"/>
        <v>0</v>
      </c>
    </row>
    <row r="111">
      <c r="A111" s="7">
        <f>IFERROR(__xludf.DUMMYFUNCTION("""COMPUTED_VALUE"""),314.0)</f>
        <v>314</v>
      </c>
      <c r="B111" s="7" t="str">
        <f>IFERROR(__xludf.DUMMYFUNCTION("""COMPUTED_VALUE"""),"Rishy")</f>
        <v>Rishy</v>
      </c>
      <c r="C111" s="7"/>
      <c r="D111" s="7"/>
      <c r="E111" s="7"/>
      <c r="F111" s="7"/>
      <c r="G111" s="7"/>
      <c r="H111" s="7" t="str">
        <f>IFERROR(__xludf.DUMMYFUNCTION("""COMPUTED_VALUE"""),"DJ")</f>
        <v>DJ</v>
      </c>
      <c r="I111" s="7"/>
      <c r="J111" s="7"/>
      <c r="K111" s="7"/>
      <c r="L111" s="7"/>
      <c r="M111" s="7"/>
      <c r="N111" s="7"/>
      <c r="O111" s="7"/>
      <c r="P111" s="62">
        <f t="array" ref="P111">MAX(IF($A111=AB_TF!F:F,AB_TF!D:D))</f>
        <v>0</v>
      </c>
      <c r="Q111" s="63" t="str">
        <f t="array" ref="Q111">INDEX(AB_TF!C:C,MATCH(1,(AB_TF!F:F=A111)*(AB_TF!D:D=P111),0))</f>
        <v>#N/A</v>
      </c>
      <c r="R111" s="63">
        <f>COUNTIFS(AB_TF!F:F,"="&amp;A111,AB_TF!E:E,"Small*")</f>
        <v>0</v>
      </c>
      <c r="S111" s="63">
        <f>COUNTIFS(AB_TF!F:F,"="&amp;A111,AB_TF!E:E,"Medium*")</f>
        <v>0</v>
      </c>
      <c r="T111" s="63">
        <f>COUNTIFS(AB_TF!F:F,"="&amp;A111,AB_TF!E:E,"Large*")</f>
        <v>0</v>
      </c>
      <c r="U111" s="64">
        <f t="shared" si="1"/>
        <v>0</v>
      </c>
    </row>
    <row r="112">
      <c r="A112" s="7">
        <f>IFERROR(__xludf.DUMMYFUNCTION("""COMPUTED_VALUE"""),315.0)</f>
        <v>315</v>
      </c>
      <c r="B112" s="7" t="str">
        <f>IFERROR(__xludf.DUMMYFUNCTION("""COMPUTED_VALUE"""),"Rithvik Andugula")</f>
        <v>Rithvik Andugula</v>
      </c>
      <c r="C112" s="7"/>
      <c r="D112" s="7"/>
      <c r="E112" s="7"/>
      <c r="F112" s="7"/>
      <c r="G112" s="7"/>
      <c r="H112" s="7" t="str">
        <f>IFERROR(__xludf.DUMMYFUNCTION("""COMPUTED_VALUE"""),"Live Act")</f>
        <v>Live Act</v>
      </c>
      <c r="I112" s="7"/>
      <c r="J112" s="7"/>
      <c r="K112" s="7"/>
      <c r="L112" s="7"/>
      <c r="M112" s="7"/>
      <c r="N112" s="7"/>
      <c r="O112" s="7"/>
      <c r="P112" s="62">
        <f t="array" ref="P112">MAX(IF($A112=AB_TF!F:F,AB_TF!D:D))</f>
        <v>0</v>
      </c>
      <c r="Q112" s="63" t="str">
        <f t="array" ref="Q112">INDEX(AB_TF!C:C,MATCH(1,(AB_TF!F:F=A112)*(AB_TF!D:D=P112),0))</f>
        <v>#N/A</v>
      </c>
      <c r="R112" s="63">
        <f>COUNTIFS(AB_TF!F:F,"="&amp;A112,AB_TF!E:E,"Small*")</f>
        <v>0</v>
      </c>
      <c r="S112" s="63">
        <f>COUNTIFS(AB_TF!F:F,"="&amp;A112,AB_TF!E:E,"Medium*")</f>
        <v>0</v>
      </c>
      <c r="T112" s="63">
        <f>COUNTIFS(AB_TF!F:F,"="&amp;A112,AB_TF!E:E,"Large*")</f>
        <v>0</v>
      </c>
      <c r="U112" s="64">
        <f t="shared" si="1"/>
        <v>0</v>
      </c>
    </row>
    <row r="113">
      <c r="A113" s="7">
        <f>IFERROR(__xludf.DUMMYFUNCTION("""COMPUTED_VALUE"""),316.0)</f>
        <v>316</v>
      </c>
      <c r="B113" s="7" t="str">
        <f>IFERROR(__xludf.DUMMYFUNCTION("""COMPUTED_VALUE"""),"DJ Ritu")</f>
        <v>DJ Ritu</v>
      </c>
      <c r="C113" s="7"/>
      <c r="D113" s="7"/>
      <c r="E113" s="7"/>
      <c r="F113" s="7"/>
      <c r="G113" s="7"/>
      <c r="H113" s="7" t="str">
        <f>IFERROR(__xludf.DUMMYFUNCTION("""COMPUTED_VALUE"""),"DJ")</f>
        <v>DJ</v>
      </c>
      <c r="I113" s="7"/>
      <c r="J113" s="7"/>
      <c r="K113" s="7"/>
      <c r="L113" s="7"/>
      <c r="M113" s="7"/>
      <c r="N113" s="7"/>
      <c r="O113" s="7"/>
      <c r="P113" s="62">
        <f t="array" ref="P113">MAX(IF($A113=AB_TF!F:F,AB_TF!D:D))</f>
        <v>0</v>
      </c>
      <c r="Q113" s="63" t="str">
        <f t="array" ref="Q113">INDEX(AB_TF!C:C,MATCH(1,(AB_TF!F:F=A113)*(AB_TF!D:D=P113),0))</f>
        <v>#N/A</v>
      </c>
      <c r="R113" s="63">
        <f>COUNTIFS(AB_TF!F:F,"="&amp;A113,AB_TF!E:E,"Small*")</f>
        <v>0</v>
      </c>
      <c r="S113" s="63">
        <f>COUNTIFS(AB_TF!F:F,"="&amp;A113,AB_TF!E:E,"Medium*")</f>
        <v>0</v>
      </c>
      <c r="T113" s="63">
        <f>COUNTIFS(AB_TF!F:F,"="&amp;A113,AB_TF!E:E,"Large*")</f>
        <v>0</v>
      </c>
      <c r="U113" s="64">
        <f t="shared" si="1"/>
        <v>0</v>
      </c>
    </row>
    <row r="114">
      <c r="A114" s="7">
        <f>IFERROR(__xludf.DUMMYFUNCTION("""COMPUTED_VALUE"""),317.0)</f>
        <v>317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62">
        <f t="array" ref="P114">MAX(IF($A114=AB_TF!F:F,AB_TF!D:D))</f>
        <v>0</v>
      </c>
      <c r="Q114" s="63" t="str">
        <f t="array" ref="Q114">INDEX(AB_TF!C:C,MATCH(1,(AB_TF!F:F=A114)*(AB_TF!D:D=P114),0))</f>
        <v>#N/A</v>
      </c>
      <c r="R114" s="63">
        <f>COUNTIFS(AB_TF!F:F,"="&amp;A114,AB_TF!E:E,"Small*")</f>
        <v>0</v>
      </c>
      <c r="S114" s="63">
        <f>COUNTIFS(AB_TF!F:F,"="&amp;A114,AB_TF!E:E,"Medium*")</f>
        <v>0</v>
      </c>
      <c r="T114" s="63">
        <f>COUNTIFS(AB_TF!F:F,"="&amp;A114,AB_TF!E:E,"Large*")</f>
        <v>0</v>
      </c>
      <c r="U114" s="64">
        <f t="shared" si="1"/>
        <v>0</v>
      </c>
    </row>
    <row r="115">
      <c r="A115" s="7">
        <f>IFERROR(__xludf.DUMMYFUNCTION("""COMPUTED_VALUE"""),318.0)</f>
        <v>318</v>
      </c>
      <c r="B115" s="7" t="str">
        <f>IFERROR(__xludf.DUMMYFUNCTION("""COMPUTED_VALUE"""),"Riva")</f>
        <v>Riva</v>
      </c>
      <c r="C115" s="7"/>
      <c r="D115" s="7"/>
      <c r="E115" s="7"/>
      <c r="F115" s="7"/>
      <c r="G115" s="7"/>
      <c r="H115" s="7" t="str">
        <f>IFERROR(__xludf.DUMMYFUNCTION("""COMPUTED_VALUE"""),"DJ")</f>
        <v>DJ</v>
      </c>
      <c r="I115" s="7"/>
      <c r="J115" s="7"/>
      <c r="K115" s="7"/>
      <c r="L115" s="7"/>
      <c r="M115" s="7"/>
      <c r="N115" s="7"/>
      <c r="O115" s="7"/>
      <c r="P115" s="62">
        <f t="array" ref="P115">MAX(IF($A115=AB_TF!F:F,AB_TF!D:D))</f>
        <v>0</v>
      </c>
      <c r="Q115" s="63" t="str">
        <f t="array" ref="Q115">INDEX(AB_TF!C:C,MATCH(1,(AB_TF!F:F=A115)*(AB_TF!D:D=P115),0))</f>
        <v>#N/A</v>
      </c>
      <c r="R115" s="63">
        <f>COUNTIFS(AB_TF!F:F,"="&amp;A115,AB_TF!E:E,"Small*")</f>
        <v>0</v>
      </c>
      <c r="S115" s="63">
        <f>COUNTIFS(AB_TF!F:F,"="&amp;A115,AB_TF!E:E,"Medium*")</f>
        <v>0</v>
      </c>
      <c r="T115" s="63">
        <f>COUNTIFS(AB_TF!F:F,"="&amp;A115,AB_TF!E:E,"Large*")</f>
        <v>0</v>
      </c>
      <c r="U115" s="64">
        <f t="shared" si="1"/>
        <v>0</v>
      </c>
    </row>
    <row r="116">
      <c r="A116" s="7">
        <f>IFERROR(__xludf.DUMMYFUNCTION("""COMPUTED_VALUE"""),319.0)</f>
        <v>319</v>
      </c>
      <c r="B116" s="7" t="str">
        <f>IFERROR(__xludf.DUMMYFUNCTION("""COMPUTED_VALUE"""),"Khadura (fka Rizmi)")</f>
        <v>Khadura (fka Rizmi)</v>
      </c>
      <c r="C116" s="7" t="str">
        <f>IFERROR(__xludf.DUMMYFUNCTION("""COMPUTED_VALUE"""),"Zoya")</f>
        <v>Zoya</v>
      </c>
      <c r="D116" s="7"/>
      <c r="E116" s="7"/>
      <c r="F116" s="7" t="str">
        <f>IFERROR(__xludf.DUMMYFUNCTION("""COMPUTED_VALUE"""),"Birmingham")</f>
        <v>Birmingham</v>
      </c>
      <c r="G116" s="7"/>
      <c r="H116" s="7" t="str">
        <f>IFERROR(__xludf.DUMMYFUNCTION("""COMPUTED_VALUE"""),"DJ")</f>
        <v>DJ</v>
      </c>
      <c r="I116" s="7"/>
      <c r="J116" s="7" t="str">
        <f>IFERROR(__xludf.DUMMYFUNCTION("""COMPUTED_VALUE"""),"zoya.ahmed@live.co.uk")</f>
        <v>zoya.ahmed@live.co.uk</v>
      </c>
      <c r="K116" s="57" t="str">
        <f>IFERROR(__xludf.DUMMYFUNCTION("""COMPUTED_VALUE"""),"https://www.instagram.com/khadura.sound?igsh=NGtmYXowbWYwZHp3")</f>
        <v>https://www.instagram.com/khadura.sound?igsh=NGtmYXowbWYwZHp3</v>
      </c>
      <c r="L116" s="57" t="str">
        <f>IFERROR(__xludf.DUMMYFUNCTION("""COMPUTED_VALUE"""),"https://soundcloud.com/khadura?utm_source=mobi&amp;utm_campaign=social_sharing")</f>
        <v>https://soundcloud.com/khadura?utm_source=mobi&amp;utm_campaign=social_sharing</v>
      </c>
      <c r="M116" s="7"/>
      <c r="N116" s="7"/>
      <c r="O116" s="7"/>
      <c r="P116" s="62">
        <f t="array" ref="P116">MAX(IF($A116=AB_TF!F:F,AB_TF!D:D))</f>
        <v>46107</v>
      </c>
      <c r="Q116" s="63" t="str">
        <f t="array" ref="Q116">INDEX(AB_TF!C:C,MATCH(1,(AB_TF!F:F=A116)*(AB_TF!D:D=P116),0))</f>
        <v>BFI At Yours: Mogul Mowgli</v>
      </c>
      <c r="R116" s="63">
        <f>COUNTIFS(AB_TF!F:F,"="&amp;A116,AB_TF!E:E,"Small*")</f>
        <v>1</v>
      </c>
      <c r="S116" s="63">
        <f>COUNTIFS(AB_TF!F:F,"="&amp;A116,AB_TF!E:E,"Medium*")</f>
        <v>0</v>
      </c>
      <c r="T116" s="63">
        <f>COUNTIFS(AB_TF!F:F,"="&amp;A116,AB_TF!E:E,"Large*")</f>
        <v>0</v>
      </c>
      <c r="U116" s="64">
        <f t="shared" si="1"/>
        <v>1</v>
      </c>
    </row>
    <row r="117">
      <c r="A117" s="7">
        <f>IFERROR(__xludf.DUMMYFUNCTION("""COMPUTED_VALUE"""),320.0)</f>
        <v>320</v>
      </c>
      <c r="B117" s="7" t="str">
        <f>IFERROR(__xludf.DUMMYFUNCTION("""COMPUTED_VALUE"""),"RSP")</f>
        <v>RSP</v>
      </c>
      <c r="C117" s="7"/>
      <c r="D117" s="7"/>
      <c r="E117" s="7"/>
      <c r="F117" s="7"/>
      <c r="G117" s="7"/>
      <c r="H117" s="7" t="str">
        <f>IFERROR(__xludf.DUMMYFUNCTION("""COMPUTED_VALUE"""),"DJ")</f>
        <v>DJ</v>
      </c>
      <c r="I117" s="7"/>
      <c r="J117" s="7"/>
      <c r="K117" s="7"/>
      <c r="L117" s="7"/>
      <c r="M117" s="7"/>
      <c r="N117" s="7"/>
      <c r="O117" s="7"/>
      <c r="P117" s="62">
        <f t="array" ref="P117">MAX(IF($A117=AB_TF!F:F,AB_TF!D:D))</f>
        <v>0</v>
      </c>
      <c r="Q117" s="63" t="str">
        <f t="array" ref="Q117">INDEX(AB_TF!C:C,MATCH(1,(AB_TF!F:F=A117)*(AB_TF!D:D=P117),0))</f>
        <v>#N/A</v>
      </c>
      <c r="R117" s="63">
        <f>COUNTIFS(AB_TF!F:F,"="&amp;A117,AB_TF!E:E,"Small*")</f>
        <v>0</v>
      </c>
      <c r="S117" s="63">
        <f>COUNTIFS(AB_TF!F:F,"="&amp;A117,AB_TF!E:E,"Medium*")</f>
        <v>0</v>
      </c>
      <c r="T117" s="63">
        <f>COUNTIFS(AB_TF!F:F,"="&amp;A117,AB_TF!E:E,"Large*")</f>
        <v>0</v>
      </c>
      <c r="U117" s="64">
        <f t="shared" si="1"/>
        <v>0</v>
      </c>
    </row>
    <row r="118">
      <c r="A118" s="7">
        <f>IFERROR(__xludf.DUMMYFUNCTION("""COMPUTED_VALUE"""),321.0)</f>
        <v>321</v>
      </c>
      <c r="B118" s="7" t="str">
        <f>IFERROR(__xludf.DUMMYFUNCTION("""COMPUTED_VALUE"""),"Ruby Swallow")</f>
        <v>Ruby Swallow</v>
      </c>
      <c r="C118" s="7"/>
      <c r="D118" s="7"/>
      <c r="E118" s="7"/>
      <c r="F118" s="7"/>
      <c r="G118" s="7"/>
      <c r="H118" s="7" t="str">
        <f>IFERROR(__xludf.DUMMYFUNCTION("""COMPUTED_VALUE"""),"DJ")</f>
        <v>DJ</v>
      </c>
      <c r="I118" s="7"/>
      <c r="J118" s="7"/>
      <c r="K118" s="7"/>
      <c r="L118" s="7"/>
      <c r="M118" s="7"/>
      <c r="N118" s="7"/>
      <c r="O118" s="7"/>
      <c r="P118" s="62">
        <f t="array" ref="P118">MAX(IF($A118=AB_TF!F:F,AB_TF!D:D))</f>
        <v>0</v>
      </c>
      <c r="Q118" s="63" t="str">
        <f t="array" ref="Q118">INDEX(AB_TF!C:C,MATCH(1,(AB_TF!F:F=A118)*(AB_TF!D:D=P118),0))</f>
        <v>#N/A</v>
      </c>
      <c r="R118" s="63">
        <f>COUNTIFS(AB_TF!F:F,"="&amp;A118,AB_TF!E:E,"Small*")</f>
        <v>0</v>
      </c>
      <c r="S118" s="63">
        <f>COUNTIFS(AB_TF!F:F,"="&amp;A118,AB_TF!E:E,"Medium*")</f>
        <v>0</v>
      </c>
      <c r="T118" s="63">
        <f>COUNTIFS(AB_TF!F:F,"="&amp;A118,AB_TF!E:E,"Large*")</f>
        <v>0</v>
      </c>
      <c r="U118" s="64">
        <f t="shared" si="1"/>
        <v>0</v>
      </c>
    </row>
    <row r="119">
      <c r="A119" s="7">
        <f>IFERROR(__xludf.DUMMYFUNCTION("""COMPUTED_VALUE"""),322.0)</f>
        <v>322</v>
      </c>
      <c r="B119" s="7" t="str">
        <f>IFERROR(__xludf.DUMMYFUNCTION("""COMPUTED_VALUE"""),"Safia Lamrani")</f>
        <v>Safia Lamrani</v>
      </c>
      <c r="C119" s="7"/>
      <c r="D119" s="7"/>
      <c r="E119" s="7"/>
      <c r="F119" s="7"/>
      <c r="G119" s="7"/>
      <c r="H119" s="7" t="str">
        <f>IFERROR(__xludf.DUMMYFUNCTION("""COMPUTED_VALUE"""),"Live Act")</f>
        <v>Live Act</v>
      </c>
      <c r="I119" s="7"/>
      <c r="J119" s="7"/>
      <c r="K119" s="7"/>
      <c r="L119" s="7"/>
      <c r="M119" s="7"/>
      <c r="N119" s="7"/>
      <c r="O119" s="7"/>
      <c r="P119" s="62">
        <f t="array" ref="P119">MAX(IF($A119=AB_TF!F:F,AB_TF!D:D))</f>
        <v>0</v>
      </c>
      <c r="Q119" s="63" t="str">
        <f t="array" ref="Q119">INDEX(AB_TF!C:C,MATCH(1,(AB_TF!F:F=A119)*(AB_TF!D:D=P119),0))</f>
        <v>#N/A</v>
      </c>
      <c r="R119" s="63">
        <f>COUNTIFS(AB_TF!F:F,"="&amp;A119,AB_TF!E:E,"Small*")</f>
        <v>0</v>
      </c>
      <c r="S119" s="63">
        <f>COUNTIFS(AB_TF!F:F,"="&amp;A119,AB_TF!E:E,"Medium*")</f>
        <v>0</v>
      </c>
      <c r="T119" s="63">
        <f>COUNTIFS(AB_TF!F:F,"="&amp;A119,AB_TF!E:E,"Large*")</f>
        <v>0</v>
      </c>
      <c r="U119" s="64">
        <f t="shared" si="1"/>
        <v>0</v>
      </c>
    </row>
    <row r="120">
      <c r="A120" s="7">
        <f>IFERROR(__xludf.DUMMYFUNCTION("""COMPUTED_VALUE"""),323.0)</f>
        <v>323</v>
      </c>
      <c r="B120" s="7" t="str">
        <f>IFERROR(__xludf.DUMMYFUNCTION("""COMPUTED_VALUE"""),"Saliah")</f>
        <v>Saliah</v>
      </c>
      <c r="C120" s="7"/>
      <c r="D120" s="7"/>
      <c r="E120" s="7"/>
      <c r="F120" s="7"/>
      <c r="G120" s="7"/>
      <c r="H120" s="7" t="str">
        <f>IFERROR(__xludf.DUMMYFUNCTION("""COMPUTED_VALUE"""),"DJ")</f>
        <v>DJ</v>
      </c>
      <c r="I120" s="7"/>
      <c r="J120" s="7"/>
      <c r="K120" s="7"/>
      <c r="L120" s="7"/>
      <c r="M120" s="7"/>
      <c r="N120" s="7"/>
      <c r="O120" s="7"/>
      <c r="P120" s="62">
        <f t="array" ref="P120">MAX(IF($A120=AB_TF!F:F,AB_TF!D:D))</f>
        <v>0</v>
      </c>
      <c r="Q120" s="63" t="str">
        <f t="array" ref="Q120">INDEX(AB_TF!C:C,MATCH(1,(AB_TF!F:F=A120)*(AB_TF!D:D=P120),0))</f>
        <v>#N/A</v>
      </c>
      <c r="R120" s="63">
        <f>COUNTIFS(AB_TF!F:F,"="&amp;A120,AB_TF!E:E,"Small*")</f>
        <v>0</v>
      </c>
      <c r="S120" s="63">
        <f>COUNTIFS(AB_TF!F:F,"="&amp;A120,AB_TF!E:E,"Medium*")</f>
        <v>0</v>
      </c>
      <c r="T120" s="63">
        <f>COUNTIFS(AB_TF!F:F,"="&amp;A120,AB_TF!E:E,"Large*")</f>
        <v>0</v>
      </c>
      <c r="U120" s="64">
        <f t="shared" si="1"/>
        <v>0</v>
      </c>
    </row>
    <row r="121">
      <c r="A121" s="7">
        <f>IFERROR(__xludf.DUMMYFUNCTION("""COMPUTED_VALUE"""),324.0)</f>
        <v>324</v>
      </c>
      <c r="B121" s="7" t="str">
        <f>IFERROR(__xludf.DUMMYFUNCTION("""COMPUTED_VALUE"""),"Samuel Makar")</f>
        <v>Samuel Makar</v>
      </c>
      <c r="C121" s="7" t="str">
        <f>IFERROR(__xludf.DUMMYFUNCTION("""COMPUTED_VALUE"""),"Samuel Makar")</f>
        <v>Samuel Makar</v>
      </c>
      <c r="D121" s="7"/>
      <c r="E121" s="7"/>
      <c r="F121" s="7"/>
      <c r="G121" s="7"/>
      <c r="H121" s="7" t="str">
        <f>IFERROR(__xludf.DUMMYFUNCTION("""COMPUTED_VALUE"""),"Live Act")</f>
        <v>Live Act</v>
      </c>
      <c r="I121" s="7"/>
      <c r="J121" s="7"/>
      <c r="K121" s="7"/>
      <c r="L121" s="7"/>
      <c r="M121" s="7"/>
      <c r="N121" s="7"/>
      <c r="O121" s="7"/>
      <c r="P121" s="62">
        <f t="array" ref="P121">MAX(IF($A121=AB_TF!F:F,AB_TF!D:D))</f>
        <v>0</v>
      </c>
      <c r="Q121" s="63" t="str">
        <f t="array" ref="Q121">INDEX(AB_TF!C:C,MATCH(1,(AB_TF!F:F=A121)*(AB_TF!D:D=P121),0))</f>
        <v>#N/A</v>
      </c>
      <c r="R121" s="63">
        <f>COUNTIFS(AB_TF!F:F,"="&amp;A121,AB_TF!E:E,"Small*")</f>
        <v>0</v>
      </c>
      <c r="S121" s="63">
        <f>COUNTIFS(AB_TF!F:F,"="&amp;A121,AB_TF!E:E,"Medium*")</f>
        <v>0</v>
      </c>
      <c r="T121" s="63">
        <f>COUNTIFS(AB_TF!F:F,"="&amp;A121,AB_TF!E:E,"Large*")</f>
        <v>0</v>
      </c>
      <c r="U121" s="64">
        <f t="shared" si="1"/>
        <v>0</v>
      </c>
    </row>
    <row r="122">
      <c r="A122" s="7">
        <f>IFERROR(__xludf.DUMMYFUNCTION("""COMPUTED_VALUE"""),325.0)</f>
        <v>325</v>
      </c>
      <c r="B122" s="7" t="str">
        <f>IFERROR(__xludf.DUMMYFUNCTION("""COMPUTED_VALUE"""),"Sanasesh ")</f>
        <v>Sanasesh </v>
      </c>
      <c r="C122" s="7"/>
      <c r="D122" s="7"/>
      <c r="E122" s="7"/>
      <c r="F122" s="7"/>
      <c r="G122" s="7"/>
      <c r="H122" s="7" t="str">
        <f>IFERROR(__xludf.DUMMYFUNCTION("""COMPUTED_VALUE"""),"DJ")</f>
        <v>DJ</v>
      </c>
      <c r="I122" s="7"/>
      <c r="J122" s="7"/>
      <c r="K122" s="7"/>
      <c r="L122" s="7"/>
      <c r="M122" s="7"/>
      <c r="N122" s="7"/>
      <c r="O122" s="7"/>
      <c r="P122" s="62">
        <f t="array" ref="P122">MAX(IF($A122=AB_TF!F:F,AB_TF!D:D))</f>
        <v>0</v>
      </c>
      <c r="Q122" s="63" t="str">
        <f t="array" ref="Q122">INDEX(AB_TF!C:C,MATCH(1,(AB_TF!F:F=A122)*(AB_TF!D:D=P122),0))</f>
        <v>#N/A</v>
      </c>
      <c r="R122" s="63">
        <f>COUNTIFS(AB_TF!F:F,"="&amp;A122,AB_TF!E:E,"Small*")</f>
        <v>0</v>
      </c>
      <c r="S122" s="63">
        <f>COUNTIFS(AB_TF!F:F,"="&amp;A122,AB_TF!E:E,"Medium*")</f>
        <v>0</v>
      </c>
      <c r="T122" s="63">
        <f>COUNTIFS(AB_TF!F:F,"="&amp;A122,AB_TF!E:E,"Large*")</f>
        <v>0</v>
      </c>
      <c r="U122" s="64">
        <f t="shared" si="1"/>
        <v>0</v>
      </c>
    </row>
    <row r="123">
      <c r="A123" s="7">
        <f>IFERROR(__xludf.DUMMYFUNCTION("""COMPUTED_VALUE"""),326.0)</f>
        <v>326</v>
      </c>
      <c r="B123" s="7" t="str">
        <f>IFERROR(__xludf.DUMMYFUNCTION("""COMPUTED_VALUE"""),"Sarra ")</f>
        <v>Sarra </v>
      </c>
      <c r="C123" s="7"/>
      <c r="D123" s="7"/>
      <c r="E123" s="7"/>
      <c r="F123" s="7"/>
      <c r="G123" s="7"/>
      <c r="H123" s="7" t="str">
        <f>IFERROR(__xludf.DUMMYFUNCTION("""COMPUTED_VALUE"""),"DJ")</f>
        <v>DJ</v>
      </c>
      <c r="I123" s="7"/>
      <c r="J123" s="7"/>
      <c r="K123" s="7"/>
      <c r="L123" s="7"/>
      <c r="M123" s="7"/>
      <c r="N123" s="7"/>
      <c r="O123" s="7"/>
      <c r="P123" s="62">
        <f t="array" ref="P123">MAX(IF($A123=AB_TF!F:F,AB_TF!D:D))</f>
        <v>0</v>
      </c>
      <c r="Q123" s="63" t="str">
        <f t="array" ref="Q123">INDEX(AB_TF!C:C,MATCH(1,(AB_TF!F:F=A123)*(AB_TF!D:D=P123),0))</f>
        <v>#N/A</v>
      </c>
      <c r="R123" s="63">
        <f>COUNTIFS(AB_TF!F:F,"="&amp;A123,AB_TF!E:E,"Small*")</f>
        <v>0</v>
      </c>
      <c r="S123" s="63">
        <f>COUNTIFS(AB_TF!F:F,"="&amp;A123,AB_TF!E:E,"Medium*")</f>
        <v>0</v>
      </c>
      <c r="T123" s="63">
        <f>COUNTIFS(AB_TF!F:F,"="&amp;A123,AB_TF!E:E,"Large*")</f>
        <v>0</v>
      </c>
      <c r="U123" s="64">
        <f t="shared" si="1"/>
        <v>0</v>
      </c>
    </row>
    <row r="124">
      <c r="A124" s="7">
        <f>IFERROR(__xludf.DUMMYFUNCTION("""COMPUTED_VALUE"""),327.0)</f>
        <v>327</v>
      </c>
      <c r="B124" s="57" t="str">
        <f>IFERROR(__xludf.DUMMYFUNCTION("""COMPUTED_VALUE"""),"SHIR.IN")</f>
        <v>SHIR.IN</v>
      </c>
      <c r="C124" s="7"/>
      <c r="D124" s="7"/>
      <c r="E124" s="7"/>
      <c r="F124" s="7"/>
      <c r="G124" s="7"/>
      <c r="H124" s="7" t="str">
        <f>IFERROR(__xludf.DUMMYFUNCTION("""COMPUTED_VALUE"""),"DJ")</f>
        <v>DJ</v>
      </c>
      <c r="I124" s="7"/>
      <c r="J124" s="7"/>
      <c r="K124" s="7"/>
      <c r="L124" s="7"/>
      <c r="M124" s="7"/>
      <c r="N124" s="7"/>
      <c r="O124" s="7"/>
      <c r="P124" s="62">
        <f t="array" ref="P124">MAX(IF($A124=AB_TF!F:F,AB_TF!D:D))</f>
        <v>0</v>
      </c>
      <c r="Q124" s="63" t="str">
        <f t="array" ref="Q124">INDEX(AB_TF!C:C,MATCH(1,(AB_TF!F:F=A124)*(AB_TF!D:D=P124),0))</f>
        <v>#N/A</v>
      </c>
      <c r="R124" s="63">
        <f>COUNTIFS(AB_TF!F:F,"="&amp;A124,AB_TF!E:E,"Small*")</f>
        <v>0</v>
      </c>
      <c r="S124" s="63">
        <f>COUNTIFS(AB_TF!F:F,"="&amp;A124,AB_TF!E:E,"Medium*")</f>
        <v>0</v>
      </c>
      <c r="T124" s="63">
        <f>COUNTIFS(AB_TF!F:F,"="&amp;A124,AB_TF!E:E,"Large*")</f>
        <v>0</v>
      </c>
      <c r="U124" s="64">
        <f t="shared" si="1"/>
        <v>0</v>
      </c>
    </row>
    <row r="125">
      <c r="A125" s="7">
        <f>IFERROR(__xludf.DUMMYFUNCTION("""COMPUTED_VALUE"""),328.0)</f>
        <v>328</v>
      </c>
      <c r="B125" s="7" t="str">
        <f>IFERROR(__xludf.DUMMYFUNCTION("""COMPUTED_VALUE"""),"Shivani Day")</f>
        <v>Shivani Day</v>
      </c>
      <c r="C125" s="7"/>
      <c r="D125" s="7"/>
      <c r="E125" s="7"/>
      <c r="F125" s="7"/>
      <c r="G125" s="7"/>
      <c r="H125" s="7" t="str">
        <f>IFERROR(__xludf.DUMMYFUNCTION("""COMPUTED_VALUE"""),"DJ, Live Act")</f>
        <v>DJ, Live Act</v>
      </c>
      <c r="I125" s="7"/>
      <c r="J125" s="7"/>
      <c r="K125" s="7"/>
      <c r="L125" s="7"/>
      <c r="M125" s="7"/>
      <c r="N125" s="7"/>
      <c r="O125" s="7"/>
      <c r="P125" s="62">
        <f t="array" ref="P125">MAX(IF($A125=AB_TF!F:F,AB_TF!D:D))</f>
        <v>0</v>
      </c>
      <c r="Q125" s="63" t="str">
        <f t="array" ref="Q125">INDEX(AB_TF!C:C,MATCH(1,(AB_TF!F:F=A125)*(AB_TF!D:D=P125),0))</f>
        <v>#N/A</v>
      </c>
      <c r="R125" s="63">
        <f>COUNTIFS(AB_TF!F:F,"="&amp;A125,AB_TF!E:E,"Small*")</f>
        <v>0</v>
      </c>
      <c r="S125" s="63">
        <f>COUNTIFS(AB_TF!F:F,"="&amp;A125,AB_TF!E:E,"Medium*")</f>
        <v>0</v>
      </c>
      <c r="T125" s="63">
        <f>COUNTIFS(AB_TF!F:F,"="&amp;A125,AB_TF!E:E,"Large*")</f>
        <v>0</v>
      </c>
      <c r="U125" s="64">
        <f t="shared" si="1"/>
        <v>0</v>
      </c>
    </row>
    <row r="126">
      <c r="A126" s="7">
        <f>IFERROR(__xludf.DUMMYFUNCTION("""COMPUTED_VALUE"""),329.0)</f>
        <v>329</v>
      </c>
      <c r="B126" s="7" t="str">
        <f>IFERROR(__xludf.DUMMYFUNCTION("""COMPUTED_VALUE"""),"Shivum Sharma")</f>
        <v>Shivum Sharma</v>
      </c>
      <c r="C126" s="7" t="str">
        <f>IFERROR(__xludf.DUMMYFUNCTION("""COMPUTED_VALUE"""),"Shivum Sharma")</f>
        <v>Shivum Sharma</v>
      </c>
      <c r="D126" s="7"/>
      <c r="E126" s="7"/>
      <c r="F126" s="7"/>
      <c r="G126" s="7"/>
      <c r="H126" s="7" t="str">
        <f>IFERROR(__xludf.DUMMYFUNCTION("""COMPUTED_VALUE"""),"DJ, Live Act")</f>
        <v>DJ, Live Act</v>
      </c>
      <c r="I126" s="7"/>
      <c r="J126" s="7"/>
      <c r="K126" s="7"/>
      <c r="L126" s="7"/>
      <c r="M126" s="7"/>
      <c r="N126" s="7"/>
      <c r="O126" s="7"/>
      <c r="P126" s="62">
        <f t="array" ref="P126">MAX(IF($A126=AB_TF!F:F,AB_TF!D:D))</f>
        <v>0</v>
      </c>
      <c r="Q126" s="63" t="str">
        <f t="array" ref="Q126">INDEX(AB_TF!C:C,MATCH(1,(AB_TF!F:F=A126)*(AB_TF!D:D=P126),0))</f>
        <v>#N/A</v>
      </c>
      <c r="R126" s="63">
        <f>COUNTIFS(AB_TF!F:F,"="&amp;A126,AB_TF!E:E,"Small*")</f>
        <v>0</v>
      </c>
      <c r="S126" s="63">
        <f>COUNTIFS(AB_TF!F:F,"="&amp;A126,AB_TF!E:E,"Medium*")</f>
        <v>0</v>
      </c>
      <c r="T126" s="63">
        <f>COUNTIFS(AB_TF!F:F,"="&amp;A126,AB_TF!E:E,"Large*")</f>
        <v>0</v>
      </c>
      <c r="U126" s="64">
        <f t="shared" si="1"/>
        <v>0</v>
      </c>
    </row>
    <row r="127">
      <c r="A127" s="7">
        <f>IFERROR(__xludf.DUMMYFUNCTION("""COMPUTED_VALUE"""),330.0)</f>
        <v>330</v>
      </c>
      <c r="B127" s="7" t="str">
        <f>IFERROR(__xludf.DUMMYFUNCTION("""COMPUTED_VALUE"""),"Sukh Knight")</f>
        <v>Sukh Knight</v>
      </c>
      <c r="C127" s="7"/>
      <c r="D127" s="7"/>
      <c r="E127" s="7"/>
      <c r="F127" s="7"/>
      <c r="G127" s="7"/>
      <c r="H127" s="7" t="str">
        <f>IFERROR(__xludf.DUMMYFUNCTION("""COMPUTED_VALUE"""),"DJ")</f>
        <v>DJ</v>
      </c>
      <c r="I127" s="7"/>
      <c r="J127" s="7"/>
      <c r="K127" s="7"/>
      <c r="L127" s="7"/>
      <c r="M127" s="7"/>
      <c r="N127" s="7"/>
      <c r="O127" s="7"/>
      <c r="P127" s="62">
        <f t="array" ref="P127">MAX(IF($A127=AB_TF!F:F,AB_TF!D:D))</f>
        <v>0</v>
      </c>
      <c r="Q127" s="63" t="str">
        <f t="array" ref="Q127">INDEX(AB_TF!C:C,MATCH(1,(AB_TF!F:F=A127)*(AB_TF!D:D=P127),0))</f>
        <v>#N/A</v>
      </c>
      <c r="R127" s="63">
        <f>COUNTIFS(AB_TF!F:F,"="&amp;A127,AB_TF!E:E,"Small*")</f>
        <v>0</v>
      </c>
      <c r="S127" s="63">
        <f>COUNTIFS(AB_TF!F:F,"="&amp;A127,AB_TF!E:E,"Medium*")</f>
        <v>0</v>
      </c>
      <c r="T127" s="63">
        <f>COUNTIFS(AB_TF!F:F,"="&amp;A127,AB_TF!E:E,"Large*")</f>
        <v>0</v>
      </c>
      <c r="U127" s="64">
        <f t="shared" si="1"/>
        <v>0</v>
      </c>
    </row>
    <row r="128">
      <c r="A128" s="7">
        <f>IFERROR(__xludf.DUMMYFUNCTION("""COMPUTED_VALUE"""),331.0)</f>
        <v>331</v>
      </c>
      <c r="B128" s="7" t="str">
        <f>IFERROR(__xludf.DUMMYFUNCTION("""COMPUTED_VALUE"""),"Surusinghe")</f>
        <v>Surusinghe</v>
      </c>
      <c r="C128" s="7"/>
      <c r="D128" s="7"/>
      <c r="E128" s="7"/>
      <c r="F128" s="7"/>
      <c r="G128" s="7"/>
      <c r="H128" s="7" t="str">
        <f>IFERROR(__xludf.DUMMYFUNCTION("""COMPUTED_VALUE"""),"DJ")</f>
        <v>DJ</v>
      </c>
      <c r="I128" s="7"/>
      <c r="J128" s="7"/>
      <c r="K128" s="7"/>
      <c r="L128" s="7"/>
      <c r="M128" s="7"/>
      <c r="N128" s="7"/>
      <c r="O128" s="7"/>
      <c r="P128" s="62">
        <f t="array" ref="P128">MAX(IF($A128=AB_TF!F:F,AB_TF!D:D))</f>
        <v>0</v>
      </c>
      <c r="Q128" s="63" t="str">
        <f t="array" ref="Q128">INDEX(AB_TF!C:C,MATCH(1,(AB_TF!F:F=A128)*(AB_TF!D:D=P128),0))</f>
        <v>#N/A</v>
      </c>
      <c r="R128" s="63">
        <f>COUNTIFS(AB_TF!F:F,"="&amp;A128,AB_TF!E:E,"Small*")</f>
        <v>0</v>
      </c>
      <c r="S128" s="63">
        <f>COUNTIFS(AB_TF!F:F,"="&amp;A128,AB_TF!E:E,"Medium*")</f>
        <v>0</v>
      </c>
      <c r="T128" s="63">
        <f>COUNTIFS(AB_TF!F:F,"="&amp;A128,AB_TF!E:E,"Large*")</f>
        <v>0</v>
      </c>
      <c r="U128" s="64">
        <f t="shared" si="1"/>
        <v>0</v>
      </c>
    </row>
    <row r="129">
      <c r="A129" s="7">
        <f>IFERROR(__xludf.DUMMYFUNCTION("""COMPUTED_VALUE"""),332.0)</f>
        <v>332</v>
      </c>
      <c r="B129" s="7" t="str">
        <f>IFERROR(__xludf.DUMMYFUNCTION("""COMPUTED_VALUE"""),"Tafadzwa Muchenge")</f>
        <v>Tafadzwa Muchenge</v>
      </c>
      <c r="C129" s="7"/>
      <c r="D129" s="7"/>
      <c r="E129" s="7"/>
      <c r="F129" s="7"/>
      <c r="G129" s="7"/>
      <c r="H129" s="7" t="str">
        <f>IFERROR(__xludf.DUMMYFUNCTION("""COMPUTED_VALUE"""),"Live Act")</f>
        <v>Live Act</v>
      </c>
      <c r="I129" s="7"/>
      <c r="J129" s="7"/>
      <c r="K129" s="7"/>
      <c r="L129" s="7"/>
      <c r="M129" s="7"/>
      <c r="N129" s="7"/>
      <c r="O129" s="7"/>
      <c r="P129" s="62">
        <f t="array" ref="P129">MAX(IF($A129=AB_TF!F:F,AB_TF!D:D))</f>
        <v>0</v>
      </c>
      <c r="Q129" s="63" t="str">
        <f t="array" ref="Q129">INDEX(AB_TF!C:C,MATCH(1,(AB_TF!F:F=A129)*(AB_TF!D:D=P129),0))</f>
        <v>#N/A</v>
      </c>
      <c r="R129" s="63">
        <f>COUNTIFS(AB_TF!F:F,"="&amp;A129,AB_TF!E:E,"Small*")</f>
        <v>0</v>
      </c>
      <c r="S129" s="63">
        <f>COUNTIFS(AB_TF!F:F,"="&amp;A129,AB_TF!E:E,"Medium*")</f>
        <v>0</v>
      </c>
      <c r="T129" s="63">
        <f>COUNTIFS(AB_TF!F:F,"="&amp;A129,AB_TF!E:E,"Large*")</f>
        <v>0</v>
      </c>
      <c r="U129" s="64">
        <f t="shared" si="1"/>
        <v>0</v>
      </c>
    </row>
    <row r="130">
      <c r="A130" s="7">
        <f>IFERROR(__xludf.DUMMYFUNCTION("""COMPUTED_VALUE"""),333.0)</f>
        <v>333</v>
      </c>
      <c r="B130" s="7" t="str">
        <f>IFERROR(__xludf.DUMMYFUNCTION("""COMPUTED_VALUE"""),"Tia Ali")</f>
        <v>Tia Ali</v>
      </c>
      <c r="C130" s="7"/>
      <c r="D130" s="7"/>
      <c r="E130" s="7"/>
      <c r="F130" s="7"/>
      <c r="G130" s="7"/>
      <c r="H130" s="7" t="str">
        <f>IFERROR(__xludf.DUMMYFUNCTION("""COMPUTED_VALUE"""),"Live Act")</f>
        <v>Live Act</v>
      </c>
      <c r="I130" s="7"/>
      <c r="J130" s="7"/>
      <c r="K130" s="7"/>
      <c r="L130" s="7"/>
      <c r="M130" s="7"/>
      <c r="N130" s="7"/>
      <c r="O130" s="7"/>
      <c r="P130" s="62">
        <f t="array" ref="P130">MAX(IF($A130=AB_TF!F:F,AB_TF!D:D))</f>
        <v>0</v>
      </c>
      <c r="Q130" s="63" t="str">
        <f t="array" ref="Q130">INDEX(AB_TF!C:C,MATCH(1,(AB_TF!F:F=A130)*(AB_TF!D:D=P130),0))</f>
        <v>#N/A</v>
      </c>
      <c r="R130" s="63">
        <f>COUNTIFS(AB_TF!F:F,"="&amp;A130,AB_TF!E:E,"Small*")</f>
        <v>0</v>
      </c>
      <c r="S130" s="63">
        <f>COUNTIFS(AB_TF!F:F,"="&amp;A130,AB_TF!E:E,"Medium*")</f>
        <v>0</v>
      </c>
      <c r="T130" s="63">
        <f>COUNTIFS(AB_TF!F:F,"="&amp;A130,AB_TF!E:E,"Large*")</f>
        <v>0</v>
      </c>
      <c r="U130" s="64">
        <f t="shared" si="1"/>
        <v>0</v>
      </c>
    </row>
    <row r="131">
      <c r="A131" s="7">
        <f>IFERROR(__xludf.DUMMYFUNCTION("""COMPUTED_VALUE"""),334.0)</f>
        <v>334</v>
      </c>
      <c r="B131" s="7" t="str">
        <f>IFERROR(__xludf.DUMMYFUNCTION("""COMPUTED_VALUE"""),"Toumba")</f>
        <v>Toumba</v>
      </c>
      <c r="C131" s="7"/>
      <c r="D131" s="7"/>
      <c r="E131" s="7"/>
      <c r="F131" s="7"/>
      <c r="G131" s="7"/>
      <c r="H131" s="7" t="str">
        <f>IFERROR(__xludf.DUMMYFUNCTION("""COMPUTED_VALUE"""),"DJ")</f>
        <v>DJ</v>
      </c>
      <c r="I131" s="7"/>
      <c r="J131" s="7"/>
      <c r="K131" s="7"/>
      <c r="L131" s="7"/>
      <c r="M131" s="7"/>
      <c r="N131" s="7"/>
      <c r="O131" s="7"/>
      <c r="P131" s="62">
        <f t="array" ref="P131">MAX(IF($A131=AB_TF!F:F,AB_TF!D:D))</f>
        <v>0</v>
      </c>
      <c r="Q131" s="63" t="str">
        <f t="array" ref="Q131">INDEX(AB_TF!C:C,MATCH(1,(AB_TF!F:F=A131)*(AB_TF!D:D=P131),0))</f>
        <v>#N/A</v>
      </c>
      <c r="R131" s="63">
        <f>COUNTIFS(AB_TF!F:F,"="&amp;A131,AB_TF!E:E,"Small*")</f>
        <v>0</v>
      </c>
      <c r="S131" s="63">
        <f>COUNTIFS(AB_TF!F:F,"="&amp;A131,AB_TF!E:E,"Medium*")</f>
        <v>0</v>
      </c>
      <c r="T131" s="63">
        <f>COUNTIFS(AB_TF!F:F,"="&amp;A131,AB_TF!E:E,"Large*")</f>
        <v>0</v>
      </c>
      <c r="U131" s="64">
        <f t="shared" si="1"/>
        <v>0</v>
      </c>
    </row>
    <row r="132">
      <c r="A132" s="7">
        <f>IFERROR(__xludf.DUMMYFUNCTION("""COMPUTED_VALUE"""),335.0)</f>
        <v>335</v>
      </c>
      <c r="B132" s="7" t="str">
        <f>IFERROR(__xludf.DUMMYFUNCTION("""COMPUTED_VALUE"""),"Trayner")</f>
        <v>Trayner</v>
      </c>
      <c r="C132" s="7"/>
      <c r="D132" s="7"/>
      <c r="E132" s="7"/>
      <c r="F132" s="7"/>
      <c r="G132" s="7"/>
      <c r="H132" s="7" t="str">
        <f>IFERROR(__xludf.DUMMYFUNCTION("""COMPUTED_VALUE"""),"DJ")</f>
        <v>DJ</v>
      </c>
      <c r="I132" s="7"/>
      <c r="J132" s="7"/>
      <c r="K132" s="7"/>
      <c r="L132" s="7"/>
      <c r="M132" s="7"/>
      <c r="N132" s="7"/>
      <c r="O132" s="7"/>
      <c r="P132" s="62">
        <f t="array" ref="P132">MAX(IF($A132=AB_TF!F:F,AB_TF!D:D))</f>
        <v>0</v>
      </c>
      <c r="Q132" s="63" t="str">
        <f t="array" ref="Q132">INDEX(AB_TF!C:C,MATCH(1,(AB_TF!F:F=A132)*(AB_TF!D:D=P132),0))</f>
        <v>#N/A</v>
      </c>
      <c r="R132" s="63">
        <f>COUNTIFS(AB_TF!F:F,"="&amp;A132,AB_TF!E:E,"Small*")</f>
        <v>0</v>
      </c>
      <c r="S132" s="63">
        <f>COUNTIFS(AB_TF!F:F,"="&amp;A132,AB_TF!E:E,"Medium*")</f>
        <v>0</v>
      </c>
      <c r="T132" s="63">
        <f>COUNTIFS(AB_TF!F:F,"="&amp;A132,AB_TF!E:E,"Large*")</f>
        <v>0</v>
      </c>
      <c r="U132" s="64">
        <f t="shared" si="1"/>
        <v>0</v>
      </c>
    </row>
    <row r="133">
      <c r="A133" s="7">
        <f>IFERROR(__xludf.DUMMYFUNCTION("""COMPUTED_VALUE"""),336.0)</f>
        <v>336</v>
      </c>
      <c r="B133" s="7" t="str">
        <f>IFERROR(__xludf.DUMMYFUNCTION("""COMPUTED_VALUE"""),"Vindya")</f>
        <v>Vindya</v>
      </c>
      <c r="C133" s="7"/>
      <c r="D133" s="7"/>
      <c r="E133" s="7"/>
      <c r="F133" s="7"/>
      <c r="G133" s="7"/>
      <c r="H133" s="7" t="str">
        <f>IFERROR(__xludf.DUMMYFUNCTION("""COMPUTED_VALUE"""),"DJ, Live Act")</f>
        <v>DJ, Live Act</v>
      </c>
      <c r="I133" s="7"/>
      <c r="J133" s="7"/>
      <c r="K133" s="7"/>
      <c r="L133" s="7"/>
      <c r="M133" s="7"/>
      <c r="N133" s="7"/>
      <c r="O133" s="7"/>
      <c r="P133" s="62">
        <f t="array" ref="P133">MAX(IF($A133=AB_TF!F:F,AB_TF!D:D))</f>
        <v>0</v>
      </c>
      <c r="Q133" s="63" t="str">
        <f t="array" ref="Q133">INDEX(AB_TF!C:C,MATCH(1,(AB_TF!F:F=A133)*(AB_TF!D:D=P133),0))</f>
        <v>#N/A</v>
      </c>
      <c r="R133" s="63">
        <f>COUNTIFS(AB_TF!F:F,"="&amp;A133,AB_TF!E:E,"Small*")</f>
        <v>0</v>
      </c>
      <c r="S133" s="63">
        <f>COUNTIFS(AB_TF!F:F,"="&amp;A133,AB_TF!E:E,"Medium*")</f>
        <v>0</v>
      </c>
      <c r="T133" s="63">
        <f>COUNTIFS(AB_TF!F:F,"="&amp;A133,AB_TF!E:E,"Large*")</f>
        <v>0</v>
      </c>
      <c r="U133" s="64">
        <f t="shared" si="1"/>
        <v>0</v>
      </c>
    </row>
    <row r="134">
      <c r="A134" s="7">
        <f>IFERROR(__xludf.DUMMYFUNCTION("""COMPUTED_VALUE"""),337.0)</f>
        <v>337</v>
      </c>
      <c r="B134" s="7" t="str">
        <f>IFERROR(__xludf.DUMMYFUNCTION("""COMPUTED_VALUE"""),"Works Of Intent")</f>
        <v>Works Of Intent</v>
      </c>
      <c r="C134" s="7"/>
      <c r="D134" s="7"/>
      <c r="E134" s="7"/>
      <c r="F134" s="7"/>
      <c r="G134" s="7"/>
      <c r="H134" s="7" t="str">
        <f>IFERROR(__xludf.DUMMYFUNCTION("""COMPUTED_VALUE"""),"DJ")</f>
        <v>DJ</v>
      </c>
      <c r="I134" s="7" t="str">
        <f>IFERROR(__xludf.DUMMYFUNCTION("""COMPUTED_VALUE"""),"Big Room, Melodic Techno")</f>
        <v>Big Room, Melodic Techno</v>
      </c>
      <c r="J134" s="7" t="str">
        <f>IFERROR(__xludf.DUMMYFUNCTION("""COMPUTED_VALUE"""),"rosh@worksofintent.com")</f>
        <v>rosh@worksofintent.com</v>
      </c>
      <c r="K134" s="7"/>
      <c r="L134" s="7"/>
      <c r="M134" s="7"/>
      <c r="N134" s="7"/>
      <c r="O134" s="7"/>
      <c r="P134" s="62">
        <f t="array" ref="P134">MAX(IF($A134=AB_TF!F:F,AB_TF!D:D))</f>
        <v>0</v>
      </c>
      <c r="Q134" s="63" t="str">
        <f t="array" ref="Q134">INDEX(AB_TF!C:C,MATCH(1,(AB_TF!F:F=A134)*(AB_TF!D:D=P134),0))</f>
        <v>#N/A</v>
      </c>
      <c r="R134" s="63">
        <f>COUNTIFS(AB_TF!F:F,"="&amp;A134,AB_TF!E:E,"Small*")</f>
        <v>0</v>
      </c>
      <c r="S134" s="63">
        <f>COUNTIFS(AB_TF!F:F,"="&amp;A134,AB_TF!E:E,"Medium*")</f>
        <v>0</v>
      </c>
      <c r="T134" s="63">
        <f>COUNTIFS(AB_TF!F:F,"="&amp;A134,AB_TF!E:E,"Large*")</f>
        <v>0</v>
      </c>
      <c r="U134" s="64">
        <f t="shared" si="1"/>
        <v>0</v>
      </c>
    </row>
    <row r="135">
      <c r="A135" s="7">
        <f>IFERROR(__xludf.DUMMYFUNCTION("""COMPUTED_VALUE"""),338.0)</f>
        <v>338</v>
      </c>
      <c r="B135" s="7" t="str">
        <f>IFERROR(__xludf.DUMMYFUNCTION("""COMPUTED_VALUE"""),"Yas Meen Selectress")</f>
        <v>Yas Meen Selectress</v>
      </c>
      <c r="C135" s="7"/>
      <c r="D135" s="7"/>
      <c r="E135" s="7"/>
      <c r="F135" s="7"/>
      <c r="G135" s="7"/>
      <c r="H135" s="7" t="str">
        <f>IFERROR(__xludf.DUMMYFUNCTION("""COMPUTED_VALUE"""),"DJ")</f>
        <v>DJ</v>
      </c>
      <c r="I135" s="7"/>
      <c r="J135" s="7"/>
      <c r="K135" s="7"/>
      <c r="L135" s="7"/>
      <c r="M135" s="7"/>
      <c r="N135" s="7"/>
      <c r="O135" s="7"/>
      <c r="P135" s="62">
        <f t="array" ref="P135">MAX(IF($A135=AB_TF!F:F,AB_TF!D:D))</f>
        <v>0</v>
      </c>
      <c r="Q135" s="63" t="str">
        <f t="array" ref="Q135">INDEX(AB_TF!C:C,MATCH(1,(AB_TF!F:F=A135)*(AB_TF!D:D=P135),0))</f>
        <v>#N/A</v>
      </c>
      <c r="R135" s="63">
        <f>COUNTIFS(AB_TF!F:F,"="&amp;A135,AB_TF!E:E,"Small*")</f>
        <v>0</v>
      </c>
      <c r="S135" s="63">
        <f>COUNTIFS(AB_TF!F:F,"="&amp;A135,AB_TF!E:E,"Medium*")</f>
        <v>0</v>
      </c>
      <c r="T135" s="63">
        <f>COUNTIFS(AB_TF!F:F,"="&amp;A135,AB_TF!E:E,"Large*")</f>
        <v>0</v>
      </c>
      <c r="U135" s="64">
        <f t="shared" si="1"/>
        <v>0</v>
      </c>
    </row>
    <row r="136">
      <c r="A136" s="7">
        <f>IFERROR(__xludf.DUMMYFUNCTION("""COMPUTED_VALUE"""),339.0)</f>
        <v>339</v>
      </c>
      <c r="B136" s="7" t="str">
        <f>IFERROR(__xludf.DUMMYFUNCTION("""COMPUTED_VALUE"""),"Yung Singh")</f>
        <v>Yung Singh</v>
      </c>
      <c r="C136" s="7"/>
      <c r="D136" s="7"/>
      <c r="E136" s="7"/>
      <c r="F136" s="7"/>
      <c r="G136" s="7"/>
      <c r="H136" s="7" t="str">
        <f>IFERROR(__xludf.DUMMYFUNCTION("""COMPUTED_VALUE"""),"DJ")</f>
        <v>DJ</v>
      </c>
      <c r="I136" s="7"/>
      <c r="J136" s="7"/>
      <c r="K136" s="7"/>
      <c r="L136" s="7"/>
      <c r="M136" s="7"/>
      <c r="N136" s="7"/>
      <c r="O136" s="7"/>
      <c r="P136" s="62">
        <f t="array" ref="P136">MAX(IF($A136=AB_TF!F:F,AB_TF!D:D))</f>
        <v>0</v>
      </c>
      <c r="Q136" s="63" t="str">
        <f t="array" ref="Q136">INDEX(AB_TF!C:C,MATCH(1,(AB_TF!F:F=A136)*(AB_TF!D:D=P136),0))</f>
        <v>#N/A</v>
      </c>
      <c r="R136" s="63">
        <f>COUNTIFS(AB_TF!F:F,"="&amp;A136,AB_TF!E:E,"Small*")</f>
        <v>0</v>
      </c>
      <c r="S136" s="63">
        <f>COUNTIFS(AB_TF!F:F,"="&amp;A136,AB_TF!E:E,"Medium*")</f>
        <v>0</v>
      </c>
      <c r="T136" s="63">
        <f>COUNTIFS(AB_TF!F:F,"="&amp;A136,AB_TF!E:E,"Large*")</f>
        <v>0</v>
      </c>
      <c r="U136" s="64">
        <f t="shared" si="1"/>
        <v>0</v>
      </c>
    </row>
    <row r="137">
      <c r="A137" s="7">
        <f>IFERROR(__xludf.DUMMYFUNCTION("""COMPUTED_VALUE"""),340.0)</f>
        <v>340</v>
      </c>
      <c r="B137" s="7" t="str">
        <f>IFERROR(__xludf.DUMMYFUNCTION("""COMPUTED_VALUE"""),"Kylin Tyce ")</f>
        <v>Kylin Tyce </v>
      </c>
      <c r="C137" s="7"/>
      <c r="D137" s="7"/>
      <c r="E137" s="7"/>
      <c r="F137" s="7"/>
      <c r="G137" s="7"/>
      <c r="H137" s="7" t="str">
        <f>IFERROR(__xludf.DUMMYFUNCTION("""COMPUTED_VALUE"""),"DJ")</f>
        <v>DJ</v>
      </c>
      <c r="I137" s="7"/>
      <c r="J137" s="7"/>
      <c r="K137" s="7"/>
      <c r="L137" s="7"/>
      <c r="M137" s="7"/>
      <c r="N137" s="7"/>
      <c r="O137" s="7"/>
      <c r="P137" s="62">
        <f t="array" ref="P137">MAX(IF($A137=AB_TF!F:F,AB_TF!D:D))</f>
        <v>0</v>
      </c>
      <c r="Q137" s="63" t="str">
        <f t="array" ref="Q137">INDEX(AB_TF!C:C,MATCH(1,(AB_TF!F:F=A137)*(AB_TF!D:D=P137),0))</f>
        <v>#N/A</v>
      </c>
      <c r="R137" s="63">
        <f>COUNTIFS(AB_TF!F:F,"="&amp;A137,AB_TF!E:E,"Small*")</f>
        <v>0</v>
      </c>
      <c r="S137" s="63">
        <f>COUNTIFS(AB_TF!F:F,"="&amp;A137,AB_TF!E:E,"Medium*")</f>
        <v>0</v>
      </c>
      <c r="T137" s="63">
        <f>COUNTIFS(AB_TF!F:F,"="&amp;A137,AB_TF!E:E,"Large*")</f>
        <v>0</v>
      </c>
      <c r="U137" s="64">
        <f t="shared" si="1"/>
        <v>0</v>
      </c>
    </row>
    <row r="138">
      <c r="A138" s="7">
        <f>IFERROR(__xludf.DUMMYFUNCTION("""COMPUTED_VALUE"""),341.0)</f>
        <v>341</v>
      </c>
      <c r="B138" s="7" t="str">
        <f>IFERROR(__xludf.DUMMYFUNCTION("""COMPUTED_VALUE"""),"Zaleel")</f>
        <v>Zaleel</v>
      </c>
      <c r="C138" s="7"/>
      <c r="D138" s="7"/>
      <c r="E138" s="7"/>
      <c r="F138" s="7"/>
      <c r="G138" s="7"/>
      <c r="H138" s="7" t="str">
        <f>IFERROR(__xludf.DUMMYFUNCTION("""COMPUTED_VALUE"""),"DJ")</f>
        <v>DJ</v>
      </c>
      <c r="I138" s="7"/>
      <c r="J138" s="7"/>
      <c r="K138" s="7"/>
      <c r="L138" s="7"/>
      <c r="M138" s="7"/>
      <c r="N138" s="7"/>
      <c r="O138" s="7"/>
      <c r="P138" s="62">
        <f t="array" ref="P138">MAX(IF($A138=AB_TF!F:F,AB_TF!D:D))</f>
        <v>0</v>
      </c>
      <c r="Q138" s="63" t="str">
        <f t="array" ref="Q138">INDEX(AB_TF!C:C,MATCH(1,(AB_TF!F:F=A138)*(AB_TF!D:D=P138),0))</f>
        <v>#N/A</v>
      </c>
      <c r="R138" s="63">
        <f>COUNTIFS(AB_TF!F:F,"="&amp;A138,AB_TF!E:E,"Small*")</f>
        <v>0</v>
      </c>
      <c r="S138" s="63">
        <f>COUNTIFS(AB_TF!F:F,"="&amp;A138,AB_TF!E:E,"Medium*")</f>
        <v>0</v>
      </c>
      <c r="T138" s="63">
        <f>COUNTIFS(AB_TF!F:F,"="&amp;A138,AB_TF!E:E,"Large*")</f>
        <v>0</v>
      </c>
      <c r="U138" s="64">
        <f t="shared" si="1"/>
        <v>0</v>
      </c>
    </row>
    <row r="139">
      <c r="A139" s="7">
        <f>IFERROR(__xludf.DUMMYFUNCTION("""COMPUTED_VALUE"""),342.0)</f>
        <v>342</v>
      </c>
      <c r="B139" s="7" t="str">
        <f>IFERROR(__xludf.DUMMYFUNCTION("""COMPUTED_VALUE"""),"Zia Ahmed")</f>
        <v>Zia Ahmed</v>
      </c>
      <c r="C139" s="7" t="str">
        <f>IFERROR(__xludf.DUMMYFUNCTION("""COMPUTED_VALUE"""),"Zia Ahmed")</f>
        <v>Zia Ahmed</v>
      </c>
      <c r="D139" s="7"/>
      <c r="E139" s="7"/>
      <c r="F139" s="7"/>
      <c r="G139" s="7"/>
      <c r="H139" s="7" t="str">
        <f>IFERROR(__xludf.DUMMYFUNCTION("""COMPUTED_VALUE"""),"Live Act")</f>
        <v>Live Act</v>
      </c>
      <c r="I139" s="7"/>
      <c r="J139" s="7"/>
      <c r="K139" s="7"/>
      <c r="L139" s="7"/>
      <c r="M139" s="7"/>
      <c r="N139" s="7"/>
      <c r="O139" s="7"/>
      <c r="P139" s="62">
        <f t="array" ref="P139">MAX(IF($A139=AB_TF!F:F,AB_TF!D:D))</f>
        <v>0</v>
      </c>
      <c r="Q139" s="63" t="str">
        <f t="array" ref="Q139">INDEX(AB_TF!C:C,MATCH(1,(AB_TF!F:F=A139)*(AB_TF!D:D=P139),0))</f>
        <v>#N/A</v>
      </c>
      <c r="R139" s="63">
        <f>COUNTIFS(AB_TF!F:F,"="&amp;A139,AB_TF!E:E,"Small*")</f>
        <v>0</v>
      </c>
      <c r="S139" s="63">
        <f>COUNTIFS(AB_TF!F:F,"="&amp;A139,AB_TF!E:E,"Medium*")</f>
        <v>0</v>
      </c>
      <c r="T139" s="63">
        <f>COUNTIFS(AB_TF!F:F,"="&amp;A139,AB_TF!E:E,"Large*")</f>
        <v>0</v>
      </c>
      <c r="U139" s="64">
        <f t="shared" si="1"/>
        <v>0</v>
      </c>
    </row>
    <row r="140">
      <c r="A140" s="7">
        <f>IFERROR(__xludf.DUMMYFUNCTION("""COMPUTED_VALUE"""),343.0)</f>
        <v>343</v>
      </c>
      <c r="B140" s="7" t="str">
        <f>IFERROR(__xludf.DUMMYFUNCTION("""COMPUTED_VALUE"""),"Zohab Zee Khan")</f>
        <v>Zohab Zee Khan</v>
      </c>
      <c r="C140" s="7" t="str">
        <f>IFERROR(__xludf.DUMMYFUNCTION("""COMPUTED_VALUE"""),"Zohab Zee Khan")</f>
        <v>Zohab Zee Khan</v>
      </c>
      <c r="D140" s="7"/>
      <c r="E140" s="7"/>
      <c r="F140" s="7"/>
      <c r="G140" s="7"/>
      <c r="H140" s="7" t="str">
        <f>IFERROR(__xludf.DUMMYFUNCTION("""COMPUTED_VALUE"""),"Live Act")</f>
        <v>Live Act</v>
      </c>
      <c r="I140" s="7"/>
      <c r="J140" s="7"/>
      <c r="K140" s="7"/>
      <c r="L140" s="7"/>
      <c r="M140" s="7"/>
      <c r="N140" s="7"/>
      <c r="O140" s="7"/>
      <c r="P140" s="62">
        <f t="array" ref="P140">MAX(IF($A140=AB_TF!F:F,AB_TF!D:D))</f>
        <v>0</v>
      </c>
      <c r="Q140" s="63" t="str">
        <f t="array" ref="Q140">INDEX(AB_TF!C:C,MATCH(1,(AB_TF!F:F=A140)*(AB_TF!D:D=P140),0))</f>
        <v>#N/A</v>
      </c>
      <c r="R140" s="63">
        <f>COUNTIFS(AB_TF!F:F,"="&amp;A140,AB_TF!E:E,"Small*")</f>
        <v>0</v>
      </c>
      <c r="S140" s="63">
        <f>COUNTIFS(AB_TF!F:F,"="&amp;A140,AB_TF!E:E,"Medium*")</f>
        <v>0</v>
      </c>
      <c r="T140" s="63">
        <f>COUNTIFS(AB_TF!F:F,"="&amp;A140,AB_TF!E:E,"Large*")</f>
        <v>0</v>
      </c>
      <c r="U140" s="64">
        <f t="shared" si="1"/>
        <v>0</v>
      </c>
    </row>
    <row r="141">
      <c r="A141" s="7">
        <f>IFERROR(__xludf.DUMMYFUNCTION("""COMPUTED_VALUE"""),344.0)</f>
        <v>344</v>
      </c>
      <c r="B141" s="7" t="str">
        <f>IFERROR(__xludf.DUMMYFUNCTION("""COMPUTED_VALUE"""),"Aisha Mirza")</f>
        <v>Aisha Mirza</v>
      </c>
      <c r="C141" s="7"/>
      <c r="D141" s="7"/>
      <c r="E141" s="7"/>
      <c r="F141" s="7"/>
      <c r="G141" s="7"/>
      <c r="H141" s="7" t="str">
        <f>IFERROR(__xludf.DUMMYFUNCTION("""COMPUTED_VALUE"""),"DJ")</f>
        <v>DJ</v>
      </c>
      <c r="I141" s="7"/>
      <c r="J141" s="7"/>
      <c r="K141" s="7"/>
      <c r="L141" s="7"/>
      <c r="M141" s="7"/>
      <c r="N141" s="7"/>
      <c r="O141" s="7"/>
      <c r="P141" s="62">
        <f t="array" ref="P141">MAX(IF($A141=AB_TF!F:F,AB_TF!D:D))</f>
        <v>0</v>
      </c>
      <c r="Q141" s="63" t="str">
        <f t="array" ref="Q141">INDEX(AB_TF!C:C,MATCH(1,(AB_TF!F:F=A141)*(AB_TF!D:D=P141),0))</f>
        <v>#N/A</v>
      </c>
      <c r="R141" s="63">
        <f>COUNTIFS(AB_TF!F:F,"="&amp;A141,AB_TF!E:E,"Small*")</f>
        <v>0</v>
      </c>
      <c r="S141" s="63">
        <f>COUNTIFS(AB_TF!F:F,"="&amp;A141,AB_TF!E:E,"Medium*")</f>
        <v>0</v>
      </c>
      <c r="T141" s="63">
        <f>COUNTIFS(AB_TF!F:F,"="&amp;A141,AB_TF!E:E,"Large*")</f>
        <v>0</v>
      </c>
      <c r="U141" s="64">
        <f t="shared" si="1"/>
        <v>0</v>
      </c>
    </row>
    <row r="142">
      <c r="A142" s="7">
        <f>IFERROR(__xludf.DUMMYFUNCTION("""COMPUTED_VALUE"""),345.0)</f>
        <v>345</v>
      </c>
      <c r="B142" s="7" t="str">
        <f>IFERROR(__xludf.DUMMYFUNCTION("""COMPUTED_VALUE"""),"Leo Kalyan")</f>
        <v>Leo Kalyan</v>
      </c>
      <c r="C142" s="7"/>
      <c r="D142" s="7"/>
      <c r="E142" s="7"/>
      <c r="F142" s="7" t="str">
        <f>IFERROR(__xludf.DUMMYFUNCTION("""COMPUTED_VALUE"""),"London")</f>
        <v>London</v>
      </c>
      <c r="G142" s="7"/>
      <c r="H142" s="7" t="str">
        <f>IFERROR(__xludf.DUMMYFUNCTION("""COMPUTED_VALUE"""),"Live Act")</f>
        <v>Live Act</v>
      </c>
      <c r="I142" s="7"/>
      <c r="J142" s="7" t="str">
        <f>IFERROR(__xludf.DUMMYFUNCTION("""COMPUTED_VALUE"""),"N/A")</f>
        <v>N/A</v>
      </c>
      <c r="K142" s="7"/>
      <c r="L142" s="7"/>
      <c r="M142" s="7"/>
      <c r="N142" s="7"/>
      <c r="O142" s="7"/>
      <c r="P142" s="62">
        <f t="array" ref="P142">MAX(IF($A142=AB_TF!F:F,AB_TF!D:D))</f>
        <v>0</v>
      </c>
      <c r="Q142" s="63" t="str">
        <f t="array" ref="Q142">INDEX(AB_TF!C:C,MATCH(1,(AB_TF!F:F=A142)*(AB_TF!D:D=P142),0))</f>
        <v>#N/A</v>
      </c>
      <c r="R142" s="63">
        <f>COUNTIFS(AB_TF!F:F,"="&amp;A142,AB_TF!E:E,"Small*")</f>
        <v>0</v>
      </c>
      <c r="S142" s="63">
        <f>COUNTIFS(AB_TF!F:F,"="&amp;A142,AB_TF!E:E,"Medium*")</f>
        <v>0</v>
      </c>
      <c r="T142" s="63">
        <f>COUNTIFS(AB_TF!F:F,"="&amp;A142,AB_TF!E:E,"Large*")</f>
        <v>0</v>
      </c>
      <c r="U142" s="64">
        <f t="shared" si="1"/>
        <v>0</v>
      </c>
    </row>
    <row r="143">
      <c r="A143" s="7">
        <f>IFERROR(__xludf.DUMMYFUNCTION("""COMPUTED_VALUE"""),346.0)</f>
        <v>346</v>
      </c>
      <c r="B143" s="7" t="str">
        <f>IFERROR(__xludf.DUMMYFUNCTION("""COMPUTED_VALUE"""),"Tara Lily")</f>
        <v>Tara Lily</v>
      </c>
      <c r="C143" s="7"/>
      <c r="D143" s="7"/>
      <c r="E143" s="7"/>
      <c r="F143" s="7" t="str">
        <f>IFERROR(__xludf.DUMMYFUNCTION("""COMPUTED_VALUE"""),"London")</f>
        <v>London</v>
      </c>
      <c r="G143" s="7"/>
      <c r="H143" s="7" t="str">
        <f>IFERROR(__xludf.DUMMYFUNCTION("""COMPUTED_VALUE"""),"Live Act")</f>
        <v>Live Act</v>
      </c>
      <c r="I143" s="7"/>
      <c r="J143" s="7" t="str">
        <f>IFERROR(__xludf.DUMMYFUNCTION("""COMPUTED_VALUE"""),"N/A")</f>
        <v>N/A</v>
      </c>
      <c r="K143" s="7"/>
      <c r="L143" s="7"/>
      <c r="M143" s="7"/>
      <c r="N143" s="7"/>
      <c r="O143" s="7"/>
      <c r="P143" s="62">
        <f t="array" ref="P143">MAX(IF($A143=AB_TF!F:F,AB_TF!D:D))</f>
        <v>0</v>
      </c>
      <c r="Q143" s="63" t="str">
        <f t="array" ref="Q143">INDEX(AB_TF!C:C,MATCH(1,(AB_TF!F:F=A143)*(AB_TF!D:D=P143),0))</f>
        <v>#N/A</v>
      </c>
      <c r="R143" s="63">
        <f>COUNTIFS(AB_TF!F:F,"="&amp;A143,AB_TF!E:E,"Small*")</f>
        <v>0</v>
      </c>
      <c r="S143" s="63">
        <f>COUNTIFS(AB_TF!F:F,"="&amp;A143,AB_TF!E:E,"Medium*")</f>
        <v>0</v>
      </c>
      <c r="T143" s="63">
        <f>COUNTIFS(AB_TF!F:F,"="&amp;A143,AB_TF!E:E,"Large*")</f>
        <v>0</v>
      </c>
      <c r="U143" s="64">
        <f t="shared" si="1"/>
        <v>0</v>
      </c>
    </row>
    <row r="144">
      <c r="A144" s="7">
        <f>IFERROR(__xludf.DUMMYFUNCTION("""COMPUTED_VALUE"""),347.0)</f>
        <v>347</v>
      </c>
      <c r="B144" s="7" t="str">
        <f>IFERROR(__xludf.DUMMYFUNCTION("""COMPUTED_VALUE"""),"DJ Kye")</f>
        <v>DJ Kye</v>
      </c>
      <c r="C144" s="7"/>
      <c r="D144" s="7"/>
      <c r="E144" s="7"/>
      <c r="F144" s="7" t="str">
        <f>IFERROR(__xludf.DUMMYFUNCTION("""COMPUTED_VALUE"""),"London")</f>
        <v>London</v>
      </c>
      <c r="G144" s="7"/>
      <c r="H144" s="7" t="str">
        <f>IFERROR(__xludf.DUMMYFUNCTION("""COMPUTED_VALUE"""),"DJ")</f>
        <v>DJ</v>
      </c>
      <c r="I144" s="7"/>
      <c r="J144" s="7" t="str">
        <f>IFERROR(__xludf.DUMMYFUNCTION("""COMPUTED_VALUE"""),"N/A")</f>
        <v>N/A</v>
      </c>
      <c r="K144" s="7"/>
      <c r="L144" s="7"/>
      <c r="M144" s="7"/>
      <c r="N144" s="7"/>
      <c r="O144" s="7"/>
      <c r="P144" s="62">
        <f t="array" ref="P144">MAX(IF($A144=AB_TF!F:F,AB_TF!D:D))</f>
        <v>0</v>
      </c>
      <c r="Q144" s="63" t="str">
        <f t="array" ref="Q144">INDEX(AB_TF!C:C,MATCH(1,(AB_TF!F:F=A144)*(AB_TF!D:D=P144),0))</f>
        <v>#N/A</v>
      </c>
      <c r="R144" s="63">
        <f>COUNTIFS(AB_TF!F:F,"="&amp;A144,AB_TF!E:E,"Small*")</f>
        <v>0</v>
      </c>
      <c r="S144" s="63">
        <f>COUNTIFS(AB_TF!F:F,"="&amp;A144,AB_TF!E:E,"Medium*")</f>
        <v>0</v>
      </c>
      <c r="T144" s="63">
        <f>COUNTIFS(AB_TF!F:F,"="&amp;A144,AB_TF!E:E,"Large*")</f>
        <v>0</v>
      </c>
      <c r="U144" s="64">
        <f t="shared" si="1"/>
        <v>0</v>
      </c>
    </row>
    <row r="145">
      <c r="A145" s="7">
        <f>IFERROR(__xludf.DUMMYFUNCTION("""COMPUTED_VALUE"""),349.0)</f>
        <v>349</v>
      </c>
      <c r="B145" s="7" t="str">
        <f>IFERROR(__xludf.DUMMYFUNCTION("""COMPUTED_VALUE"""),"Surya Sen")</f>
        <v>Surya Sen</v>
      </c>
      <c r="C145" s="7"/>
      <c r="D145" s="7"/>
      <c r="E145" s="7"/>
      <c r="F145" s="7" t="str">
        <f>IFERROR(__xludf.DUMMYFUNCTION("""COMPUTED_VALUE"""),"London")</f>
        <v>London</v>
      </c>
      <c r="G145" s="7"/>
      <c r="H145" s="7" t="str">
        <f>IFERROR(__xludf.DUMMYFUNCTION("""COMPUTED_VALUE"""),"DJ, Live Act")</f>
        <v>DJ, Live Act</v>
      </c>
      <c r="I145" s="7"/>
      <c r="J145" s="7" t="str">
        <f>IFERROR(__xludf.DUMMYFUNCTION("""COMPUTED_VALUE"""),"N/A")</f>
        <v>N/A</v>
      </c>
      <c r="K145" s="7"/>
      <c r="L145" s="7"/>
      <c r="M145" s="7"/>
      <c r="N145" s="7"/>
      <c r="O145" s="7"/>
      <c r="P145" s="62">
        <f t="array" ref="P145">MAX(IF($A145=AB_TF!F:F,AB_TF!D:D))</f>
        <v>0</v>
      </c>
      <c r="Q145" s="63" t="str">
        <f t="array" ref="Q145">INDEX(AB_TF!C:C,MATCH(1,(AB_TF!F:F=A145)*(AB_TF!D:D=P145),0))</f>
        <v>#N/A</v>
      </c>
      <c r="R145" s="63">
        <f>COUNTIFS(AB_TF!F:F,"="&amp;A145,AB_TF!E:E,"Small*")</f>
        <v>0</v>
      </c>
      <c r="S145" s="63">
        <f>COUNTIFS(AB_TF!F:F,"="&amp;A145,AB_TF!E:E,"Medium*")</f>
        <v>0</v>
      </c>
      <c r="T145" s="63">
        <f>COUNTIFS(AB_TF!F:F,"="&amp;A145,AB_TF!E:E,"Large*")</f>
        <v>0</v>
      </c>
      <c r="U145" s="64">
        <f t="shared" si="1"/>
        <v>0</v>
      </c>
    </row>
    <row r="146">
      <c r="A146" s="7">
        <f>IFERROR(__xludf.DUMMYFUNCTION("""COMPUTED_VALUE"""),350.0)</f>
        <v>350</v>
      </c>
      <c r="B146" s="7" t="str">
        <f>IFERROR(__xludf.DUMMYFUNCTION("""COMPUTED_VALUE"""),"Thempress")</f>
        <v>Thempress</v>
      </c>
      <c r="C146" s="7"/>
      <c r="D146" s="7"/>
      <c r="E146" s="7"/>
      <c r="F146" s="7" t="str">
        <f>IFERROR(__xludf.DUMMYFUNCTION("""COMPUTED_VALUE"""),"London")</f>
        <v>London</v>
      </c>
      <c r="G146" s="7"/>
      <c r="H146" s="7" t="str">
        <f>IFERROR(__xludf.DUMMYFUNCTION("""COMPUTED_VALUE"""),"DJ")</f>
        <v>DJ</v>
      </c>
      <c r="I146" s="7"/>
      <c r="J146" s="7" t="str">
        <f>IFERROR(__xludf.DUMMYFUNCTION("""COMPUTED_VALUE"""),"N/A")</f>
        <v>N/A</v>
      </c>
      <c r="K146" s="7"/>
      <c r="L146" s="7"/>
      <c r="M146" s="7"/>
      <c r="N146" s="7"/>
      <c r="O146" s="7"/>
      <c r="P146" s="62">
        <f t="array" ref="P146">MAX(IF($A146=AB_TF!F:F,AB_TF!D:D))</f>
        <v>0</v>
      </c>
      <c r="Q146" s="63" t="str">
        <f t="array" ref="Q146">INDEX(AB_TF!C:C,MATCH(1,(AB_TF!F:F=A146)*(AB_TF!D:D=P146),0))</f>
        <v>#N/A</v>
      </c>
      <c r="R146" s="63">
        <f>COUNTIFS(AB_TF!F:F,"="&amp;A146,AB_TF!E:E,"Small*")</f>
        <v>0</v>
      </c>
      <c r="S146" s="63">
        <f>COUNTIFS(AB_TF!F:F,"="&amp;A146,AB_TF!E:E,"Medium*")</f>
        <v>0</v>
      </c>
      <c r="T146" s="63">
        <f>COUNTIFS(AB_TF!F:F,"="&amp;A146,AB_TF!E:E,"Large*")</f>
        <v>0</v>
      </c>
      <c r="U146" s="64">
        <f t="shared" si="1"/>
        <v>0</v>
      </c>
    </row>
    <row r="147">
      <c r="A147" s="7">
        <f>IFERROR(__xludf.DUMMYFUNCTION("""COMPUTED_VALUE"""),352.0)</f>
        <v>352</v>
      </c>
      <c r="B147" s="7" t="str">
        <f>IFERROR(__xludf.DUMMYFUNCTION("""COMPUTED_VALUE"""),"Kareina")</f>
        <v>Kareina</v>
      </c>
      <c r="C147" s="7"/>
      <c r="D147" s="7"/>
      <c r="E147" s="7"/>
      <c r="F147" s="7" t="str">
        <f>IFERROR(__xludf.DUMMYFUNCTION("""COMPUTED_VALUE"""),"Leeds")</f>
        <v>Leeds</v>
      </c>
      <c r="G147" s="7"/>
      <c r="H147" s="7" t="str">
        <f>IFERROR(__xludf.DUMMYFUNCTION("""COMPUTED_VALUE"""),"DJ")</f>
        <v>DJ</v>
      </c>
      <c r="I147" s="7"/>
      <c r="J147" s="7" t="str">
        <f>IFERROR(__xludf.DUMMYFUNCTION("""COMPUTED_VALUE"""),"N/A")</f>
        <v>N/A</v>
      </c>
      <c r="K147" s="7"/>
      <c r="L147" s="7"/>
      <c r="M147" s="7"/>
      <c r="N147" s="7"/>
      <c r="O147" s="7"/>
      <c r="P147" s="62">
        <f t="array" ref="P147">MAX(IF($A147=AB_TF!F:F,AB_TF!D:D))</f>
        <v>0</v>
      </c>
      <c r="Q147" s="63" t="str">
        <f t="array" ref="Q147">INDEX(AB_TF!C:C,MATCH(1,(AB_TF!F:F=A147)*(AB_TF!D:D=P147),0))</f>
        <v>#N/A</v>
      </c>
      <c r="R147" s="63">
        <f>COUNTIFS(AB_TF!F:F,"="&amp;A147,AB_TF!E:E,"Small*")</f>
        <v>0</v>
      </c>
      <c r="S147" s="63">
        <f>COUNTIFS(AB_TF!F:F,"="&amp;A147,AB_TF!E:E,"Medium*")</f>
        <v>0</v>
      </c>
      <c r="T147" s="63">
        <f>COUNTIFS(AB_TF!F:F,"="&amp;A147,AB_TF!E:E,"Large*")</f>
        <v>0</v>
      </c>
      <c r="U147" s="64">
        <f t="shared" si="1"/>
        <v>0</v>
      </c>
    </row>
    <row r="148">
      <c r="A148" s="7">
        <f>IFERROR(__xludf.DUMMYFUNCTION("""COMPUTED_VALUE"""),353.0)</f>
        <v>353</v>
      </c>
      <c r="B148" s="7" t="str">
        <f>IFERROR(__xludf.DUMMYFUNCTION("""COMPUTED_VALUE"""),"Taystill")</f>
        <v>Taystill</v>
      </c>
      <c r="C148" s="7"/>
      <c r="D148" s="7"/>
      <c r="E148" s="7"/>
      <c r="F148" s="7" t="str">
        <f>IFERROR(__xludf.DUMMYFUNCTION("""COMPUTED_VALUE"""),"Leeds")</f>
        <v>Leeds</v>
      </c>
      <c r="G148" s="7"/>
      <c r="H148" s="7" t="str">
        <f>IFERROR(__xludf.DUMMYFUNCTION("""COMPUTED_VALUE"""),"DJ")</f>
        <v>DJ</v>
      </c>
      <c r="I148" s="7"/>
      <c r="J148" s="7" t="str">
        <f>IFERROR(__xludf.DUMMYFUNCTION("""COMPUTED_VALUE"""),"N/A")</f>
        <v>N/A</v>
      </c>
      <c r="K148" s="7"/>
      <c r="L148" s="7"/>
      <c r="M148" s="7"/>
      <c r="N148" s="7"/>
      <c r="O148" s="7"/>
      <c r="P148" s="62">
        <f t="array" ref="P148">MAX(IF($A148=AB_TF!F:F,AB_TF!D:D))</f>
        <v>0</v>
      </c>
      <c r="Q148" s="63" t="str">
        <f t="array" ref="Q148">INDEX(AB_TF!C:C,MATCH(1,(AB_TF!F:F=A148)*(AB_TF!D:D=P148),0))</f>
        <v>#N/A</v>
      </c>
      <c r="R148" s="63">
        <f>COUNTIFS(AB_TF!F:F,"="&amp;A148,AB_TF!E:E,"Small*")</f>
        <v>0</v>
      </c>
      <c r="S148" s="63">
        <f>COUNTIFS(AB_TF!F:F,"="&amp;A148,AB_TF!E:E,"Medium*")</f>
        <v>0</v>
      </c>
      <c r="T148" s="63">
        <f>COUNTIFS(AB_TF!F:F,"="&amp;A148,AB_TF!E:E,"Large*")</f>
        <v>0</v>
      </c>
      <c r="U148" s="64">
        <f t="shared" si="1"/>
        <v>0</v>
      </c>
    </row>
    <row r="149">
      <c r="A149" s="7">
        <f>IFERROR(__xludf.DUMMYFUNCTION("""COMPUTED_VALUE"""),354.0)</f>
        <v>354</v>
      </c>
      <c r="B149" s="7" t="str">
        <f>IFERROR(__xludf.DUMMYFUNCTION("""COMPUTED_VALUE"""),"Kirat")</f>
        <v>Kirat</v>
      </c>
      <c r="C149" s="7"/>
      <c r="D149" s="7"/>
      <c r="E149" s="7"/>
      <c r="F149" s="7" t="str">
        <f>IFERROR(__xludf.DUMMYFUNCTION("""COMPUTED_VALUE"""),"London")</f>
        <v>London</v>
      </c>
      <c r="G149" s="7"/>
      <c r="H149" s="7" t="str">
        <f>IFERROR(__xludf.DUMMYFUNCTION("""COMPUTED_VALUE"""),"DJ")</f>
        <v>DJ</v>
      </c>
      <c r="I149" s="7"/>
      <c r="J149" s="7" t="str">
        <f>IFERROR(__xludf.DUMMYFUNCTION("""COMPUTED_VALUE"""),"N/A")</f>
        <v>N/A</v>
      </c>
      <c r="K149" s="7"/>
      <c r="L149" s="7"/>
      <c r="M149" s="7"/>
      <c r="N149" s="7"/>
      <c r="O149" s="7"/>
      <c r="P149" s="62">
        <f t="array" ref="P149">MAX(IF($A149=AB_TF!F:F,AB_TF!D:D))</f>
        <v>0</v>
      </c>
      <c r="Q149" s="63" t="str">
        <f t="array" ref="Q149">INDEX(AB_TF!C:C,MATCH(1,(AB_TF!F:F=A149)*(AB_TF!D:D=P149),0))</f>
        <v>#N/A</v>
      </c>
      <c r="R149" s="63">
        <f>COUNTIFS(AB_TF!F:F,"="&amp;A149,AB_TF!E:E,"Small*")</f>
        <v>0</v>
      </c>
      <c r="S149" s="63">
        <f>COUNTIFS(AB_TF!F:F,"="&amp;A149,AB_TF!E:E,"Medium*")</f>
        <v>0</v>
      </c>
      <c r="T149" s="63">
        <f>COUNTIFS(AB_TF!F:F,"="&amp;A149,AB_TF!E:E,"Large*")</f>
        <v>0</v>
      </c>
      <c r="U149" s="64">
        <f t="shared" si="1"/>
        <v>0</v>
      </c>
    </row>
    <row r="150">
      <c r="A150" s="7">
        <f>IFERROR(__xludf.DUMMYFUNCTION("""COMPUTED_VALUE"""),355.0)</f>
        <v>355</v>
      </c>
      <c r="B150" s="7" t="str">
        <f>IFERROR(__xludf.DUMMYFUNCTION("""COMPUTED_VALUE"""),"Izzet Garvey")</f>
        <v>Izzet Garvey</v>
      </c>
      <c r="C150" s="7"/>
      <c r="D150" s="7"/>
      <c r="E150" s="7"/>
      <c r="F150" s="7" t="str">
        <f>IFERROR(__xludf.DUMMYFUNCTION("""COMPUTED_VALUE"""),"Leicester")</f>
        <v>Leicester</v>
      </c>
      <c r="G150" s="7"/>
      <c r="H150" s="7" t="str">
        <f>IFERROR(__xludf.DUMMYFUNCTION("""COMPUTED_VALUE"""),"DJ")</f>
        <v>DJ</v>
      </c>
      <c r="I150" s="7"/>
      <c r="J150" s="7" t="str">
        <f>IFERROR(__xludf.DUMMYFUNCTION("""COMPUTED_VALUE"""),"N/A")</f>
        <v>N/A</v>
      </c>
      <c r="K150" s="7"/>
      <c r="L150" s="7"/>
      <c r="M150" s="7"/>
      <c r="N150" s="7"/>
      <c r="O150" s="7"/>
      <c r="P150" s="62">
        <f t="array" ref="P150">MAX(IF($A150=AB_TF!F:F,AB_TF!D:D))</f>
        <v>0</v>
      </c>
      <c r="Q150" s="63" t="str">
        <f t="array" ref="Q150">INDEX(AB_TF!C:C,MATCH(1,(AB_TF!F:F=A150)*(AB_TF!D:D=P150),0))</f>
        <v>#N/A</v>
      </c>
      <c r="R150" s="63">
        <f>COUNTIFS(AB_TF!F:F,"="&amp;A150,AB_TF!E:E,"Small*")</f>
        <v>0</v>
      </c>
      <c r="S150" s="63">
        <f>COUNTIFS(AB_TF!F:F,"="&amp;A150,AB_TF!E:E,"Medium*")</f>
        <v>0</v>
      </c>
      <c r="T150" s="63">
        <f>COUNTIFS(AB_TF!F:F,"="&amp;A150,AB_TF!E:E,"Large*")</f>
        <v>0</v>
      </c>
      <c r="U150" s="64">
        <f t="shared" si="1"/>
        <v>0</v>
      </c>
    </row>
    <row r="151">
      <c r="A151" s="7">
        <f>IFERROR(__xludf.DUMMYFUNCTION("""COMPUTED_VALUE"""),356.0)</f>
        <v>356</v>
      </c>
      <c r="B151" s="7" t="str">
        <f>IFERROR(__xludf.DUMMYFUNCTION("""COMPUTED_VALUE"""),"DCBL")</f>
        <v>DCBL</v>
      </c>
      <c r="C151" s="7"/>
      <c r="D151" s="7"/>
      <c r="E151" s="7"/>
      <c r="F151" s="7" t="str">
        <f>IFERROR(__xludf.DUMMYFUNCTION("""COMPUTED_VALUE"""),"Leicester")</f>
        <v>Leicester</v>
      </c>
      <c r="G151" s="7"/>
      <c r="H151" s="7" t="str">
        <f>IFERROR(__xludf.DUMMYFUNCTION("""COMPUTED_VALUE"""),"DJ")</f>
        <v>DJ</v>
      </c>
      <c r="I151" s="7"/>
      <c r="J151" s="7" t="str">
        <f>IFERROR(__xludf.DUMMYFUNCTION("""COMPUTED_VALUE"""),"N/A")</f>
        <v>N/A</v>
      </c>
      <c r="K151" s="7"/>
      <c r="L151" s="7"/>
      <c r="M151" s="7"/>
      <c r="N151" s="7"/>
      <c r="O151" s="7"/>
      <c r="P151" s="62">
        <f t="array" ref="P151">MAX(IF($A151=AB_TF!F:F,AB_TF!D:D))</f>
        <v>0</v>
      </c>
      <c r="Q151" s="63" t="str">
        <f t="array" ref="Q151">INDEX(AB_TF!C:C,MATCH(1,(AB_TF!F:F=A151)*(AB_TF!D:D=P151),0))</f>
        <v>#N/A</v>
      </c>
      <c r="R151" s="63">
        <f>COUNTIFS(AB_TF!F:F,"="&amp;A151,AB_TF!E:E,"Small*")</f>
        <v>0</v>
      </c>
      <c r="S151" s="63">
        <f>COUNTIFS(AB_TF!F:F,"="&amp;A151,AB_TF!E:E,"Medium*")</f>
        <v>0</v>
      </c>
      <c r="T151" s="63">
        <f>COUNTIFS(AB_TF!F:F,"="&amp;A151,AB_TF!E:E,"Large*")</f>
        <v>0</v>
      </c>
      <c r="U151" s="64">
        <f t="shared" si="1"/>
        <v>0</v>
      </c>
    </row>
    <row r="152">
      <c r="A152" s="7">
        <f>IFERROR(__xludf.DUMMYFUNCTION("""COMPUTED_VALUE"""),357.0)</f>
        <v>357</v>
      </c>
      <c r="B152" s="7" t="str">
        <f>IFERROR(__xludf.DUMMYFUNCTION("""COMPUTED_VALUE"""),"ISHU")</f>
        <v>ISHU</v>
      </c>
      <c r="C152" s="7"/>
      <c r="D152" s="7"/>
      <c r="E152" s="7"/>
      <c r="F152" s="7" t="str">
        <f>IFERROR(__xludf.DUMMYFUNCTION("""COMPUTED_VALUE"""),"London")</f>
        <v>London</v>
      </c>
      <c r="G152" s="7"/>
      <c r="H152" s="7" t="str">
        <f>IFERROR(__xludf.DUMMYFUNCTION("""COMPUTED_VALUE"""),"DJ")</f>
        <v>DJ</v>
      </c>
      <c r="I152" s="7"/>
      <c r="J152" s="7" t="str">
        <f>IFERROR(__xludf.DUMMYFUNCTION("""COMPUTED_VALUE"""),"N/A")</f>
        <v>N/A</v>
      </c>
      <c r="K152" s="7"/>
      <c r="L152" s="7"/>
      <c r="M152" s="7"/>
      <c r="N152" s="7"/>
      <c r="O152" s="7"/>
      <c r="P152" s="62">
        <f t="array" ref="P152">MAX(IF($A152=AB_TF!F:F,AB_TF!D:D))</f>
        <v>0</v>
      </c>
      <c r="Q152" s="63" t="str">
        <f t="array" ref="Q152">INDEX(AB_TF!C:C,MATCH(1,(AB_TF!F:F=A152)*(AB_TF!D:D=P152),0))</f>
        <v>#N/A</v>
      </c>
      <c r="R152" s="63">
        <f>COUNTIFS(AB_TF!F:F,"="&amp;A152,AB_TF!E:E,"Small*")</f>
        <v>0</v>
      </c>
      <c r="S152" s="63">
        <f>COUNTIFS(AB_TF!F:F,"="&amp;A152,AB_TF!E:E,"Medium*")</f>
        <v>0</v>
      </c>
      <c r="T152" s="63">
        <f>COUNTIFS(AB_TF!F:F,"="&amp;A152,AB_TF!E:E,"Large*")</f>
        <v>0</v>
      </c>
      <c r="U152" s="64">
        <f t="shared" si="1"/>
        <v>0</v>
      </c>
    </row>
    <row r="153">
      <c r="A153" s="7">
        <f>IFERROR(__xludf.DUMMYFUNCTION("""COMPUTED_VALUE"""),358.0)</f>
        <v>358</v>
      </c>
      <c r="B153" s="7" t="str">
        <f>IFERROR(__xludf.DUMMYFUNCTION("""COMPUTED_VALUE"""),"JAE-X")</f>
        <v>JAE-X</v>
      </c>
      <c r="C153" s="7"/>
      <c r="D153" s="7"/>
      <c r="E153" s="7"/>
      <c r="F153" s="7" t="str">
        <f>IFERROR(__xludf.DUMMYFUNCTION("""COMPUTED_VALUE"""),"London")</f>
        <v>London</v>
      </c>
      <c r="G153" s="7"/>
      <c r="H153" s="7" t="str">
        <f>IFERROR(__xludf.DUMMYFUNCTION("""COMPUTED_VALUE"""),"DJ")</f>
        <v>DJ</v>
      </c>
      <c r="I153" s="7"/>
      <c r="J153" s="7" t="str">
        <f>IFERROR(__xludf.DUMMYFUNCTION("""COMPUTED_VALUE"""),"N/A")</f>
        <v>N/A</v>
      </c>
      <c r="K153" s="7"/>
      <c r="L153" s="7"/>
      <c r="M153" s="7"/>
      <c r="N153" s="7"/>
      <c r="O153" s="7"/>
      <c r="P153" s="62">
        <f t="array" ref="P153">MAX(IF($A153=AB_TF!F:F,AB_TF!D:D))</f>
        <v>0</v>
      </c>
      <c r="Q153" s="63" t="str">
        <f t="array" ref="Q153">INDEX(AB_TF!C:C,MATCH(1,(AB_TF!F:F=A153)*(AB_TF!D:D=P153),0))</f>
        <v>#N/A</v>
      </c>
      <c r="R153" s="63">
        <f>COUNTIFS(AB_TF!F:F,"="&amp;A153,AB_TF!E:E,"Small*")</f>
        <v>0</v>
      </c>
      <c r="S153" s="63">
        <f>COUNTIFS(AB_TF!F:F,"="&amp;A153,AB_TF!E:E,"Medium*")</f>
        <v>0</v>
      </c>
      <c r="T153" s="63">
        <f>COUNTIFS(AB_TF!F:F,"="&amp;A153,AB_TF!E:E,"Large*")</f>
        <v>0</v>
      </c>
      <c r="U153" s="64">
        <f t="shared" si="1"/>
        <v>0</v>
      </c>
    </row>
    <row r="154">
      <c r="A154" s="7">
        <f>IFERROR(__xludf.DUMMYFUNCTION("""COMPUTED_VALUE"""),359.0)</f>
        <v>359</v>
      </c>
      <c r="B154" s="7" t="str">
        <f>IFERROR(__xludf.DUMMYFUNCTION("""COMPUTED_VALUE"""),"Riya Mistry")</f>
        <v>Riya Mistry</v>
      </c>
      <c r="C154" s="7"/>
      <c r="D154" s="7"/>
      <c r="E154" s="7"/>
      <c r="F154" s="7" t="str">
        <f>IFERROR(__xludf.DUMMYFUNCTION("""COMPUTED_VALUE"""),"London")</f>
        <v>London</v>
      </c>
      <c r="G154" s="7"/>
      <c r="H154" s="7" t="str">
        <f>IFERROR(__xludf.DUMMYFUNCTION("""COMPUTED_VALUE"""),"DJ")</f>
        <v>DJ</v>
      </c>
      <c r="I154" s="7"/>
      <c r="J154" s="7" t="str">
        <f>IFERROR(__xludf.DUMMYFUNCTION("""COMPUTED_VALUE"""),"N/A")</f>
        <v>N/A</v>
      </c>
      <c r="K154" s="7"/>
      <c r="L154" s="7"/>
      <c r="M154" s="7"/>
      <c r="N154" s="7"/>
      <c r="O154" s="7"/>
      <c r="P154" s="62">
        <f t="array" ref="P154">MAX(IF($A154=AB_TF!F:F,AB_TF!D:D))</f>
        <v>0</v>
      </c>
      <c r="Q154" s="63" t="str">
        <f t="array" ref="Q154">INDEX(AB_TF!C:C,MATCH(1,(AB_TF!F:F=A154)*(AB_TF!D:D=P154),0))</f>
        <v>#N/A</v>
      </c>
      <c r="R154" s="63">
        <f>COUNTIFS(AB_TF!F:F,"="&amp;A154,AB_TF!E:E,"Small*")</f>
        <v>0</v>
      </c>
      <c r="S154" s="63">
        <f>COUNTIFS(AB_TF!F:F,"="&amp;A154,AB_TF!E:E,"Medium*")</f>
        <v>0</v>
      </c>
      <c r="T154" s="63">
        <f>COUNTIFS(AB_TF!F:F,"="&amp;A154,AB_TF!E:E,"Large*")</f>
        <v>0</v>
      </c>
      <c r="U154" s="64">
        <f t="shared" si="1"/>
        <v>0</v>
      </c>
    </row>
    <row r="155">
      <c r="A155" s="7">
        <f>IFERROR(__xludf.DUMMYFUNCTION("""COMPUTED_VALUE"""),360.0)</f>
        <v>360</v>
      </c>
      <c r="B155" s="7" t="str">
        <f>IFERROR(__xludf.DUMMYFUNCTION("""COMPUTED_VALUE"""),"Tash LC")</f>
        <v>Tash LC</v>
      </c>
      <c r="C155" s="7"/>
      <c r="D155" s="7"/>
      <c r="E155" s="7"/>
      <c r="F155" s="7" t="str">
        <f>IFERROR(__xludf.DUMMYFUNCTION("""COMPUTED_VALUE"""),"London")</f>
        <v>London</v>
      </c>
      <c r="G155" s="7"/>
      <c r="H155" s="7" t="str">
        <f>IFERROR(__xludf.DUMMYFUNCTION("""COMPUTED_VALUE"""),"DJ")</f>
        <v>DJ</v>
      </c>
      <c r="I155" s="7"/>
      <c r="J155" s="7" t="str">
        <f>IFERROR(__xludf.DUMMYFUNCTION("""COMPUTED_VALUE"""),"N/A")</f>
        <v>N/A</v>
      </c>
      <c r="K155" s="7"/>
      <c r="L155" s="7"/>
      <c r="M155" s="7"/>
      <c r="N155" s="7"/>
      <c r="O155" s="7"/>
      <c r="P155" s="62">
        <f t="array" ref="P155">MAX(IF($A155=AB_TF!F:F,AB_TF!D:D))</f>
        <v>0</v>
      </c>
      <c r="Q155" s="63" t="str">
        <f t="array" ref="Q155">INDEX(AB_TF!C:C,MATCH(1,(AB_TF!F:F=A155)*(AB_TF!D:D=P155),0))</f>
        <v>#N/A</v>
      </c>
      <c r="R155" s="63">
        <f>COUNTIFS(AB_TF!F:F,"="&amp;A155,AB_TF!E:E,"Small*")</f>
        <v>0</v>
      </c>
      <c r="S155" s="63">
        <f>COUNTIFS(AB_TF!F:F,"="&amp;A155,AB_TF!E:E,"Medium*")</f>
        <v>0</v>
      </c>
      <c r="T155" s="63">
        <f>COUNTIFS(AB_TF!F:F,"="&amp;A155,AB_TF!E:E,"Large*")</f>
        <v>0</v>
      </c>
      <c r="U155" s="64">
        <f t="shared" si="1"/>
        <v>0</v>
      </c>
    </row>
    <row r="156">
      <c r="A156" s="7">
        <f>IFERROR(__xludf.DUMMYFUNCTION("""COMPUTED_VALUE"""),361.0)</f>
        <v>361</v>
      </c>
      <c r="B156" s="7" t="str">
        <f>IFERROR(__xludf.DUMMYFUNCTION("""COMPUTED_VALUE"""),"Caprice Suhn")</f>
        <v>Caprice Suhn</v>
      </c>
      <c r="C156" s="7"/>
      <c r="D156" s="7"/>
      <c r="E156" s="7"/>
      <c r="F156" s="7" t="str">
        <f>IFERROR(__xludf.DUMMYFUNCTION("""COMPUTED_VALUE"""),"London")</f>
        <v>London</v>
      </c>
      <c r="G156" s="7"/>
      <c r="H156" s="7" t="str">
        <f>IFERROR(__xludf.DUMMYFUNCTION("""COMPUTED_VALUE"""),"DJ")</f>
        <v>DJ</v>
      </c>
      <c r="I156" s="7"/>
      <c r="J156" s="7" t="str">
        <f>IFERROR(__xludf.DUMMYFUNCTION("""COMPUTED_VALUE"""),"N/A")</f>
        <v>N/A</v>
      </c>
      <c r="K156" s="7"/>
      <c r="L156" s="7"/>
      <c r="M156" s="7"/>
      <c r="N156" s="7"/>
      <c r="O156" s="7"/>
      <c r="P156" s="62">
        <f t="array" ref="P156">MAX(IF($A156=AB_TF!F:F,AB_TF!D:D))</f>
        <v>0</v>
      </c>
      <c r="Q156" s="63" t="str">
        <f t="array" ref="Q156">INDEX(AB_TF!C:C,MATCH(1,(AB_TF!F:F=A156)*(AB_TF!D:D=P156),0))</f>
        <v>#N/A</v>
      </c>
      <c r="R156" s="63">
        <f>COUNTIFS(AB_TF!F:F,"="&amp;A156,AB_TF!E:E,"Small*")</f>
        <v>0</v>
      </c>
      <c r="S156" s="63">
        <f>COUNTIFS(AB_TF!F:F,"="&amp;A156,AB_TF!E:E,"Medium*")</f>
        <v>0</v>
      </c>
      <c r="T156" s="63">
        <f>COUNTIFS(AB_TF!F:F,"="&amp;A156,AB_TF!E:E,"Large*")</f>
        <v>0</v>
      </c>
      <c r="U156" s="64">
        <f t="shared" si="1"/>
        <v>0</v>
      </c>
    </row>
    <row r="157">
      <c r="A157" s="7">
        <f>IFERROR(__xludf.DUMMYFUNCTION("""COMPUTED_VALUE"""),362.0)</f>
        <v>362</v>
      </c>
      <c r="B157" s="7" t="str">
        <f>IFERROR(__xludf.DUMMYFUNCTION("""COMPUTED_VALUE"""),"Ayura")</f>
        <v>Ayura</v>
      </c>
      <c r="C157" s="7"/>
      <c r="D157" s="7"/>
      <c r="E157" s="7"/>
      <c r="F157" s="7" t="str">
        <f>IFERROR(__xludf.DUMMYFUNCTION("""COMPUTED_VALUE"""),"London")</f>
        <v>London</v>
      </c>
      <c r="G157" s="7"/>
      <c r="H157" s="7" t="str">
        <f>IFERROR(__xludf.DUMMYFUNCTION("""COMPUTED_VALUE"""),"DJ")</f>
        <v>DJ</v>
      </c>
      <c r="I157" s="7"/>
      <c r="J157" s="7" t="str">
        <f>IFERROR(__xludf.DUMMYFUNCTION("""COMPUTED_VALUE"""),"N/A")</f>
        <v>N/A</v>
      </c>
      <c r="K157" s="7"/>
      <c r="L157" s="7"/>
      <c r="M157" s="7"/>
      <c r="N157" s="7"/>
      <c r="O157" s="7"/>
      <c r="P157" s="62">
        <f t="array" ref="P157">MAX(IF($A157=AB_TF!F:F,AB_TF!D:D))</f>
        <v>0</v>
      </c>
      <c r="Q157" s="63" t="str">
        <f t="array" ref="Q157">INDEX(AB_TF!C:C,MATCH(1,(AB_TF!F:F=A157)*(AB_TF!D:D=P157),0))</f>
        <v>#N/A</v>
      </c>
      <c r="R157" s="63">
        <f>COUNTIFS(AB_TF!F:F,"="&amp;A157,AB_TF!E:E,"Small*")</f>
        <v>0</v>
      </c>
      <c r="S157" s="63">
        <f>COUNTIFS(AB_TF!F:F,"="&amp;A157,AB_TF!E:E,"Medium*")</f>
        <v>0</v>
      </c>
      <c r="T157" s="63">
        <f>COUNTIFS(AB_TF!F:F,"="&amp;A157,AB_TF!E:E,"Large*")</f>
        <v>0</v>
      </c>
      <c r="U157" s="64">
        <f t="shared" si="1"/>
        <v>0</v>
      </c>
    </row>
    <row r="158">
      <c r="A158" s="7">
        <f>IFERROR(__xludf.DUMMYFUNCTION("""COMPUTED_VALUE"""),363.0)</f>
        <v>363</v>
      </c>
      <c r="B158" s="7" t="str">
        <f>IFERROR(__xludf.DUMMYFUNCTION("""COMPUTED_VALUE"""),"Samrai")</f>
        <v>Samrai</v>
      </c>
      <c r="C158" s="7"/>
      <c r="D158" s="7"/>
      <c r="E158" s="7"/>
      <c r="F158" s="7" t="str">
        <f>IFERROR(__xludf.DUMMYFUNCTION("""COMPUTED_VALUE"""),"Manchester")</f>
        <v>Manchester</v>
      </c>
      <c r="G158" s="7"/>
      <c r="H158" s="7" t="str">
        <f>IFERROR(__xludf.DUMMYFUNCTION("""COMPUTED_VALUE"""),"DJ")</f>
        <v>DJ</v>
      </c>
      <c r="I158" s="7"/>
      <c r="J158" s="7" t="str">
        <f>IFERROR(__xludf.DUMMYFUNCTION("""COMPUTED_VALUE"""),"N/A")</f>
        <v>N/A</v>
      </c>
      <c r="K158" s="7"/>
      <c r="L158" s="7"/>
      <c r="M158" s="7"/>
      <c r="N158" s="7"/>
      <c r="O158" s="7"/>
      <c r="P158" s="62">
        <f t="array" ref="P158">MAX(IF($A158=AB_TF!F:F,AB_TF!D:D))</f>
        <v>0</v>
      </c>
      <c r="Q158" s="63" t="str">
        <f t="array" ref="Q158">INDEX(AB_TF!C:C,MATCH(1,(AB_TF!F:F=A158)*(AB_TF!D:D=P158),0))</f>
        <v>#N/A</v>
      </c>
      <c r="R158" s="63">
        <f>COUNTIFS(AB_TF!F:F,"="&amp;A158,AB_TF!E:E,"Small*")</f>
        <v>0</v>
      </c>
      <c r="S158" s="63">
        <f>COUNTIFS(AB_TF!F:F,"="&amp;A158,AB_TF!E:E,"Medium*")</f>
        <v>0</v>
      </c>
      <c r="T158" s="63">
        <f>COUNTIFS(AB_TF!F:F,"="&amp;A158,AB_TF!E:E,"Large*")</f>
        <v>0</v>
      </c>
      <c r="U158" s="64">
        <f t="shared" si="1"/>
        <v>0</v>
      </c>
    </row>
    <row r="159">
      <c r="A159" s="7">
        <f>IFERROR(__xludf.DUMMYFUNCTION("""COMPUTED_VALUE"""),364.0)</f>
        <v>364</v>
      </c>
      <c r="B159" s="7" t="str">
        <f>IFERROR(__xludf.DUMMYFUNCTION("""COMPUTED_VALUE"""),"Mithushan")</f>
        <v>Mithushan</v>
      </c>
      <c r="C159" s="7"/>
      <c r="D159" s="7"/>
      <c r="E159" s="7"/>
      <c r="F159" s="7" t="str">
        <f>IFERROR(__xludf.DUMMYFUNCTION("""COMPUTED_VALUE"""),"Manchester")</f>
        <v>Manchester</v>
      </c>
      <c r="G159" s="7"/>
      <c r="H159" s="7" t="str">
        <f>IFERROR(__xludf.DUMMYFUNCTION("""COMPUTED_VALUE"""),"DJ")</f>
        <v>DJ</v>
      </c>
      <c r="I159" s="7"/>
      <c r="J159" s="7" t="str">
        <f>IFERROR(__xludf.DUMMYFUNCTION("""COMPUTED_VALUE"""),"N/A")</f>
        <v>N/A</v>
      </c>
      <c r="K159" s="7"/>
      <c r="L159" s="7"/>
      <c r="M159" s="7"/>
      <c r="N159" s="7"/>
      <c r="O159" s="7"/>
      <c r="P159" s="62">
        <f t="array" ref="P159">MAX(IF($A159=AB_TF!F:F,AB_TF!D:D))</f>
        <v>0</v>
      </c>
      <c r="Q159" s="63" t="str">
        <f t="array" ref="Q159">INDEX(AB_TF!C:C,MATCH(1,(AB_TF!F:F=A159)*(AB_TF!D:D=P159),0))</f>
        <v>#N/A</v>
      </c>
      <c r="R159" s="63">
        <f>COUNTIFS(AB_TF!F:F,"="&amp;A159,AB_TF!E:E,"Small*")</f>
        <v>0</v>
      </c>
      <c r="S159" s="63">
        <f>COUNTIFS(AB_TF!F:F,"="&amp;A159,AB_TF!E:E,"Medium*")</f>
        <v>0</v>
      </c>
      <c r="T159" s="63">
        <f>COUNTIFS(AB_TF!F:F,"="&amp;A159,AB_TF!E:E,"Large*")</f>
        <v>0</v>
      </c>
      <c r="U159" s="64">
        <f t="shared" si="1"/>
        <v>0</v>
      </c>
    </row>
    <row r="160">
      <c r="A160" s="7">
        <f>IFERROR(__xludf.DUMMYFUNCTION("""COMPUTED_VALUE"""),365.0)</f>
        <v>365</v>
      </c>
      <c r="B160" s="7" t="str">
        <f>IFERROR(__xludf.DUMMYFUNCTION("""COMPUTED_VALUE"""),"Taxi Cab Industries")</f>
        <v>Taxi Cab Industries</v>
      </c>
      <c r="C160" s="7"/>
      <c r="D160" s="7"/>
      <c r="E160" s="7"/>
      <c r="F160" s="7" t="str">
        <f>IFERROR(__xludf.DUMMYFUNCTION("""COMPUTED_VALUE"""),"Manchester")</f>
        <v>Manchester</v>
      </c>
      <c r="G160" s="7"/>
      <c r="H160" s="7" t="str">
        <f>IFERROR(__xludf.DUMMYFUNCTION("""COMPUTED_VALUE"""),"DJ")</f>
        <v>DJ</v>
      </c>
      <c r="I160" s="7"/>
      <c r="J160" s="7" t="str">
        <f>IFERROR(__xludf.DUMMYFUNCTION("""COMPUTED_VALUE"""),"N/A")</f>
        <v>N/A</v>
      </c>
      <c r="K160" s="7"/>
      <c r="L160" s="7"/>
      <c r="M160" s="7"/>
      <c r="N160" s="7"/>
      <c r="O160" s="7"/>
      <c r="P160" s="62">
        <f t="array" ref="P160">MAX(IF($A160=AB_TF!F:F,AB_TF!D:D))</f>
        <v>0</v>
      </c>
      <c r="Q160" s="63" t="str">
        <f t="array" ref="Q160">INDEX(AB_TF!C:C,MATCH(1,(AB_TF!F:F=A160)*(AB_TF!D:D=P160),0))</f>
        <v>#N/A</v>
      </c>
      <c r="R160" s="63">
        <f>COUNTIFS(AB_TF!F:F,"="&amp;A160,AB_TF!E:E,"Small*")</f>
        <v>0</v>
      </c>
      <c r="S160" s="63">
        <f>COUNTIFS(AB_TF!F:F,"="&amp;A160,AB_TF!E:E,"Medium*")</f>
        <v>0</v>
      </c>
      <c r="T160" s="63">
        <f>COUNTIFS(AB_TF!F:F,"="&amp;A160,AB_TF!E:E,"Large*")</f>
        <v>0</v>
      </c>
      <c r="U160" s="64">
        <f t="shared" si="1"/>
        <v>0</v>
      </c>
    </row>
    <row r="161">
      <c r="A161" s="7">
        <f>IFERROR(__xludf.DUMMYFUNCTION("""COMPUTED_VALUE"""),366.0)</f>
        <v>366</v>
      </c>
      <c r="B161" s="7" t="str">
        <f>IFERROR(__xludf.DUMMYFUNCTION("""COMPUTED_VALUE"""),"Noudle")</f>
        <v>Noudle</v>
      </c>
      <c r="C161" s="7"/>
      <c r="D161" s="7"/>
      <c r="E161" s="7"/>
      <c r="F161" s="7" t="str">
        <f>IFERROR(__xludf.DUMMYFUNCTION("""COMPUTED_VALUE"""),"London")</f>
        <v>London</v>
      </c>
      <c r="G161" s="7"/>
      <c r="H161" s="7" t="str">
        <f>IFERROR(__xludf.DUMMYFUNCTION("""COMPUTED_VALUE"""),"DJ")</f>
        <v>DJ</v>
      </c>
      <c r="I161" s="7"/>
      <c r="J161" s="7" t="str">
        <f>IFERROR(__xludf.DUMMYFUNCTION("""COMPUTED_VALUE"""),"N/A")</f>
        <v>N/A</v>
      </c>
      <c r="K161" s="7"/>
      <c r="L161" s="7"/>
      <c r="M161" s="7"/>
      <c r="N161" s="7"/>
      <c r="O161" s="7"/>
      <c r="P161" s="62">
        <f t="array" ref="P161">MAX(IF($A161=AB_TF!F:F,AB_TF!D:D))</f>
        <v>0</v>
      </c>
      <c r="Q161" s="63" t="str">
        <f t="array" ref="Q161">INDEX(AB_TF!C:C,MATCH(1,(AB_TF!F:F=A161)*(AB_TF!D:D=P161),0))</f>
        <v>#N/A</v>
      </c>
      <c r="R161" s="63">
        <f>COUNTIFS(AB_TF!F:F,"="&amp;A161,AB_TF!E:E,"Small*")</f>
        <v>0</v>
      </c>
      <c r="S161" s="63">
        <f>COUNTIFS(AB_TF!F:F,"="&amp;A161,AB_TF!E:E,"Medium*")</f>
        <v>0</v>
      </c>
      <c r="T161" s="63">
        <f>COUNTIFS(AB_TF!F:F,"="&amp;A161,AB_TF!E:E,"Large*")</f>
        <v>0</v>
      </c>
      <c r="U161" s="64">
        <f t="shared" si="1"/>
        <v>0</v>
      </c>
    </row>
    <row r="162">
      <c r="A162" s="7">
        <f>IFERROR(__xludf.DUMMYFUNCTION("""COMPUTED_VALUE"""),367.0)</f>
        <v>367</v>
      </c>
      <c r="B162" s="7" t="str">
        <f>IFERROR(__xludf.DUMMYFUNCTION("""COMPUTED_VALUE"""),"Panjabi Hit Squad")</f>
        <v>Panjabi Hit Squad</v>
      </c>
      <c r="C162" s="7"/>
      <c r="D162" s="7"/>
      <c r="E162" s="7"/>
      <c r="F162" s="7" t="str">
        <f>IFERROR(__xludf.DUMMYFUNCTION("""COMPUTED_VALUE"""),"London")</f>
        <v>London</v>
      </c>
      <c r="G162" s="7"/>
      <c r="H162" s="7" t="str">
        <f>IFERROR(__xludf.DUMMYFUNCTION("""COMPUTED_VALUE"""),"DJ")</f>
        <v>DJ</v>
      </c>
      <c r="I162" s="7" t="str">
        <f>IFERROR(__xludf.DUMMYFUNCTION("""COMPUTED_VALUE"""),"Garage")</f>
        <v>Garage</v>
      </c>
      <c r="J162" s="7"/>
      <c r="K162" s="7"/>
      <c r="L162" s="7"/>
      <c r="M162" s="7"/>
      <c r="N162" s="7"/>
      <c r="O162" s="7"/>
      <c r="P162" s="62">
        <f t="array" ref="P162">MAX(IF($A162=AB_TF!F:F,AB_TF!D:D))</f>
        <v>0</v>
      </c>
      <c r="Q162" s="63" t="str">
        <f t="array" ref="Q162">INDEX(AB_TF!C:C,MATCH(1,(AB_TF!F:F=A162)*(AB_TF!D:D=P162),0))</f>
        <v>#N/A</v>
      </c>
      <c r="R162" s="63">
        <f>COUNTIFS(AB_TF!F:F,"="&amp;A162,AB_TF!E:E,"Small*")</f>
        <v>0</v>
      </c>
      <c r="S162" s="63">
        <f>COUNTIFS(AB_TF!F:F,"="&amp;A162,AB_TF!E:E,"Medium*")</f>
        <v>0</v>
      </c>
      <c r="T162" s="63">
        <f>COUNTIFS(AB_TF!F:F,"="&amp;A162,AB_TF!E:E,"Large*")</f>
        <v>0</v>
      </c>
      <c r="U162" s="64">
        <f t="shared" si="1"/>
        <v>0</v>
      </c>
    </row>
    <row r="163">
      <c r="A163" s="7">
        <f>IFERROR(__xludf.DUMMYFUNCTION("""COMPUTED_VALUE"""),368.0)</f>
        <v>368</v>
      </c>
      <c r="B163" s="7" t="str">
        <f>IFERROR(__xludf.DUMMYFUNCTION("""COMPUTED_VALUE"""),"Almass Badat")</f>
        <v>Almass Badat</v>
      </c>
      <c r="C163" s="7"/>
      <c r="D163" s="7"/>
      <c r="E163" s="7"/>
      <c r="F163" s="7" t="str">
        <f>IFERROR(__xludf.DUMMYFUNCTION("""COMPUTED_VALUE"""),"London")</f>
        <v>London</v>
      </c>
      <c r="G163" s="7"/>
      <c r="H163" s="7" t="str">
        <f>IFERROR(__xludf.DUMMYFUNCTION("""COMPUTED_VALUE"""),"DJ")</f>
        <v>DJ</v>
      </c>
      <c r="I163" s="7"/>
      <c r="J163" s="7"/>
      <c r="K163" s="7"/>
      <c r="L163" s="7"/>
      <c r="M163" s="7"/>
      <c r="N163" s="7"/>
      <c r="O163" s="7"/>
      <c r="P163" s="62">
        <f t="array" ref="P163">MAX(IF($A163=AB_TF!F:F,AB_TF!D:D))</f>
        <v>0</v>
      </c>
      <c r="Q163" s="63" t="str">
        <f t="array" ref="Q163">INDEX(AB_TF!C:C,MATCH(1,(AB_TF!F:F=A163)*(AB_TF!D:D=P163),0))</f>
        <v>#N/A</v>
      </c>
      <c r="R163" s="63">
        <f>COUNTIFS(AB_TF!F:F,"="&amp;A163,AB_TF!E:E,"Small*")</f>
        <v>0</v>
      </c>
      <c r="S163" s="63">
        <f>COUNTIFS(AB_TF!F:F,"="&amp;A163,AB_TF!E:E,"Medium*")</f>
        <v>0</v>
      </c>
      <c r="T163" s="63">
        <f>COUNTIFS(AB_TF!F:F,"="&amp;A163,AB_TF!E:E,"Large*")</f>
        <v>0</v>
      </c>
      <c r="U163" s="64">
        <f t="shared" si="1"/>
        <v>0</v>
      </c>
    </row>
    <row r="164">
      <c r="A164" s="7">
        <f>IFERROR(__xludf.DUMMYFUNCTION("""COMPUTED_VALUE"""),369.0)</f>
        <v>369</v>
      </c>
      <c r="B164" s="7" t="str">
        <f>IFERROR(__xludf.DUMMYFUNCTION("""COMPUTED_VALUE"""),"NAINA")</f>
        <v>NAINA</v>
      </c>
      <c r="C164" s="7"/>
      <c r="D164" s="7"/>
      <c r="E164" s="7"/>
      <c r="F164" s="7" t="str">
        <f>IFERROR(__xludf.DUMMYFUNCTION("""COMPUTED_VALUE"""),"London")</f>
        <v>London</v>
      </c>
      <c r="G164" s="7"/>
      <c r="H164" s="7" t="str">
        <f>IFERROR(__xludf.DUMMYFUNCTION("""COMPUTED_VALUE"""),"DJ")</f>
        <v>DJ</v>
      </c>
      <c r="I164" s="7"/>
      <c r="J164" s="7"/>
      <c r="K164" s="7"/>
      <c r="L164" s="7"/>
      <c r="M164" s="7"/>
      <c r="N164" s="7"/>
      <c r="O164" s="7"/>
      <c r="P164" s="62">
        <f t="array" ref="P164">MAX(IF($A164=AB_TF!F:F,AB_TF!D:D))</f>
        <v>0</v>
      </c>
      <c r="Q164" s="63" t="str">
        <f t="array" ref="Q164">INDEX(AB_TF!C:C,MATCH(1,(AB_TF!F:F=A164)*(AB_TF!D:D=P164),0))</f>
        <v>#N/A</v>
      </c>
      <c r="R164" s="63">
        <f>COUNTIFS(AB_TF!F:F,"="&amp;A164,AB_TF!E:E,"Small*")</f>
        <v>0</v>
      </c>
      <c r="S164" s="63">
        <f>COUNTIFS(AB_TF!F:F,"="&amp;A164,AB_TF!E:E,"Medium*")</f>
        <v>0</v>
      </c>
      <c r="T164" s="63">
        <f>COUNTIFS(AB_TF!F:F,"="&amp;A164,AB_TF!E:E,"Large*")</f>
        <v>0</v>
      </c>
      <c r="U164" s="64">
        <f t="shared" si="1"/>
        <v>0</v>
      </c>
    </row>
    <row r="165">
      <c r="A165" s="7">
        <f>IFERROR(__xludf.DUMMYFUNCTION("""COMPUTED_VALUE"""),370.0)</f>
        <v>370</v>
      </c>
      <c r="B165" s="7" t="str">
        <f>IFERROR(__xludf.DUMMYFUNCTION("""COMPUTED_VALUE"""),"Debonair")</f>
        <v>Debonair</v>
      </c>
      <c r="C165" s="7"/>
      <c r="D165" s="7"/>
      <c r="E165" s="7"/>
      <c r="F165" s="7" t="str">
        <f>IFERROR(__xludf.DUMMYFUNCTION("""COMPUTED_VALUE"""),"London")</f>
        <v>London</v>
      </c>
      <c r="G165" s="7"/>
      <c r="H165" s="7" t="str">
        <f>IFERROR(__xludf.DUMMYFUNCTION("""COMPUTED_VALUE"""),"DJ")</f>
        <v>DJ</v>
      </c>
      <c r="I165" s="7"/>
      <c r="J165" s="7"/>
      <c r="K165" s="7"/>
      <c r="L165" s="7"/>
      <c r="M165" s="7"/>
      <c r="N165" s="7"/>
      <c r="O165" s="7"/>
      <c r="P165" s="62">
        <f t="array" ref="P165">MAX(IF($A165=AB_TF!F:F,AB_TF!D:D))</f>
        <v>0</v>
      </c>
      <c r="Q165" s="63" t="str">
        <f t="array" ref="Q165">INDEX(AB_TF!C:C,MATCH(1,(AB_TF!F:F=A165)*(AB_TF!D:D=P165),0))</f>
        <v>#N/A</v>
      </c>
      <c r="R165" s="63">
        <f>COUNTIFS(AB_TF!F:F,"="&amp;A165,AB_TF!E:E,"Small*")</f>
        <v>0</v>
      </c>
      <c r="S165" s="63">
        <f>COUNTIFS(AB_TF!F:F,"="&amp;A165,AB_TF!E:E,"Medium*")</f>
        <v>0</v>
      </c>
      <c r="T165" s="63">
        <f>COUNTIFS(AB_TF!F:F,"="&amp;A165,AB_TF!E:E,"Large*")</f>
        <v>0</v>
      </c>
      <c r="U165" s="64">
        <f t="shared" si="1"/>
        <v>0</v>
      </c>
    </row>
    <row r="166">
      <c r="A166" s="7">
        <f>IFERROR(__xludf.DUMMYFUNCTION("""COMPUTED_VALUE"""),371.0)</f>
        <v>371</v>
      </c>
      <c r="B166" s="7" t="str">
        <f>IFERROR(__xludf.DUMMYFUNCTION("""COMPUTED_VALUE"""),"Dr Tabla")</f>
        <v>Dr Tabla</v>
      </c>
      <c r="C166" s="7"/>
      <c r="D166" s="7"/>
      <c r="E166" s="7"/>
      <c r="F166" s="7" t="str">
        <f>IFERROR(__xludf.DUMMYFUNCTION("""COMPUTED_VALUE"""),"London")</f>
        <v>London</v>
      </c>
      <c r="G166" s="7"/>
      <c r="H166" s="7" t="str">
        <f>IFERROR(__xludf.DUMMYFUNCTION("""COMPUTED_VALUE"""),"Live Act")</f>
        <v>Live Act</v>
      </c>
      <c r="I166" s="7"/>
      <c r="J166" s="7"/>
      <c r="K166" s="7"/>
      <c r="L166" s="7"/>
      <c r="M166" s="7"/>
      <c r="N166" s="7"/>
      <c r="O166" s="7"/>
      <c r="P166" s="62">
        <f t="array" ref="P166">MAX(IF($A166=AB_TF!F:F,AB_TF!D:D))</f>
        <v>0</v>
      </c>
      <c r="Q166" s="63" t="str">
        <f t="array" ref="Q166">INDEX(AB_TF!C:C,MATCH(1,(AB_TF!F:F=A166)*(AB_TF!D:D=P166),0))</f>
        <v>#N/A</v>
      </c>
      <c r="R166" s="63">
        <f>COUNTIFS(AB_TF!F:F,"="&amp;A166,AB_TF!E:E,"Small*")</f>
        <v>0</v>
      </c>
      <c r="S166" s="63">
        <f>COUNTIFS(AB_TF!F:F,"="&amp;A166,AB_TF!E:E,"Medium*")</f>
        <v>0</v>
      </c>
      <c r="T166" s="63">
        <f>COUNTIFS(AB_TF!F:F,"="&amp;A166,AB_TF!E:E,"Large*")</f>
        <v>0</v>
      </c>
      <c r="U166" s="64">
        <f t="shared" si="1"/>
        <v>0</v>
      </c>
    </row>
    <row r="167">
      <c r="A167" s="7">
        <f>IFERROR(__xludf.DUMMYFUNCTION("""COMPUTED_VALUE"""),372.0)</f>
        <v>372</v>
      </c>
      <c r="B167" s="7" t="str">
        <f>IFERROR(__xludf.DUMMYFUNCTION("""COMPUTED_VALUE"""),"Dalila")</f>
        <v>Dalila</v>
      </c>
      <c r="C167" s="7"/>
      <c r="D167" s="7"/>
      <c r="E167" s="7"/>
      <c r="F167" s="7" t="str">
        <f>IFERROR(__xludf.DUMMYFUNCTION("""COMPUTED_VALUE"""),"London")</f>
        <v>London</v>
      </c>
      <c r="G167" s="7"/>
      <c r="H167" s="7" t="str">
        <f>IFERROR(__xludf.DUMMYFUNCTION("""COMPUTED_VALUE"""),"DJ")</f>
        <v>DJ</v>
      </c>
      <c r="I167" s="7"/>
      <c r="J167" s="7"/>
      <c r="K167" s="7"/>
      <c r="L167" s="7"/>
      <c r="M167" s="7"/>
      <c r="N167" s="7"/>
      <c r="O167" s="7"/>
      <c r="P167" s="62">
        <f t="array" ref="P167">MAX(IF($A167=AB_TF!F:F,AB_TF!D:D))</f>
        <v>0</v>
      </c>
      <c r="Q167" s="63" t="str">
        <f t="array" ref="Q167">INDEX(AB_TF!C:C,MATCH(1,(AB_TF!F:F=A167)*(AB_TF!D:D=P167),0))</f>
        <v>#N/A</v>
      </c>
      <c r="R167" s="63">
        <f>COUNTIFS(AB_TF!F:F,"="&amp;A167,AB_TF!E:E,"Small*")</f>
        <v>0</v>
      </c>
      <c r="S167" s="63">
        <f>COUNTIFS(AB_TF!F:F,"="&amp;A167,AB_TF!E:E,"Medium*")</f>
        <v>0</v>
      </c>
      <c r="T167" s="63">
        <f>COUNTIFS(AB_TF!F:F,"="&amp;A167,AB_TF!E:E,"Large*")</f>
        <v>0</v>
      </c>
      <c r="U167" s="64">
        <f t="shared" si="1"/>
        <v>0</v>
      </c>
    </row>
    <row r="168">
      <c r="A168" s="7">
        <f>IFERROR(__xludf.DUMMYFUNCTION("""COMPUTED_VALUE"""),373.0)</f>
        <v>373</v>
      </c>
      <c r="B168" s="7" t="str">
        <f>IFERROR(__xludf.DUMMYFUNCTION("""COMPUTED_VALUE"""),"Lush Lata")</f>
        <v>Lush Lata</v>
      </c>
      <c r="C168" s="7"/>
      <c r="D168" s="7"/>
      <c r="E168" s="7"/>
      <c r="F168" s="7" t="str">
        <f>IFERROR(__xludf.DUMMYFUNCTION("""COMPUTED_VALUE"""),"India")</f>
        <v>India</v>
      </c>
      <c r="G168" s="7"/>
      <c r="H168" s="7" t="str">
        <f>IFERROR(__xludf.DUMMYFUNCTION("""COMPUTED_VALUE"""),"DJ")</f>
        <v>DJ</v>
      </c>
      <c r="I168" s="7"/>
      <c r="J168" s="7"/>
      <c r="K168" s="7"/>
      <c r="L168" s="7"/>
      <c r="M168" s="7"/>
      <c r="N168" s="7"/>
      <c r="O168" s="7"/>
      <c r="P168" s="62">
        <f t="array" ref="P168">MAX(IF($A168=AB_TF!F:F,AB_TF!D:D))</f>
        <v>0</v>
      </c>
      <c r="Q168" s="63" t="str">
        <f t="array" ref="Q168">INDEX(AB_TF!C:C,MATCH(1,(AB_TF!F:F=A168)*(AB_TF!D:D=P168),0))</f>
        <v>#N/A</v>
      </c>
      <c r="R168" s="63">
        <f>COUNTIFS(AB_TF!F:F,"="&amp;A168,AB_TF!E:E,"Small*")</f>
        <v>0</v>
      </c>
      <c r="S168" s="63">
        <f>COUNTIFS(AB_TF!F:F,"="&amp;A168,AB_TF!E:E,"Medium*")</f>
        <v>0</v>
      </c>
      <c r="T168" s="63">
        <f>COUNTIFS(AB_TF!F:F,"="&amp;A168,AB_TF!E:E,"Large*")</f>
        <v>0</v>
      </c>
      <c r="U168" s="64">
        <f t="shared" si="1"/>
        <v>0</v>
      </c>
    </row>
    <row r="169">
      <c r="A169" s="7">
        <f>IFERROR(__xludf.DUMMYFUNCTION("""COMPUTED_VALUE"""),374.0)</f>
        <v>374</v>
      </c>
      <c r="B169" s="7" t="str">
        <f>IFERROR(__xludf.DUMMYFUNCTION("""COMPUTED_VALUE"""),"Leila Iman")</f>
        <v>Leila Iman</v>
      </c>
      <c r="C169" s="7"/>
      <c r="D169" s="7"/>
      <c r="E169" s="7"/>
      <c r="F169" s="7" t="str">
        <f>IFERROR(__xludf.DUMMYFUNCTION("""COMPUTED_VALUE"""),"London")</f>
        <v>London</v>
      </c>
      <c r="G169" s="7"/>
      <c r="H169" s="7" t="str">
        <f>IFERROR(__xludf.DUMMYFUNCTION("""COMPUTED_VALUE"""),"DJ")</f>
        <v>DJ</v>
      </c>
      <c r="I169" s="7"/>
      <c r="J169" s="7"/>
      <c r="K169" s="7"/>
      <c r="L169" s="7"/>
      <c r="M169" s="7"/>
      <c r="N169" s="7"/>
      <c r="O169" s="7"/>
      <c r="P169" s="62">
        <f t="array" ref="P169">MAX(IF($A169=AB_TF!F:F,AB_TF!D:D))</f>
        <v>0</v>
      </c>
      <c r="Q169" s="63" t="str">
        <f t="array" ref="Q169">INDEX(AB_TF!C:C,MATCH(1,(AB_TF!F:F=A169)*(AB_TF!D:D=P169),0))</f>
        <v>#N/A</v>
      </c>
      <c r="R169" s="63">
        <f>COUNTIFS(AB_TF!F:F,"="&amp;A169,AB_TF!E:E,"Small*")</f>
        <v>0</v>
      </c>
      <c r="S169" s="63">
        <f>COUNTIFS(AB_TF!F:F,"="&amp;A169,AB_TF!E:E,"Medium*")</f>
        <v>0</v>
      </c>
      <c r="T169" s="63">
        <f>COUNTIFS(AB_TF!F:F,"="&amp;A169,AB_TF!E:E,"Large*")</f>
        <v>0</v>
      </c>
      <c r="U169" s="64">
        <f t="shared" si="1"/>
        <v>0</v>
      </c>
    </row>
    <row r="170">
      <c r="A170" s="7">
        <f>IFERROR(__xludf.DUMMYFUNCTION("""COMPUTED_VALUE"""),375.0)</f>
        <v>375</v>
      </c>
      <c r="B170" s="7" t="str">
        <f>IFERROR(__xludf.DUMMYFUNCTION("""COMPUTED_VALUE"""),"Goutham")</f>
        <v>Goutham</v>
      </c>
      <c r="C170" s="7"/>
      <c r="D170" s="7"/>
      <c r="E170" s="7"/>
      <c r="F170" s="7" t="str">
        <f>IFERROR(__xludf.DUMMYFUNCTION("""COMPUTED_VALUE"""),"London")</f>
        <v>London</v>
      </c>
      <c r="G170" s="7"/>
      <c r="H170" s="7" t="str">
        <f>IFERROR(__xludf.DUMMYFUNCTION("""COMPUTED_VALUE"""),"DJ")</f>
        <v>DJ</v>
      </c>
      <c r="I170" s="7"/>
      <c r="J170" s="7"/>
      <c r="K170" s="7"/>
      <c r="L170" s="7"/>
      <c r="M170" s="7"/>
      <c r="N170" s="7"/>
      <c r="O170" s="7"/>
      <c r="P170" s="62">
        <f t="array" ref="P170">MAX(IF($A170=AB_TF!F:F,AB_TF!D:D))</f>
        <v>0</v>
      </c>
      <c r="Q170" s="63" t="str">
        <f t="array" ref="Q170">INDEX(AB_TF!C:C,MATCH(1,(AB_TF!F:F=A170)*(AB_TF!D:D=P170),0))</f>
        <v>#N/A</v>
      </c>
      <c r="R170" s="63">
        <f>COUNTIFS(AB_TF!F:F,"="&amp;A170,AB_TF!E:E,"Small*")</f>
        <v>0</v>
      </c>
      <c r="S170" s="63">
        <f>COUNTIFS(AB_TF!F:F,"="&amp;A170,AB_TF!E:E,"Medium*")</f>
        <v>0</v>
      </c>
      <c r="T170" s="63">
        <f>COUNTIFS(AB_TF!F:F,"="&amp;A170,AB_TF!E:E,"Large*")</f>
        <v>0</v>
      </c>
      <c r="U170" s="64">
        <f t="shared" si="1"/>
        <v>0</v>
      </c>
    </row>
    <row r="171">
      <c r="A171" s="7">
        <f>IFERROR(__xludf.DUMMYFUNCTION("""COMPUTED_VALUE"""),376.0)</f>
        <v>376</v>
      </c>
      <c r="B171" s="7" t="str">
        <f>IFERROR(__xludf.DUMMYFUNCTION("""COMPUTED_VALUE"""),"LUCIDE")</f>
        <v>LUCIDE</v>
      </c>
      <c r="C171" s="7"/>
      <c r="D171" s="7"/>
      <c r="E171" s="7"/>
      <c r="F171" s="7" t="str">
        <f>IFERROR(__xludf.DUMMYFUNCTION("""COMPUTED_VALUE"""),"London")</f>
        <v>London</v>
      </c>
      <c r="G171" s="7"/>
      <c r="H171" s="7" t="str">
        <f>IFERROR(__xludf.DUMMYFUNCTION("""COMPUTED_VALUE"""),"DJ / Live Act")</f>
        <v>DJ / Live Act</v>
      </c>
      <c r="I171" s="7"/>
      <c r="J171" s="7"/>
      <c r="K171" s="7"/>
      <c r="L171" s="7"/>
      <c r="M171" s="7"/>
      <c r="N171" s="7"/>
      <c r="O171" s="7"/>
      <c r="P171" s="62">
        <f t="array" ref="P171">MAX(IF($A171=AB_TF!F:F,AB_TF!D:D))</f>
        <v>0</v>
      </c>
      <c r="Q171" s="63" t="str">
        <f t="array" ref="Q171">INDEX(AB_TF!C:C,MATCH(1,(AB_TF!F:F=A171)*(AB_TF!D:D=P171),0))</f>
        <v>#N/A</v>
      </c>
      <c r="R171" s="63">
        <f>COUNTIFS(AB_TF!F:F,"="&amp;A171,AB_TF!E:E,"Small*")</f>
        <v>0</v>
      </c>
      <c r="S171" s="63">
        <f>COUNTIFS(AB_TF!F:F,"="&amp;A171,AB_TF!E:E,"Medium*")</f>
        <v>0</v>
      </c>
      <c r="T171" s="63">
        <f>COUNTIFS(AB_TF!F:F,"="&amp;A171,AB_TF!E:E,"Large*")</f>
        <v>0</v>
      </c>
      <c r="U171" s="64">
        <f t="shared" si="1"/>
        <v>0</v>
      </c>
    </row>
    <row r="172">
      <c r="A172" s="7">
        <f>IFERROR(__xludf.DUMMYFUNCTION("""COMPUTED_VALUE"""),377.0)</f>
        <v>377</v>
      </c>
      <c r="B172" s="7" t="str">
        <f>IFERROR(__xludf.DUMMYFUNCTION("""COMPUTED_VALUE"""),"Ahadadream")</f>
        <v>Ahadadream</v>
      </c>
      <c r="C172" s="7"/>
      <c r="D172" s="7"/>
      <c r="E172" s="7"/>
      <c r="F172" s="7" t="str">
        <f>IFERROR(__xludf.DUMMYFUNCTION("""COMPUTED_VALUE"""),"London")</f>
        <v>London</v>
      </c>
      <c r="G172" s="7"/>
      <c r="H172" s="7" t="str">
        <f>IFERROR(__xludf.DUMMYFUNCTION("""COMPUTED_VALUE"""),"DJ")</f>
        <v>DJ</v>
      </c>
      <c r="I172" s="7"/>
      <c r="J172" s="7"/>
      <c r="K172" s="7"/>
      <c r="L172" s="7"/>
      <c r="M172" s="7"/>
      <c r="N172" s="7"/>
      <c r="O172" s="7"/>
      <c r="P172" s="62">
        <f t="array" ref="P172">MAX(IF($A172=AB_TF!F:F,AB_TF!D:D))</f>
        <v>0</v>
      </c>
      <c r="Q172" s="63" t="str">
        <f t="array" ref="Q172">INDEX(AB_TF!C:C,MATCH(1,(AB_TF!F:F=A172)*(AB_TF!D:D=P172),0))</f>
        <v>#N/A</v>
      </c>
      <c r="R172" s="63">
        <f>COUNTIFS(AB_TF!F:F,"="&amp;A172,AB_TF!E:E,"Small*")</f>
        <v>0</v>
      </c>
      <c r="S172" s="63">
        <f>COUNTIFS(AB_TF!F:F,"="&amp;A172,AB_TF!E:E,"Medium*")</f>
        <v>0</v>
      </c>
      <c r="T172" s="63">
        <f>COUNTIFS(AB_TF!F:F,"="&amp;A172,AB_TF!E:E,"Large*")</f>
        <v>0</v>
      </c>
      <c r="U172" s="64">
        <f t="shared" si="1"/>
        <v>0</v>
      </c>
    </row>
    <row r="173">
      <c r="A173" s="7">
        <f>IFERROR(__xludf.DUMMYFUNCTION("""COMPUTED_VALUE"""),378.0)</f>
        <v>378</v>
      </c>
      <c r="B173" s="7" t="str">
        <f>IFERROR(__xludf.DUMMYFUNCTION("""COMPUTED_VALUE"""),"Ryan Lanji")</f>
        <v>Ryan Lanji</v>
      </c>
      <c r="C173" s="7"/>
      <c r="D173" s="7"/>
      <c r="E173" s="7"/>
      <c r="F173" s="7" t="str">
        <f>IFERROR(__xludf.DUMMYFUNCTION("""COMPUTED_VALUE"""),"London")</f>
        <v>London</v>
      </c>
      <c r="G173" s="7"/>
      <c r="H173" s="7" t="str">
        <f>IFERROR(__xludf.DUMMYFUNCTION("""COMPUTED_VALUE"""),"DJ")</f>
        <v>DJ</v>
      </c>
      <c r="I173" s="7"/>
      <c r="J173" s="7"/>
      <c r="K173" s="7"/>
      <c r="L173" s="7"/>
      <c r="M173" s="7"/>
      <c r="N173" s="7"/>
      <c r="O173" s="7"/>
      <c r="P173" s="62">
        <f t="array" ref="P173">MAX(IF($A173=AB_TF!F:F,AB_TF!D:D))</f>
        <v>0</v>
      </c>
      <c r="Q173" s="63" t="str">
        <f t="array" ref="Q173">INDEX(AB_TF!C:C,MATCH(1,(AB_TF!F:F=A173)*(AB_TF!D:D=P173),0))</f>
        <v>#N/A</v>
      </c>
      <c r="R173" s="63">
        <f>COUNTIFS(AB_TF!F:F,"="&amp;A173,AB_TF!E:E,"Small*")</f>
        <v>0</v>
      </c>
      <c r="S173" s="63">
        <f>COUNTIFS(AB_TF!F:F,"="&amp;A173,AB_TF!E:E,"Medium*")</f>
        <v>0</v>
      </c>
      <c r="T173" s="63">
        <f>COUNTIFS(AB_TF!F:F,"="&amp;A173,AB_TF!E:E,"Large*")</f>
        <v>0</v>
      </c>
      <c r="U173" s="64">
        <f t="shared" si="1"/>
        <v>0</v>
      </c>
    </row>
    <row r="174">
      <c r="A174" s="7">
        <f>IFERROR(__xludf.DUMMYFUNCTION("""COMPUTED_VALUE"""),379.0)</f>
        <v>379</v>
      </c>
      <c r="B174" s="7" t="str">
        <f>IFERROR(__xludf.DUMMYFUNCTION("""COMPUTED_VALUE"""),"Manuka Honey")</f>
        <v>Manuka Honey</v>
      </c>
      <c r="C174" s="7"/>
      <c r="D174" s="7"/>
      <c r="E174" s="7"/>
      <c r="F174" s="7" t="str">
        <f>IFERROR(__xludf.DUMMYFUNCTION("""COMPUTED_VALUE"""),"London")</f>
        <v>London</v>
      </c>
      <c r="G174" s="7"/>
      <c r="H174" s="7" t="str">
        <f>IFERROR(__xludf.DUMMYFUNCTION("""COMPUTED_VALUE"""),"DJ")</f>
        <v>DJ</v>
      </c>
      <c r="I174" s="7"/>
      <c r="J174" s="7"/>
      <c r="K174" s="7"/>
      <c r="L174" s="7"/>
      <c r="M174" s="7"/>
      <c r="N174" s="7"/>
      <c r="O174" s="7"/>
      <c r="P174" s="62">
        <f t="array" ref="P174">MAX(IF($A174=AB_TF!F:F,AB_TF!D:D))</f>
        <v>0</v>
      </c>
      <c r="Q174" s="63" t="str">
        <f t="array" ref="Q174">INDEX(AB_TF!C:C,MATCH(1,(AB_TF!F:F=A174)*(AB_TF!D:D=P174),0))</f>
        <v>#N/A</v>
      </c>
      <c r="R174" s="63">
        <f>COUNTIFS(AB_TF!F:F,"="&amp;A174,AB_TF!E:E,"Small*")</f>
        <v>0</v>
      </c>
      <c r="S174" s="63">
        <f>COUNTIFS(AB_TF!F:F,"="&amp;A174,AB_TF!E:E,"Medium*")</f>
        <v>0</v>
      </c>
      <c r="T174" s="63">
        <f>COUNTIFS(AB_TF!F:F,"="&amp;A174,AB_TF!E:E,"Large*")</f>
        <v>0</v>
      </c>
      <c r="U174" s="64">
        <f t="shared" si="1"/>
        <v>0</v>
      </c>
    </row>
    <row r="175">
      <c r="A175" s="7">
        <f>IFERROR(__xludf.DUMMYFUNCTION("""COMPUTED_VALUE"""),380.0)</f>
        <v>380</v>
      </c>
      <c r="B175" s="7" t="str">
        <f>IFERROR(__xludf.DUMMYFUNCTION("""COMPUTED_VALUE"""),"Paul Purgas")</f>
        <v>Paul Purgas</v>
      </c>
      <c r="C175" s="7"/>
      <c r="D175" s="7"/>
      <c r="E175" s="7"/>
      <c r="F175" s="7" t="str">
        <f>IFERROR(__xludf.DUMMYFUNCTION("""COMPUTED_VALUE"""),"Bristol")</f>
        <v>Bristol</v>
      </c>
      <c r="G175" s="7"/>
      <c r="H175" s="7" t="str">
        <f>IFERROR(__xludf.DUMMYFUNCTION("""COMPUTED_VALUE"""),"DJ / Live Act")</f>
        <v>DJ / Live Act</v>
      </c>
      <c r="I175" s="7"/>
      <c r="J175" s="7"/>
      <c r="K175" s="7"/>
      <c r="L175" s="7"/>
      <c r="M175" s="7"/>
      <c r="N175" s="7"/>
      <c r="O175" s="7"/>
      <c r="P175" s="62">
        <f t="array" ref="P175">MAX(IF($A175=AB_TF!F:F,AB_TF!D:D))</f>
        <v>0</v>
      </c>
      <c r="Q175" s="63" t="str">
        <f t="array" ref="Q175">INDEX(AB_TF!C:C,MATCH(1,(AB_TF!F:F=A175)*(AB_TF!D:D=P175),0))</f>
        <v>#N/A</v>
      </c>
      <c r="R175" s="63">
        <f>COUNTIFS(AB_TF!F:F,"="&amp;A175,AB_TF!E:E,"Small*")</f>
        <v>0</v>
      </c>
      <c r="S175" s="63">
        <f>COUNTIFS(AB_TF!F:F,"="&amp;A175,AB_TF!E:E,"Medium*")</f>
        <v>0</v>
      </c>
      <c r="T175" s="63">
        <f>COUNTIFS(AB_TF!F:F,"="&amp;A175,AB_TF!E:E,"Large*")</f>
        <v>0</v>
      </c>
      <c r="U175" s="64">
        <f t="shared" si="1"/>
        <v>0</v>
      </c>
    </row>
    <row r="176">
      <c r="A176" s="7">
        <f>IFERROR(__xludf.DUMMYFUNCTION("""COMPUTED_VALUE"""),381.0)</f>
        <v>381</v>
      </c>
      <c r="B176" s="7" t="str">
        <f>IFERROR(__xludf.DUMMYFUNCTION("""COMPUTED_VALUE"""),"Complexion")</f>
        <v>Complexion</v>
      </c>
      <c r="C176" s="7"/>
      <c r="D176" s="7"/>
      <c r="E176" s="7"/>
      <c r="F176" s="7" t="str">
        <f>IFERROR(__xludf.DUMMYFUNCTION("""COMPUTED_VALUE"""),"London")</f>
        <v>London</v>
      </c>
      <c r="G176" s="7"/>
      <c r="H176" s="7" t="str">
        <f>IFERROR(__xludf.DUMMYFUNCTION("""COMPUTED_VALUE"""),"DJ")</f>
        <v>DJ</v>
      </c>
      <c r="I176" s="7"/>
      <c r="J176" s="7"/>
      <c r="K176" s="7"/>
      <c r="L176" s="7"/>
      <c r="M176" s="7"/>
      <c r="N176" s="7"/>
      <c r="O176" s="7"/>
      <c r="P176" s="62">
        <f t="array" ref="P176">MAX(IF($A176=AB_TF!F:F,AB_TF!D:D))</f>
        <v>0</v>
      </c>
      <c r="Q176" s="63" t="str">
        <f t="array" ref="Q176">INDEX(AB_TF!C:C,MATCH(1,(AB_TF!F:F=A176)*(AB_TF!D:D=P176),0))</f>
        <v>#N/A</v>
      </c>
      <c r="R176" s="63">
        <f>COUNTIFS(AB_TF!F:F,"="&amp;A176,AB_TF!E:E,"Small*")</f>
        <v>0</v>
      </c>
      <c r="S176" s="63">
        <f>COUNTIFS(AB_TF!F:F,"="&amp;A176,AB_TF!E:E,"Medium*")</f>
        <v>0</v>
      </c>
      <c r="T176" s="63">
        <f>COUNTIFS(AB_TF!F:F,"="&amp;A176,AB_TF!E:E,"Large*")</f>
        <v>0</v>
      </c>
      <c r="U176" s="64">
        <f t="shared" si="1"/>
        <v>0</v>
      </c>
    </row>
    <row r="177">
      <c r="A177" s="7">
        <f>IFERROR(__xludf.DUMMYFUNCTION("""COMPUTED_VALUE"""),382.0)</f>
        <v>382</v>
      </c>
      <c r="B177" s="7" t="str">
        <f>IFERROR(__xludf.DUMMYFUNCTION("""COMPUTED_VALUE"""),"Dynoman")</f>
        <v>Dynoman</v>
      </c>
      <c r="C177" s="7"/>
      <c r="D177" s="7"/>
      <c r="E177" s="7"/>
      <c r="F177" s="7" t="str">
        <f>IFERROR(__xludf.DUMMYFUNCTION("""COMPUTED_VALUE"""),"NYC")</f>
        <v>NYC</v>
      </c>
      <c r="G177" s="7"/>
      <c r="H177" s="7" t="str">
        <f>IFERROR(__xludf.DUMMYFUNCTION("""COMPUTED_VALUE"""),"DJ")</f>
        <v>DJ</v>
      </c>
      <c r="I177" s="7"/>
      <c r="J177" s="7"/>
      <c r="K177" s="7"/>
      <c r="L177" s="7"/>
      <c r="M177" s="7"/>
      <c r="N177" s="7"/>
      <c r="O177" s="7"/>
      <c r="P177" s="62">
        <f t="array" ref="P177">MAX(IF($A177=AB_TF!F:F,AB_TF!D:D))</f>
        <v>0</v>
      </c>
      <c r="Q177" s="63" t="str">
        <f t="array" ref="Q177">INDEX(AB_TF!C:C,MATCH(1,(AB_TF!F:F=A177)*(AB_TF!D:D=P177),0))</f>
        <v>#N/A</v>
      </c>
      <c r="R177" s="63">
        <f>COUNTIFS(AB_TF!F:F,"="&amp;A177,AB_TF!E:E,"Small*")</f>
        <v>0</v>
      </c>
      <c r="S177" s="63">
        <f>COUNTIFS(AB_TF!F:F,"="&amp;A177,AB_TF!E:E,"Medium*")</f>
        <v>0</v>
      </c>
      <c r="T177" s="63">
        <f>COUNTIFS(AB_TF!F:F,"="&amp;A177,AB_TF!E:E,"Large*")</f>
        <v>0</v>
      </c>
      <c r="U177" s="64">
        <f t="shared" si="1"/>
        <v>0</v>
      </c>
    </row>
    <row r="178">
      <c r="A178" s="7">
        <f>IFERROR(__xludf.DUMMYFUNCTION("""COMPUTED_VALUE"""),383.0)</f>
        <v>383</v>
      </c>
      <c r="B178" s="7" t="str">
        <f>IFERROR(__xludf.DUMMYFUNCTION("""COMPUTED_VALUE"""),"Haseeb Iqbal")</f>
        <v>Haseeb Iqbal</v>
      </c>
      <c r="C178" s="7"/>
      <c r="D178" s="7"/>
      <c r="E178" s="7"/>
      <c r="F178" s="7" t="str">
        <f>IFERROR(__xludf.DUMMYFUNCTION("""COMPUTED_VALUE"""),"London")</f>
        <v>London</v>
      </c>
      <c r="G178" s="7"/>
      <c r="H178" s="7" t="str">
        <f>IFERROR(__xludf.DUMMYFUNCTION("""COMPUTED_VALUE"""),"DJ")</f>
        <v>DJ</v>
      </c>
      <c r="I178" s="7"/>
      <c r="J178" s="7"/>
      <c r="K178" s="7"/>
      <c r="L178" s="7"/>
      <c r="M178" s="7"/>
      <c r="N178" s="7"/>
      <c r="O178" s="7"/>
      <c r="P178" s="62">
        <f t="array" ref="P178">MAX(IF($A178=AB_TF!F:F,AB_TF!D:D))</f>
        <v>0</v>
      </c>
      <c r="Q178" s="63" t="str">
        <f t="array" ref="Q178">INDEX(AB_TF!C:C,MATCH(1,(AB_TF!F:F=A178)*(AB_TF!D:D=P178),0))</f>
        <v>#N/A</v>
      </c>
      <c r="R178" s="63">
        <f>COUNTIFS(AB_TF!F:F,"="&amp;A178,AB_TF!E:E,"Small*")</f>
        <v>0</v>
      </c>
      <c r="S178" s="63">
        <f>COUNTIFS(AB_TF!F:F,"="&amp;A178,AB_TF!E:E,"Medium*")</f>
        <v>0</v>
      </c>
      <c r="T178" s="63">
        <f>COUNTIFS(AB_TF!F:F,"="&amp;A178,AB_TF!E:E,"Large*")</f>
        <v>0</v>
      </c>
      <c r="U178" s="64">
        <f t="shared" si="1"/>
        <v>0</v>
      </c>
    </row>
    <row r="179">
      <c r="A179" s="7">
        <f>IFERROR(__xludf.DUMMYFUNCTION("""COMPUTED_VALUE"""),384.0)</f>
        <v>384</v>
      </c>
      <c r="B179" s="7" t="str">
        <f>IFERROR(__xludf.DUMMYFUNCTION("""COMPUTED_VALUE"""),"Nabihah Iqbal")</f>
        <v>Nabihah Iqbal</v>
      </c>
      <c r="C179" s="7"/>
      <c r="D179" s="7"/>
      <c r="E179" s="7"/>
      <c r="F179" s="7" t="str">
        <f>IFERROR(__xludf.DUMMYFUNCTION("""COMPUTED_VALUE"""),"London")</f>
        <v>London</v>
      </c>
      <c r="G179" s="7"/>
      <c r="H179" s="7" t="str">
        <f>IFERROR(__xludf.DUMMYFUNCTION("""COMPUTED_VALUE"""),"DJ / Live Act")</f>
        <v>DJ / Live Act</v>
      </c>
      <c r="I179" s="7"/>
      <c r="J179" s="7"/>
      <c r="K179" s="7"/>
      <c r="L179" s="7"/>
      <c r="M179" s="7"/>
      <c r="N179" s="7"/>
      <c r="O179" s="7"/>
      <c r="P179" s="62">
        <f t="array" ref="P179">MAX(IF($A179=AB_TF!F:F,AB_TF!D:D))</f>
        <v>0</v>
      </c>
      <c r="Q179" s="63" t="str">
        <f t="array" ref="Q179">INDEX(AB_TF!C:C,MATCH(1,(AB_TF!F:F=A179)*(AB_TF!D:D=P179),0))</f>
        <v>#N/A</v>
      </c>
      <c r="R179" s="63">
        <f>COUNTIFS(AB_TF!F:F,"="&amp;A179,AB_TF!E:E,"Small*")</f>
        <v>0</v>
      </c>
      <c r="S179" s="63">
        <f>COUNTIFS(AB_TF!F:F,"="&amp;A179,AB_TF!E:E,"Medium*")</f>
        <v>0</v>
      </c>
      <c r="T179" s="63">
        <f>COUNTIFS(AB_TF!F:F,"="&amp;A179,AB_TF!E:E,"Large*")</f>
        <v>0</v>
      </c>
      <c r="U179" s="64">
        <f t="shared" si="1"/>
        <v>0</v>
      </c>
    </row>
    <row r="180">
      <c r="A180" s="7">
        <f>IFERROR(__xludf.DUMMYFUNCTION("""COMPUTED_VALUE"""),385.0)</f>
        <v>385</v>
      </c>
      <c r="B180" s="7" t="str">
        <f>IFERROR(__xludf.DUMMYFUNCTION("""COMPUTED_VALUE"""),"Raveena")</f>
        <v>Raveena</v>
      </c>
      <c r="C180" s="7"/>
      <c r="D180" s="7"/>
      <c r="E180" s="7"/>
      <c r="F180" s="7" t="str">
        <f>IFERROR(__xludf.DUMMYFUNCTION("""COMPUTED_VALUE"""),"NYC")</f>
        <v>NYC</v>
      </c>
      <c r="G180" s="7"/>
      <c r="H180" s="7" t="str">
        <f>IFERROR(__xludf.DUMMYFUNCTION("""COMPUTED_VALUE"""),"Live Act")</f>
        <v>Live Act</v>
      </c>
      <c r="I180" s="7"/>
      <c r="J180" s="7"/>
      <c r="K180" s="7"/>
      <c r="L180" s="7"/>
      <c r="M180" s="7"/>
      <c r="N180" s="7"/>
      <c r="O180" s="7"/>
      <c r="P180" s="62">
        <f t="array" ref="P180">MAX(IF($A180=AB_TF!F:F,AB_TF!D:D))</f>
        <v>0</v>
      </c>
      <c r="Q180" s="63" t="str">
        <f t="array" ref="Q180">INDEX(AB_TF!C:C,MATCH(1,(AB_TF!F:F=A180)*(AB_TF!D:D=P180),0))</f>
        <v>#N/A</v>
      </c>
      <c r="R180" s="63">
        <f>COUNTIFS(AB_TF!F:F,"="&amp;A180,AB_TF!E:E,"Small*")</f>
        <v>0</v>
      </c>
      <c r="S180" s="63">
        <f>COUNTIFS(AB_TF!F:F,"="&amp;A180,AB_TF!E:E,"Medium*")</f>
        <v>0</v>
      </c>
      <c r="T180" s="63">
        <f>COUNTIFS(AB_TF!F:F,"="&amp;A180,AB_TF!E:E,"Large*")</f>
        <v>0</v>
      </c>
      <c r="U180" s="64">
        <f t="shared" si="1"/>
        <v>0</v>
      </c>
    </row>
    <row r="181">
      <c r="A181" s="7">
        <f>IFERROR(__xludf.DUMMYFUNCTION("""COMPUTED_VALUE"""),386.0)</f>
        <v>386</v>
      </c>
      <c r="B181" s="7" t="str">
        <f>IFERROR(__xludf.DUMMYFUNCTION("""COMPUTED_VALUE"""),"Sarith")</f>
        <v>Sarith</v>
      </c>
      <c r="C181" s="7"/>
      <c r="D181" s="7"/>
      <c r="E181" s="7"/>
      <c r="F181" s="7" t="str">
        <f>IFERROR(__xludf.DUMMYFUNCTION("""COMPUTED_VALUE"""),"London")</f>
        <v>London</v>
      </c>
      <c r="G181" s="7"/>
      <c r="H181" s="7" t="str">
        <f>IFERROR(__xludf.DUMMYFUNCTION("""COMPUTED_VALUE"""),"DJ")</f>
        <v>DJ</v>
      </c>
      <c r="I181" s="7"/>
      <c r="J181" s="7"/>
      <c r="K181" s="7"/>
      <c r="L181" s="7"/>
      <c r="M181" s="7"/>
      <c r="N181" s="7"/>
      <c r="O181" s="7"/>
      <c r="P181" s="62">
        <f t="array" ref="P181">MAX(IF($A181=AB_TF!F:F,AB_TF!D:D))</f>
        <v>0</v>
      </c>
      <c r="Q181" s="63" t="str">
        <f t="array" ref="Q181">INDEX(AB_TF!C:C,MATCH(1,(AB_TF!F:F=A181)*(AB_TF!D:D=P181),0))</f>
        <v>#N/A</v>
      </c>
      <c r="R181" s="63">
        <f>COUNTIFS(AB_TF!F:F,"="&amp;A181,AB_TF!E:E,"Small*")</f>
        <v>0</v>
      </c>
      <c r="S181" s="63">
        <f>COUNTIFS(AB_TF!F:F,"="&amp;A181,AB_TF!E:E,"Medium*")</f>
        <v>0</v>
      </c>
      <c r="T181" s="63">
        <f>COUNTIFS(AB_TF!F:F,"="&amp;A181,AB_TF!E:E,"Large*")</f>
        <v>0</v>
      </c>
      <c r="U181" s="64">
        <f t="shared" si="1"/>
        <v>0</v>
      </c>
    </row>
    <row r="182">
      <c r="A182" s="7">
        <f>IFERROR(__xludf.DUMMYFUNCTION("""COMPUTED_VALUE"""),387.0)</f>
        <v>387</v>
      </c>
      <c r="B182" s="7" t="str">
        <f>IFERROR(__xludf.DUMMYFUNCTION("""COMPUTED_VALUE"""),"Baalti")</f>
        <v>Baalti</v>
      </c>
      <c r="C182" s="7"/>
      <c r="D182" s="7"/>
      <c r="E182" s="7"/>
      <c r="F182" s="7" t="str">
        <f>IFERROR(__xludf.DUMMYFUNCTION("""COMPUTED_VALUE"""),"San Fancisco, USA")</f>
        <v>San Fancisco, USA</v>
      </c>
      <c r="G182" s="7"/>
      <c r="H182" s="7" t="str">
        <f>IFERROR(__xludf.DUMMYFUNCTION("""COMPUTED_VALUE"""),"DJ / Live Act")</f>
        <v>DJ / Live Act</v>
      </c>
      <c r="I182" s="7"/>
      <c r="J182" s="7"/>
      <c r="K182" s="7"/>
      <c r="L182" s="7"/>
      <c r="M182" s="7"/>
      <c r="N182" s="7"/>
      <c r="O182" s="7"/>
      <c r="P182" s="62">
        <f t="array" ref="P182">MAX(IF($A182=AB_TF!F:F,AB_TF!D:D))</f>
        <v>0</v>
      </c>
      <c r="Q182" s="63" t="str">
        <f t="array" ref="Q182">INDEX(AB_TF!C:C,MATCH(1,(AB_TF!F:F=A182)*(AB_TF!D:D=P182),0))</f>
        <v>#N/A</v>
      </c>
      <c r="R182" s="63">
        <f>COUNTIFS(AB_TF!F:F,"="&amp;A182,AB_TF!E:E,"Small*")</f>
        <v>0</v>
      </c>
      <c r="S182" s="63">
        <f>COUNTIFS(AB_TF!F:F,"="&amp;A182,AB_TF!E:E,"Medium*")</f>
        <v>0</v>
      </c>
      <c r="T182" s="63">
        <f>COUNTIFS(AB_TF!F:F,"="&amp;A182,AB_TF!E:E,"Large*")</f>
        <v>0</v>
      </c>
      <c r="U182" s="64">
        <f t="shared" si="1"/>
        <v>0</v>
      </c>
    </row>
    <row r="183">
      <c r="A183" s="7">
        <f>IFERROR(__xludf.DUMMYFUNCTION("""COMPUTED_VALUE"""),388.0)</f>
        <v>388</v>
      </c>
      <c r="B183" s="7" t="str">
        <f>IFERROR(__xludf.DUMMYFUNCTION("""COMPUTED_VALUE"""),"barbiedollinthetajmahal")</f>
        <v>barbiedollinthetajmahal</v>
      </c>
      <c r="C183" s="7"/>
      <c r="D183" s="7"/>
      <c r="E183" s="7"/>
      <c r="F183" s="7" t="str">
        <f>IFERROR(__xludf.DUMMYFUNCTION("""COMPUTED_VALUE"""),"London")</f>
        <v>London</v>
      </c>
      <c r="G183" s="7"/>
      <c r="H183" s="7" t="str">
        <f>IFERROR(__xludf.DUMMYFUNCTION("""COMPUTED_VALUE"""),"DJ")</f>
        <v>DJ</v>
      </c>
      <c r="I183" s="7"/>
      <c r="J183" s="7"/>
      <c r="K183" s="7"/>
      <c r="L183" s="7"/>
      <c r="M183" s="7"/>
      <c r="N183" s="7"/>
      <c r="O183" s="7"/>
      <c r="P183" s="62">
        <f t="array" ref="P183">MAX(IF($A183=AB_TF!F:F,AB_TF!D:D))</f>
        <v>0</v>
      </c>
      <c r="Q183" s="63" t="str">
        <f t="array" ref="Q183">INDEX(AB_TF!C:C,MATCH(1,(AB_TF!F:F=A183)*(AB_TF!D:D=P183),0))</f>
        <v>#N/A</v>
      </c>
      <c r="R183" s="63">
        <f>COUNTIFS(AB_TF!F:F,"="&amp;A183,AB_TF!E:E,"Small*")</f>
        <v>0</v>
      </c>
      <c r="S183" s="63">
        <f>COUNTIFS(AB_TF!F:F,"="&amp;A183,AB_TF!E:E,"Medium*")</f>
        <v>0</v>
      </c>
      <c r="T183" s="63">
        <f>COUNTIFS(AB_TF!F:F,"="&amp;A183,AB_TF!E:E,"Large*")</f>
        <v>0</v>
      </c>
      <c r="U183" s="64">
        <f t="shared" si="1"/>
        <v>0</v>
      </c>
    </row>
    <row r="184">
      <c r="A184" s="7">
        <f>IFERROR(__xludf.DUMMYFUNCTION("""COMPUTED_VALUE"""),389.0)</f>
        <v>389</v>
      </c>
      <c r="B184" s="7" t="str">
        <f>IFERROR(__xludf.DUMMYFUNCTION("""COMPUTED_VALUE"""),"Ges-e")</f>
        <v>Ges-e</v>
      </c>
      <c r="C184" s="7"/>
      <c r="D184" s="7"/>
      <c r="E184" s="7"/>
      <c r="F184" s="7" t="str">
        <f>IFERROR(__xludf.DUMMYFUNCTION("""COMPUTED_VALUE"""),"London")</f>
        <v>London</v>
      </c>
      <c r="G184" s="7"/>
      <c r="H184" s="7" t="str">
        <f>IFERROR(__xludf.DUMMYFUNCTION("""COMPUTED_VALUE"""),"DJ")</f>
        <v>DJ</v>
      </c>
      <c r="I184" s="7"/>
      <c r="J184" s="7"/>
      <c r="K184" s="7"/>
      <c r="L184" s="7"/>
      <c r="M184" s="7"/>
      <c r="N184" s="7"/>
      <c r="O184" s="7"/>
      <c r="P184" s="62">
        <f t="array" ref="P184">MAX(IF($A184=AB_TF!F:F,AB_TF!D:D))</f>
        <v>0</v>
      </c>
      <c r="Q184" s="63" t="str">
        <f t="array" ref="Q184">INDEX(AB_TF!C:C,MATCH(1,(AB_TF!F:F=A184)*(AB_TF!D:D=P184),0))</f>
        <v>#N/A</v>
      </c>
      <c r="R184" s="63">
        <f>COUNTIFS(AB_TF!F:F,"="&amp;A184,AB_TF!E:E,"Small*")</f>
        <v>0</v>
      </c>
      <c r="S184" s="63">
        <f>COUNTIFS(AB_TF!F:F,"="&amp;A184,AB_TF!E:E,"Medium*")</f>
        <v>0</v>
      </c>
      <c r="T184" s="63">
        <f>COUNTIFS(AB_TF!F:F,"="&amp;A184,AB_TF!E:E,"Large*")</f>
        <v>0</v>
      </c>
      <c r="U184" s="64">
        <f t="shared" si="1"/>
        <v>0</v>
      </c>
    </row>
    <row r="185">
      <c r="A185" s="7">
        <f>IFERROR(__xludf.DUMMYFUNCTION("""COMPUTED_VALUE"""),390.0)</f>
        <v>390</v>
      </c>
      <c r="B185" s="7" t="str">
        <f>IFERROR(__xludf.DUMMYFUNCTION("""COMPUTED_VALUE"""),"MISTA FRENZY")</f>
        <v>MISTA FRENZY</v>
      </c>
      <c r="C185" s="7"/>
      <c r="D185" s="7"/>
      <c r="E185" s="7"/>
      <c r="F185" s="7" t="str">
        <f>IFERROR(__xludf.DUMMYFUNCTION("""COMPUTED_VALUE"""),"LONDON")</f>
        <v>LONDON</v>
      </c>
      <c r="G185" s="7"/>
      <c r="H185" s="7" t="str">
        <f>IFERROR(__xludf.DUMMYFUNCTION("""COMPUTED_VALUE"""),"MC")</f>
        <v>MC</v>
      </c>
      <c r="I185" s="7"/>
      <c r="J185" s="7"/>
      <c r="K185" s="7"/>
      <c r="L185" s="7"/>
      <c r="M185" s="7"/>
      <c r="N185" s="7"/>
      <c r="O185" s="7"/>
      <c r="P185" s="62">
        <f t="array" ref="P185">MAX(IF($A185=AB_TF!F:F,AB_TF!D:D))</f>
        <v>0</v>
      </c>
      <c r="Q185" s="63" t="str">
        <f t="array" ref="Q185">INDEX(AB_TF!C:C,MATCH(1,(AB_TF!F:F=A185)*(AB_TF!D:D=P185),0))</f>
        <v>#N/A</v>
      </c>
      <c r="R185" s="63">
        <f>COUNTIFS(AB_TF!F:F,"="&amp;A185,AB_TF!E:E,"Small*")</f>
        <v>0</v>
      </c>
      <c r="S185" s="63">
        <f>COUNTIFS(AB_TF!F:F,"="&amp;A185,AB_TF!E:E,"Medium*")</f>
        <v>0</v>
      </c>
      <c r="T185" s="63">
        <f>COUNTIFS(AB_TF!F:F,"="&amp;A185,AB_TF!E:E,"Large*")</f>
        <v>0</v>
      </c>
      <c r="U185" s="64">
        <f t="shared" si="1"/>
        <v>0</v>
      </c>
    </row>
    <row r="186">
      <c r="A186" s="7">
        <f>IFERROR(__xludf.DUMMYFUNCTION("""COMPUTED_VALUE"""),391.0)</f>
        <v>391</v>
      </c>
      <c r="B186" s="7" t="str">
        <f>IFERROR(__xludf.DUMMYFUNCTION("""COMPUTED_VALUE"""),"Mixtress")</f>
        <v>Mixtress</v>
      </c>
      <c r="C186" s="7"/>
      <c r="D186" s="7"/>
      <c r="E186" s="7"/>
      <c r="F186" s="7" t="str">
        <f>IFERROR(__xludf.DUMMYFUNCTION("""COMPUTED_VALUE"""),"London")</f>
        <v>London</v>
      </c>
      <c r="G186" s="7"/>
      <c r="H186" s="7" t="str">
        <f>IFERROR(__xludf.DUMMYFUNCTION("""COMPUTED_VALUE"""),"DJ")</f>
        <v>DJ</v>
      </c>
      <c r="I186" s="7" t="str">
        <f>IFERROR(__xludf.DUMMYFUNCTION("""COMPUTED_VALUE"""),"ARDCORE")</f>
        <v>ARDCORE</v>
      </c>
      <c r="J186" s="7"/>
      <c r="K186" s="7"/>
      <c r="L186" s="7"/>
      <c r="M186" s="7"/>
      <c r="N186" s="7"/>
      <c r="O186" s="7"/>
      <c r="P186" s="62">
        <f t="array" ref="P186">MAX(IF($A186=AB_TF!F:F,AB_TF!D:D))</f>
        <v>0</v>
      </c>
      <c r="Q186" s="63" t="str">
        <f t="array" ref="Q186">INDEX(AB_TF!C:C,MATCH(1,(AB_TF!F:F=A186)*(AB_TF!D:D=P186),0))</f>
        <v>#N/A</v>
      </c>
      <c r="R186" s="63">
        <f>COUNTIFS(AB_TF!F:F,"="&amp;A186,AB_TF!E:E,"Small*")</f>
        <v>0</v>
      </c>
      <c r="S186" s="63">
        <f>COUNTIFS(AB_TF!F:F,"="&amp;A186,AB_TF!E:E,"Medium*")</f>
        <v>0</v>
      </c>
      <c r="T186" s="63">
        <f>COUNTIFS(AB_TF!F:F,"="&amp;A186,AB_TF!E:E,"Large*")</f>
        <v>0</v>
      </c>
      <c r="U186" s="64">
        <f t="shared" si="1"/>
        <v>0</v>
      </c>
    </row>
    <row r="187">
      <c r="A187" s="7">
        <f>IFERROR(__xludf.DUMMYFUNCTION("""COMPUTED_VALUE"""),392.0)</f>
        <v>392</v>
      </c>
      <c r="B187" s="7" t="str">
        <f>IFERROR(__xludf.DUMMYFUNCTION("""COMPUTED_VALUE"""),"Nuphlo")</f>
        <v>Nuphlo</v>
      </c>
      <c r="C187" s="7"/>
      <c r="D187" s="7"/>
      <c r="E187" s="7"/>
      <c r="F187" s="7" t="str">
        <f>IFERROR(__xludf.DUMMYFUNCTION("""COMPUTED_VALUE"""),"London")</f>
        <v>London</v>
      </c>
      <c r="G187" s="7"/>
      <c r="H187" s="7" t="str">
        <f>IFERROR(__xludf.DUMMYFUNCTION("""COMPUTED_VALUE"""),"DJ")</f>
        <v>DJ</v>
      </c>
      <c r="I187" s="7"/>
      <c r="J187" s="7"/>
      <c r="K187" s="7"/>
      <c r="L187" s="7"/>
      <c r="M187" s="7"/>
      <c r="N187" s="7"/>
      <c r="O187" s="7"/>
      <c r="P187" s="62">
        <f t="array" ref="P187">MAX(IF($A187=AB_TF!F:F,AB_TF!D:D))</f>
        <v>0</v>
      </c>
      <c r="Q187" s="63" t="str">
        <f t="array" ref="Q187">INDEX(AB_TF!C:C,MATCH(1,(AB_TF!F:F=A187)*(AB_TF!D:D=P187),0))</f>
        <v>#N/A</v>
      </c>
      <c r="R187" s="63">
        <f>COUNTIFS(AB_TF!F:F,"="&amp;A187,AB_TF!E:E,"Small*")</f>
        <v>0</v>
      </c>
      <c r="S187" s="63">
        <f>COUNTIFS(AB_TF!F:F,"="&amp;A187,AB_TF!E:E,"Medium*")</f>
        <v>0</v>
      </c>
      <c r="T187" s="63">
        <f>COUNTIFS(AB_TF!F:F,"="&amp;A187,AB_TF!E:E,"Large*")</f>
        <v>0</v>
      </c>
      <c r="U187" s="64">
        <f t="shared" si="1"/>
        <v>0</v>
      </c>
    </row>
    <row r="188">
      <c r="A188" s="7">
        <f>IFERROR(__xludf.DUMMYFUNCTION("""COMPUTED_VALUE"""),393.0)</f>
        <v>393</v>
      </c>
      <c r="B188" s="7" t="str">
        <f>IFERROR(__xludf.DUMMYFUNCTION("""COMPUTED_VALUE"""),"Osmani Soundz")</f>
        <v>Osmani Soundz</v>
      </c>
      <c r="C188" s="7"/>
      <c r="D188" s="7"/>
      <c r="E188" s="7"/>
      <c r="F188" s="7" t="str">
        <f>IFERROR(__xludf.DUMMYFUNCTION("""COMPUTED_VALUE"""),"London")</f>
        <v>London</v>
      </c>
      <c r="G188" s="7"/>
      <c r="H188" s="7" t="str">
        <f>IFERROR(__xludf.DUMMYFUNCTION("""COMPUTED_VALUE"""),"DJ")</f>
        <v>DJ</v>
      </c>
      <c r="I188" s="7"/>
      <c r="J188" s="7"/>
      <c r="K188" s="7"/>
      <c r="L188" s="7"/>
      <c r="M188" s="7"/>
      <c r="N188" s="7"/>
      <c r="O188" s="7"/>
      <c r="P188" s="62">
        <f t="array" ref="P188">MAX(IF($A188=AB_TF!F:F,AB_TF!D:D))</f>
        <v>0</v>
      </c>
      <c r="Q188" s="63" t="str">
        <f t="array" ref="Q188">INDEX(AB_TF!C:C,MATCH(1,(AB_TF!F:F=A188)*(AB_TF!D:D=P188),0))</f>
        <v>#N/A</v>
      </c>
      <c r="R188" s="63">
        <f>COUNTIFS(AB_TF!F:F,"="&amp;A188,AB_TF!E:E,"Small*")</f>
        <v>0</v>
      </c>
      <c r="S188" s="63">
        <f>COUNTIFS(AB_TF!F:F,"="&amp;A188,AB_TF!E:E,"Medium*")</f>
        <v>0</v>
      </c>
      <c r="T188" s="63">
        <f>COUNTIFS(AB_TF!F:F,"="&amp;A188,AB_TF!E:E,"Large*")</f>
        <v>0</v>
      </c>
      <c r="U188" s="64">
        <f t="shared" si="1"/>
        <v>0</v>
      </c>
    </row>
    <row r="189">
      <c r="A189" s="7">
        <f>IFERROR(__xludf.DUMMYFUNCTION("""COMPUTED_VALUE"""),394.0)</f>
        <v>394</v>
      </c>
      <c r="B189" s="7" t="str">
        <f>IFERROR(__xludf.DUMMYFUNCTION("""COMPUTED_VALUE"""),"Shandy")</f>
        <v>Shandy</v>
      </c>
      <c r="C189" s="7"/>
      <c r="D189" s="7"/>
      <c r="E189" s="7"/>
      <c r="F189" s="7" t="str">
        <f>IFERROR(__xludf.DUMMYFUNCTION("""COMPUTED_VALUE"""),"London")</f>
        <v>London</v>
      </c>
      <c r="G189" s="7"/>
      <c r="H189" s="7" t="str">
        <f>IFERROR(__xludf.DUMMYFUNCTION("""COMPUTED_VALUE"""),"DJ")</f>
        <v>DJ</v>
      </c>
      <c r="I189" s="7"/>
      <c r="J189" s="7"/>
      <c r="K189" s="7"/>
      <c r="L189" s="7"/>
      <c r="M189" s="7"/>
      <c r="N189" s="7"/>
      <c r="O189" s="7"/>
      <c r="P189" s="62">
        <f t="array" ref="P189">MAX(IF($A189=AB_TF!F:F,AB_TF!D:D))</f>
        <v>0</v>
      </c>
      <c r="Q189" s="63" t="str">
        <f t="array" ref="Q189">INDEX(AB_TF!C:C,MATCH(1,(AB_TF!F:F=A189)*(AB_TF!D:D=P189),0))</f>
        <v>#N/A</v>
      </c>
      <c r="R189" s="63">
        <f>COUNTIFS(AB_TF!F:F,"="&amp;A189,AB_TF!E:E,"Small*")</f>
        <v>0</v>
      </c>
      <c r="S189" s="63">
        <f>COUNTIFS(AB_TF!F:F,"="&amp;A189,AB_TF!E:E,"Medium*")</f>
        <v>0</v>
      </c>
      <c r="T189" s="63">
        <f>COUNTIFS(AB_TF!F:F,"="&amp;A189,AB_TF!E:E,"Large*")</f>
        <v>0</v>
      </c>
      <c r="U189" s="64">
        <f t="shared" si="1"/>
        <v>0</v>
      </c>
    </row>
    <row r="190">
      <c r="A190" s="7">
        <f>IFERROR(__xludf.DUMMYFUNCTION("""COMPUTED_VALUE"""),395.0)</f>
        <v>395</v>
      </c>
      <c r="B190" s="7" t="str">
        <f>IFERROR(__xludf.DUMMYFUNCTION("""COMPUTED_VALUE"""),"Sijya")</f>
        <v>Sijya</v>
      </c>
      <c r="C190" s="7"/>
      <c r="D190" s="7"/>
      <c r="E190" s="7"/>
      <c r="F190" s="7" t="str">
        <f>IFERROR(__xludf.DUMMYFUNCTION("""COMPUTED_VALUE"""),"Delhi")</f>
        <v>Delhi</v>
      </c>
      <c r="G190" s="7" t="str">
        <f>IFERROR(__xludf.DUMMYFUNCTION("""COMPUTED_VALUE"""),"Yes")</f>
        <v>Yes</v>
      </c>
      <c r="H190" s="7" t="str">
        <f>IFERROR(__xludf.DUMMYFUNCTION("""COMPUTED_VALUE"""),"Live Act")</f>
        <v>Live Act</v>
      </c>
      <c r="I190" s="7"/>
      <c r="J190" s="7"/>
      <c r="K190" s="7"/>
      <c r="L190" s="7"/>
      <c r="M190" s="7"/>
      <c r="N190" s="7"/>
      <c r="O190" s="7"/>
      <c r="P190" s="62">
        <f t="array" ref="P190">MAX(IF($A190=AB_TF!F:F,AB_TF!D:D))</f>
        <v>0</v>
      </c>
      <c r="Q190" s="63" t="str">
        <f t="array" ref="Q190">INDEX(AB_TF!C:C,MATCH(1,(AB_TF!F:F=A190)*(AB_TF!D:D=P190),0))</f>
        <v>#N/A</v>
      </c>
      <c r="R190" s="63">
        <f>COUNTIFS(AB_TF!F:F,"="&amp;A190,AB_TF!E:E,"Small*")</f>
        <v>0</v>
      </c>
      <c r="S190" s="63">
        <f>COUNTIFS(AB_TF!F:F,"="&amp;A190,AB_TF!E:E,"Medium*")</f>
        <v>0</v>
      </c>
      <c r="T190" s="63">
        <f>COUNTIFS(AB_TF!F:F,"="&amp;A190,AB_TF!E:E,"Large*")</f>
        <v>0</v>
      </c>
      <c r="U190" s="64">
        <f t="shared" si="1"/>
        <v>0</v>
      </c>
    </row>
    <row r="191">
      <c r="A191" s="7">
        <f>IFERROR(__xludf.DUMMYFUNCTION("""COMPUTED_VALUE"""),396.0)</f>
        <v>396</v>
      </c>
      <c r="B191" s="7" t="str">
        <f>IFERROR(__xludf.DUMMYFUNCTION("""COMPUTED_VALUE"""),"feelsgoopta")</f>
        <v>feelsgoopta</v>
      </c>
      <c r="C191" s="7"/>
      <c r="D191" s="7"/>
      <c r="E191" s="7"/>
      <c r="F191" s="7" t="str">
        <f>IFERROR(__xludf.DUMMYFUNCTION("""COMPUTED_VALUE"""),"Montreal")</f>
        <v>Montreal</v>
      </c>
      <c r="G191" s="7" t="str">
        <f>IFERROR(__xludf.DUMMYFUNCTION("""COMPUTED_VALUE"""),"Yes")</f>
        <v>Yes</v>
      </c>
      <c r="H191" s="7" t="str">
        <f>IFERROR(__xludf.DUMMYFUNCTION("""COMPUTED_VALUE"""),"DJ / Producer")</f>
        <v>DJ / Producer</v>
      </c>
      <c r="I191" s="7"/>
      <c r="J191" s="7"/>
      <c r="K191" s="7"/>
      <c r="L191" s="7"/>
      <c r="M191" s="7"/>
      <c r="N191" s="7"/>
      <c r="O191" s="7"/>
      <c r="P191" s="62">
        <f t="array" ref="P191">MAX(IF($A191=AB_TF!F:F,AB_TF!D:D))</f>
        <v>0</v>
      </c>
      <c r="Q191" s="63" t="str">
        <f t="array" ref="Q191">INDEX(AB_TF!C:C,MATCH(1,(AB_TF!F:F=A191)*(AB_TF!D:D=P191),0))</f>
        <v>#N/A</v>
      </c>
      <c r="R191" s="63">
        <f>COUNTIFS(AB_TF!F:F,"="&amp;A191,AB_TF!E:E,"Small*")</f>
        <v>0</v>
      </c>
      <c r="S191" s="63">
        <f>COUNTIFS(AB_TF!F:F,"="&amp;A191,AB_TF!E:E,"Medium*")</f>
        <v>0</v>
      </c>
      <c r="T191" s="63">
        <f>COUNTIFS(AB_TF!F:F,"="&amp;A191,AB_TF!E:E,"Large*")</f>
        <v>0</v>
      </c>
      <c r="U191" s="64">
        <f t="shared" si="1"/>
        <v>0</v>
      </c>
    </row>
    <row r="192">
      <c r="A192" s="7">
        <f>IFERROR(__xludf.DUMMYFUNCTION("""COMPUTED_VALUE"""),397.0)</f>
        <v>397</v>
      </c>
      <c r="B192" s="7" t="str">
        <f>IFERROR(__xludf.DUMMYFUNCTION("""COMPUTED_VALUE"""),"Rouhangeze")</f>
        <v>Rouhangeze</v>
      </c>
      <c r="C192" s="7"/>
      <c r="D192" s="7"/>
      <c r="E192" s="7"/>
      <c r="F192" s="7" t="str">
        <f>IFERROR(__xludf.DUMMYFUNCTION("""COMPUTED_VALUE"""),"London")</f>
        <v>London</v>
      </c>
      <c r="G192" s="7"/>
      <c r="H192" s="7" t="str">
        <f>IFERROR(__xludf.DUMMYFUNCTION("""COMPUTED_VALUE"""),"DJ")</f>
        <v>DJ</v>
      </c>
      <c r="I192" s="7" t="str">
        <f>IFERROR(__xludf.DUMMYFUNCTION("""COMPUTED_VALUE"""),"Jazz and soulful")</f>
        <v>Jazz and soulful</v>
      </c>
      <c r="J192" s="7"/>
      <c r="K192" s="7"/>
      <c r="L192" s="7"/>
      <c r="M192" s="7"/>
      <c r="N192" s="7"/>
      <c r="O192" s="7"/>
      <c r="P192" s="62">
        <f t="array" ref="P192">MAX(IF($A192=AB_TF!F:F,AB_TF!D:D))</f>
        <v>0</v>
      </c>
      <c r="Q192" s="63" t="str">
        <f t="array" ref="Q192">INDEX(AB_TF!C:C,MATCH(1,(AB_TF!F:F=A192)*(AB_TF!D:D=P192),0))</f>
        <v>#N/A</v>
      </c>
      <c r="R192" s="63">
        <f>COUNTIFS(AB_TF!F:F,"="&amp;A192,AB_TF!E:E,"Small*")</f>
        <v>0</v>
      </c>
      <c r="S192" s="63">
        <f>COUNTIFS(AB_TF!F:F,"="&amp;A192,AB_TF!E:E,"Medium*")</f>
        <v>0</v>
      </c>
      <c r="T192" s="63">
        <f>COUNTIFS(AB_TF!F:F,"="&amp;A192,AB_TF!E:E,"Large*")</f>
        <v>0</v>
      </c>
      <c r="U192" s="64">
        <f t="shared" si="1"/>
        <v>0</v>
      </c>
    </row>
    <row r="193">
      <c r="A193" s="7">
        <f>IFERROR(__xludf.DUMMYFUNCTION("""COMPUTED_VALUE"""),398.0)</f>
        <v>398</v>
      </c>
      <c r="B193" s="7" t="str">
        <f>IFERROR(__xludf.DUMMYFUNCTION("""COMPUTED_VALUE"""),"JJamz")</f>
        <v>JJamz</v>
      </c>
      <c r="C193" s="7"/>
      <c r="D193" s="7"/>
      <c r="E193" s="7"/>
      <c r="F193" s="7" t="str">
        <f>IFERROR(__xludf.DUMMYFUNCTION("""COMPUTED_VALUE"""),"London / Manchester")</f>
        <v>London / Manchester</v>
      </c>
      <c r="G193" s="7"/>
      <c r="H193" s="7" t="str">
        <f>IFERROR(__xludf.DUMMYFUNCTION("""COMPUTED_VALUE"""),"DJ")</f>
        <v>DJ</v>
      </c>
      <c r="I193" s="7" t="str">
        <f>IFERROR(__xludf.DUMMYFUNCTION("""COMPUTED_VALUE"""),"House and bits")</f>
        <v>House and bits</v>
      </c>
      <c r="J193" s="7"/>
      <c r="K193" s="7"/>
      <c r="L193" s="7"/>
      <c r="M193" s="7"/>
      <c r="N193" s="7"/>
      <c r="O193" s="7"/>
      <c r="P193" s="62">
        <f t="array" ref="P193">MAX(IF($A193=AB_TF!F:F,AB_TF!D:D))</f>
        <v>0</v>
      </c>
      <c r="Q193" s="63" t="str">
        <f t="array" ref="Q193">INDEX(AB_TF!C:C,MATCH(1,(AB_TF!F:F=A193)*(AB_TF!D:D=P193),0))</f>
        <v>#N/A</v>
      </c>
      <c r="R193" s="63">
        <f>COUNTIFS(AB_TF!F:F,"="&amp;A193,AB_TF!E:E,"Small*")</f>
        <v>0</v>
      </c>
      <c r="S193" s="63">
        <f>COUNTIFS(AB_TF!F:F,"="&amp;A193,AB_TF!E:E,"Medium*")</f>
        <v>0</v>
      </c>
      <c r="T193" s="63">
        <f>COUNTIFS(AB_TF!F:F,"="&amp;A193,AB_TF!E:E,"Large*")</f>
        <v>0</v>
      </c>
      <c r="U193" s="64">
        <f t="shared" si="1"/>
        <v>0</v>
      </c>
    </row>
    <row r="194">
      <c r="A194" s="7">
        <f>IFERROR(__xludf.DUMMYFUNCTION("""COMPUTED_VALUE"""),399.0)</f>
        <v>399</v>
      </c>
      <c r="B194" s="7" t="str">
        <f>IFERROR(__xludf.DUMMYFUNCTION("""COMPUTED_VALUE"""),"Kalbaisakhi")</f>
        <v>Kalbaisakhi</v>
      </c>
      <c r="C194" s="7" t="str">
        <f>IFERROR(__xludf.DUMMYFUNCTION("""COMPUTED_VALUE"""),"Vibu")</f>
        <v>Vibu</v>
      </c>
      <c r="D194" s="7"/>
      <c r="E194" s="7"/>
      <c r="F194" s="7" t="str">
        <f>IFERROR(__xludf.DUMMYFUNCTION("""COMPUTED_VALUE"""),"London")</f>
        <v>London</v>
      </c>
      <c r="G194" s="7"/>
      <c r="H194" s="7" t="str">
        <f>IFERROR(__xludf.DUMMYFUNCTION("""COMPUTED_VALUE"""),"DJ")</f>
        <v>DJ</v>
      </c>
      <c r="I194" s="7"/>
      <c r="J194" s="7"/>
      <c r="K194" s="7"/>
      <c r="L194" s="7"/>
      <c r="M194" s="7"/>
      <c r="N194" s="7"/>
      <c r="O194" s="7"/>
      <c r="P194" s="62">
        <f t="array" ref="P194">MAX(IF($A194=AB_TF!F:F,AB_TF!D:D))</f>
        <v>0</v>
      </c>
      <c r="Q194" s="63" t="str">
        <f t="array" ref="Q194">INDEX(AB_TF!C:C,MATCH(1,(AB_TF!F:F=A194)*(AB_TF!D:D=P194),0))</f>
        <v>#N/A</v>
      </c>
      <c r="R194" s="63">
        <f>COUNTIFS(AB_TF!F:F,"="&amp;A194,AB_TF!E:E,"Small*")</f>
        <v>0</v>
      </c>
      <c r="S194" s="63">
        <f>COUNTIFS(AB_TF!F:F,"="&amp;A194,AB_TF!E:E,"Medium*")</f>
        <v>0</v>
      </c>
      <c r="T194" s="63">
        <f>COUNTIFS(AB_TF!F:F,"="&amp;A194,AB_TF!E:E,"Large*")</f>
        <v>0</v>
      </c>
      <c r="U194" s="64">
        <f t="shared" si="1"/>
        <v>0</v>
      </c>
    </row>
    <row r="195">
      <c r="A195" s="7">
        <f>IFERROR(__xludf.DUMMYFUNCTION("""COMPUTED_VALUE"""),400.0)</f>
        <v>400</v>
      </c>
      <c r="B195" s="7" t="str">
        <f>IFERROR(__xludf.DUMMYFUNCTION("""COMPUTED_VALUE"""),"Haaji Ki Halva")</f>
        <v>Haaji Ki Halva</v>
      </c>
      <c r="C195" s="7"/>
      <c r="D195" s="7"/>
      <c r="E195" s="7"/>
      <c r="F195" s="7" t="str">
        <f>IFERROR(__xludf.DUMMYFUNCTION("""COMPUTED_VALUE"""),"Liverpool")</f>
        <v>Liverpool</v>
      </c>
      <c r="G195" s="7"/>
      <c r="H195" s="7" t="str">
        <f>IFERROR(__xludf.DUMMYFUNCTION("""COMPUTED_VALUE"""),"Live Act")</f>
        <v>Live Act</v>
      </c>
      <c r="I195" s="7"/>
      <c r="J195" s="7"/>
      <c r="K195" s="7"/>
      <c r="L195" s="7"/>
      <c r="M195" s="7"/>
      <c r="N195" s="7"/>
      <c r="O195" s="7"/>
      <c r="P195" s="62">
        <f t="array" ref="P195">MAX(IF($A195=AB_TF!F:F,AB_TF!D:D))</f>
        <v>0</v>
      </c>
      <c r="Q195" s="63" t="str">
        <f t="array" ref="Q195">INDEX(AB_TF!C:C,MATCH(1,(AB_TF!F:F=A195)*(AB_TF!D:D=P195),0))</f>
        <v>#N/A</v>
      </c>
      <c r="R195" s="63">
        <f>COUNTIFS(AB_TF!F:F,"="&amp;A195,AB_TF!E:E,"Small*")</f>
        <v>0</v>
      </c>
      <c r="S195" s="63">
        <f>COUNTIFS(AB_TF!F:F,"="&amp;A195,AB_TF!E:E,"Medium*")</f>
        <v>0</v>
      </c>
      <c r="T195" s="63">
        <f>COUNTIFS(AB_TF!F:F,"="&amp;A195,AB_TF!E:E,"Large*")</f>
        <v>0</v>
      </c>
      <c r="U195" s="64">
        <f t="shared" si="1"/>
        <v>0</v>
      </c>
    </row>
    <row r="196">
      <c r="A196" s="7">
        <f>IFERROR(__xludf.DUMMYFUNCTION("""COMPUTED_VALUE"""),401.0)</f>
        <v>401</v>
      </c>
      <c r="B196" s="7" t="str">
        <f>IFERROR(__xludf.DUMMYFUNCTION("""COMPUTED_VALUE"""),"Zee Muffin")</f>
        <v>Zee Muffin</v>
      </c>
      <c r="C196" s="7"/>
      <c r="D196" s="7"/>
      <c r="E196" s="7"/>
      <c r="F196" s="7" t="str">
        <f>IFERROR(__xludf.DUMMYFUNCTION("""COMPUTED_VALUE"""),"NYC USA")</f>
        <v>NYC USA</v>
      </c>
      <c r="G196" s="7"/>
      <c r="H196" s="7" t="str">
        <f>IFERROR(__xludf.DUMMYFUNCTION("""COMPUTED_VALUE"""),"DJ")</f>
        <v>DJ</v>
      </c>
      <c r="I196" s="7"/>
      <c r="J196" s="7"/>
      <c r="K196" s="7"/>
      <c r="L196" s="7"/>
      <c r="M196" s="7"/>
      <c r="N196" s="7"/>
      <c r="O196" s="7"/>
      <c r="P196" s="62">
        <f t="array" ref="P196">MAX(IF($A196=AB_TF!F:F,AB_TF!D:D))</f>
        <v>0</v>
      </c>
      <c r="Q196" s="63" t="str">
        <f t="array" ref="Q196">INDEX(AB_TF!C:C,MATCH(1,(AB_TF!F:F=A196)*(AB_TF!D:D=P196),0))</f>
        <v>#N/A</v>
      </c>
      <c r="R196" s="63">
        <f>COUNTIFS(AB_TF!F:F,"="&amp;A196,AB_TF!E:E,"Small*")</f>
        <v>0</v>
      </c>
      <c r="S196" s="63">
        <f>COUNTIFS(AB_TF!F:F,"="&amp;A196,AB_TF!E:E,"Medium*")</f>
        <v>0</v>
      </c>
      <c r="T196" s="63">
        <f>COUNTIFS(AB_TF!F:F,"="&amp;A196,AB_TF!E:E,"Large*")</f>
        <v>0</v>
      </c>
      <c r="U196" s="64">
        <f t="shared" si="1"/>
        <v>0</v>
      </c>
    </row>
    <row r="197">
      <c r="A197" s="7">
        <f>IFERROR(__xludf.DUMMYFUNCTION("""COMPUTED_VALUE"""),402.0)</f>
        <v>402</v>
      </c>
      <c r="B197" s="7" t="str">
        <f>IFERROR(__xludf.DUMMYFUNCTION("""COMPUTED_VALUE"""),"Mya Mehmi")</f>
        <v>Mya Mehmi</v>
      </c>
      <c r="C197" s="7"/>
      <c r="D197" s="7"/>
      <c r="E197" s="7"/>
      <c r="F197" s="7" t="str">
        <f>IFERROR(__xludf.DUMMYFUNCTION("""COMPUTED_VALUE"""),"London")</f>
        <v>London</v>
      </c>
      <c r="G197" s="7"/>
      <c r="H197" s="7" t="str">
        <f>IFERROR(__xludf.DUMMYFUNCTION("""COMPUTED_VALUE"""),"DJ / LIVE Act")</f>
        <v>DJ / LIVE Act</v>
      </c>
      <c r="I197" s="7"/>
      <c r="J197" s="7"/>
      <c r="K197" s="7"/>
      <c r="L197" s="7"/>
      <c r="M197" s="7"/>
      <c r="N197" s="7"/>
      <c r="O197" s="7"/>
      <c r="P197" s="62">
        <f t="array" ref="P197">MAX(IF($A197=AB_TF!F:F,AB_TF!D:D))</f>
        <v>0</v>
      </c>
      <c r="Q197" s="63" t="str">
        <f t="array" ref="Q197">INDEX(AB_TF!C:C,MATCH(1,(AB_TF!F:F=A197)*(AB_TF!D:D=P197),0))</f>
        <v>#N/A</v>
      </c>
      <c r="R197" s="63">
        <f>COUNTIFS(AB_TF!F:F,"="&amp;A197,AB_TF!E:E,"Small*")</f>
        <v>0</v>
      </c>
      <c r="S197" s="63">
        <f>COUNTIFS(AB_TF!F:F,"="&amp;A197,AB_TF!E:E,"Medium*")</f>
        <v>0</v>
      </c>
      <c r="T197" s="63">
        <f>COUNTIFS(AB_TF!F:F,"="&amp;A197,AB_TF!E:E,"Large*")</f>
        <v>0</v>
      </c>
      <c r="U197" s="64">
        <f t="shared" si="1"/>
        <v>0</v>
      </c>
    </row>
    <row r="198">
      <c r="A198" s="7">
        <f>IFERROR(__xludf.DUMMYFUNCTION("""COMPUTED_VALUE"""),403.0)</f>
        <v>403</v>
      </c>
      <c r="B198" s="7" t="str">
        <f>IFERROR(__xludf.DUMMYFUNCTION("""COMPUTED_VALUE"""),"Nadine Noor")</f>
        <v>Nadine Noor</v>
      </c>
      <c r="C198" s="7"/>
      <c r="D198" s="7"/>
      <c r="E198" s="7"/>
      <c r="F198" s="7" t="str">
        <f>IFERROR(__xludf.DUMMYFUNCTION("""COMPUTED_VALUE"""),"London")</f>
        <v>London</v>
      </c>
      <c r="G198" s="7"/>
      <c r="H198" s="7" t="str">
        <f>IFERROR(__xludf.DUMMYFUNCTION("""COMPUTED_VALUE"""),"DJ")</f>
        <v>DJ</v>
      </c>
      <c r="I198" s="7"/>
      <c r="J198" s="7"/>
      <c r="K198" s="7"/>
      <c r="L198" s="7"/>
      <c r="M198" s="7"/>
      <c r="N198" s="7"/>
      <c r="O198" s="7"/>
      <c r="P198" s="62">
        <f t="array" ref="P198">MAX(IF($A198=AB_TF!F:F,AB_TF!D:D))</f>
        <v>0</v>
      </c>
      <c r="Q198" s="63" t="str">
        <f t="array" ref="Q198">INDEX(AB_TF!C:C,MATCH(1,(AB_TF!F:F=A198)*(AB_TF!D:D=P198),0))</f>
        <v>#N/A</v>
      </c>
      <c r="R198" s="63">
        <f>COUNTIFS(AB_TF!F:F,"="&amp;A198,AB_TF!E:E,"Small*")</f>
        <v>0</v>
      </c>
      <c r="S198" s="63">
        <f>COUNTIFS(AB_TF!F:F,"="&amp;A198,AB_TF!E:E,"Medium*")</f>
        <v>0</v>
      </c>
      <c r="T198" s="63">
        <f>COUNTIFS(AB_TF!F:F,"="&amp;A198,AB_TF!E:E,"Large*")</f>
        <v>0</v>
      </c>
      <c r="U198" s="64">
        <f t="shared" si="1"/>
        <v>0</v>
      </c>
    </row>
    <row r="199">
      <c r="A199" s="7">
        <f>IFERROR(__xludf.DUMMYFUNCTION("""COMPUTED_VALUE"""),404.0)</f>
        <v>404</v>
      </c>
      <c r="B199" s="7" t="str">
        <f>IFERROR(__xludf.DUMMYFUNCTION("""COMPUTED_VALUE"""),"A.G.")</f>
        <v>A.G.</v>
      </c>
      <c r="C199" s="7"/>
      <c r="D199" s="7"/>
      <c r="E199" s="7"/>
      <c r="F199" s="7" t="str">
        <f>IFERROR(__xludf.DUMMYFUNCTION("""COMPUTED_VALUE"""),"London")</f>
        <v>London</v>
      </c>
      <c r="G199" s="7"/>
      <c r="H199" s="7" t="str">
        <f>IFERROR(__xludf.DUMMYFUNCTION("""COMPUTED_VALUE"""),"DJ")</f>
        <v>DJ</v>
      </c>
      <c r="I199" s="7"/>
      <c r="J199" s="7"/>
      <c r="K199" s="7"/>
      <c r="L199" s="7"/>
      <c r="M199" s="7"/>
      <c r="N199" s="7"/>
      <c r="O199" s="7"/>
      <c r="P199" s="62">
        <f t="array" ref="P199">MAX(IF($A199=AB_TF!F:F,AB_TF!D:D))</f>
        <v>0</v>
      </c>
      <c r="Q199" s="63" t="str">
        <f t="array" ref="Q199">INDEX(AB_TF!C:C,MATCH(1,(AB_TF!F:F=A199)*(AB_TF!D:D=P199),0))</f>
        <v>#N/A</v>
      </c>
      <c r="R199" s="63">
        <f>COUNTIFS(AB_TF!F:F,"="&amp;A199,AB_TF!E:E,"Small*")</f>
        <v>0</v>
      </c>
      <c r="S199" s="63">
        <f>COUNTIFS(AB_TF!F:F,"="&amp;A199,AB_TF!E:E,"Medium*")</f>
        <v>0</v>
      </c>
      <c r="T199" s="63">
        <f>COUNTIFS(AB_TF!F:F,"="&amp;A199,AB_TF!E:E,"Large*")</f>
        <v>0</v>
      </c>
      <c r="U199" s="64">
        <f t="shared" si="1"/>
        <v>0</v>
      </c>
    </row>
    <row r="200">
      <c r="A200" s="7">
        <f>IFERROR(__xludf.DUMMYFUNCTION("""COMPUTED_VALUE"""),405.0)</f>
        <v>405</v>
      </c>
      <c r="B200" s="7" t="str">
        <f>IFERROR(__xludf.DUMMYFUNCTION("""COMPUTED_VALUE"""),"Basmati")</f>
        <v>Basmati</v>
      </c>
      <c r="C200" s="7"/>
      <c r="D200" s="7"/>
      <c r="E200" s="7"/>
      <c r="F200" s="7" t="str">
        <f>IFERROR(__xludf.DUMMYFUNCTION("""COMPUTED_VALUE"""),"London")</f>
        <v>London</v>
      </c>
      <c r="G200" s="7"/>
      <c r="H200" s="7" t="str">
        <f>IFERROR(__xludf.DUMMYFUNCTION("""COMPUTED_VALUE"""),"DJ")</f>
        <v>DJ</v>
      </c>
      <c r="I200" s="7"/>
      <c r="J200" s="7"/>
      <c r="K200" s="7"/>
      <c r="L200" s="7"/>
      <c r="M200" s="7"/>
      <c r="N200" s="7"/>
      <c r="O200" s="7"/>
      <c r="P200" s="62">
        <f t="array" ref="P200">MAX(IF($A200=AB_TF!F:F,AB_TF!D:D))</f>
        <v>0</v>
      </c>
      <c r="Q200" s="63" t="str">
        <f t="array" ref="Q200">INDEX(AB_TF!C:C,MATCH(1,(AB_TF!F:F=A200)*(AB_TF!D:D=P200),0))</f>
        <v>#N/A</v>
      </c>
      <c r="R200" s="63">
        <f>COUNTIFS(AB_TF!F:F,"="&amp;A200,AB_TF!E:E,"Small*")</f>
        <v>0</v>
      </c>
      <c r="S200" s="63">
        <f>COUNTIFS(AB_TF!F:F,"="&amp;A200,AB_TF!E:E,"Medium*")</f>
        <v>0</v>
      </c>
      <c r="T200" s="63">
        <f>COUNTIFS(AB_TF!F:F,"="&amp;A200,AB_TF!E:E,"Large*")</f>
        <v>0</v>
      </c>
      <c r="U200" s="64">
        <f t="shared" si="1"/>
        <v>0</v>
      </c>
    </row>
    <row r="201">
      <c r="A201" s="7">
        <f>IFERROR(__xludf.DUMMYFUNCTION("""COMPUTED_VALUE"""),406.0)</f>
        <v>406</v>
      </c>
      <c r="B201" s="7" t="str">
        <f>IFERROR(__xludf.DUMMYFUNCTION("""COMPUTED_VALUE"""),"Aether")</f>
        <v>Aether</v>
      </c>
      <c r="C201" s="7" t="str">
        <f>IFERROR(__xludf.DUMMYFUNCTION("""COMPUTED_VALUE"""),"Kansh")</f>
        <v>Kansh</v>
      </c>
      <c r="D201" s="7" t="str">
        <f>IFERROR(__xludf.DUMMYFUNCTION("""COMPUTED_VALUE"""),"they/them")</f>
        <v>they/them</v>
      </c>
      <c r="E201" s="7"/>
      <c r="F201" s="7" t="str">
        <f>IFERROR(__xludf.DUMMYFUNCTION("""COMPUTED_VALUE"""),"Singapore")</f>
        <v>Singapore</v>
      </c>
      <c r="G201" s="7" t="str">
        <f>IFERROR(__xludf.DUMMYFUNCTION("""COMPUTED_VALUE"""),"Yes")</f>
        <v>Yes</v>
      </c>
      <c r="H201" s="7" t="str">
        <f>IFERROR(__xludf.DUMMYFUNCTION("""COMPUTED_VALUE"""),"DJ, Visual, Spoken Word, Dance")</f>
        <v>DJ, Visual, Spoken Word, Dance</v>
      </c>
      <c r="I201" s="7"/>
      <c r="J201" s="7"/>
      <c r="K201" s="57" t="str">
        <f>IFERROR(__xludf.DUMMYFUNCTION("""COMPUTED_VALUE"""),"https://www.instagram.com/xaetherx777/")</f>
        <v>https://www.instagram.com/xaetherx777/</v>
      </c>
      <c r="L201" s="57" t="str">
        <f>IFERROR(__xludf.DUMMYFUNCTION("""COMPUTED_VALUE"""),"https://soundcloud.com/xxaetherxx")</f>
        <v>https://soundcloud.com/xxaetherxx</v>
      </c>
      <c r="M201" s="7"/>
      <c r="N201" s="7"/>
      <c r="O201" s="7"/>
      <c r="P201" s="62">
        <f t="array" ref="P201">MAX(IF($A201=AB_TF!F:F,AB_TF!D:D))</f>
        <v>0</v>
      </c>
      <c r="Q201" s="63" t="str">
        <f t="array" ref="Q201">INDEX(AB_TF!C:C,MATCH(1,(AB_TF!F:F=A201)*(AB_TF!D:D=P201),0))</f>
        <v>#N/A</v>
      </c>
      <c r="R201" s="63">
        <f>COUNTIFS(AB_TF!F:F,"="&amp;A201,AB_TF!E:E,"Small*")</f>
        <v>0</v>
      </c>
      <c r="S201" s="63">
        <f>COUNTIFS(AB_TF!F:F,"="&amp;A201,AB_TF!E:E,"Medium*")</f>
        <v>0</v>
      </c>
      <c r="T201" s="63">
        <f>COUNTIFS(AB_TF!F:F,"="&amp;A201,AB_TF!E:E,"Large*")</f>
        <v>0</v>
      </c>
      <c r="U201" s="64">
        <f t="shared" si="1"/>
        <v>0</v>
      </c>
    </row>
    <row r="202">
      <c r="A202" s="7">
        <f>IFERROR(__xludf.DUMMYFUNCTION("""COMPUTED_VALUE"""),407.0)</f>
        <v>407</v>
      </c>
      <c r="B202" s="7" t="str">
        <f>IFERROR(__xludf.DUMMYFUNCTION("""COMPUTED_VALUE"""),"Robu")</f>
        <v>Robu</v>
      </c>
      <c r="C202" s="7"/>
      <c r="D202" s="7"/>
      <c r="E202" s="7"/>
      <c r="F202" s="7" t="str">
        <f>IFERROR(__xludf.DUMMYFUNCTION("""COMPUTED_VALUE"""),"London/Chennai")</f>
        <v>London/Chennai</v>
      </c>
      <c r="G202" s="7" t="str">
        <f>IFERROR(__xludf.DUMMYFUNCTION("""COMPUTED_VALUE"""),"Yes")</f>
        <v>Yes</v>
      </c>
      <c r="H202" s="7" t="str">
        <f>IFERROR(__xludf.DUMMYFUNCTION("""COMPUTED_VALUE"""),"DJ/Producer")</f>
        <v>DJ/Producer</v>
      </c>
      <c r="I202" s="7"/>
      <c r="J202" s="7"/>
      <c r="K202" s="57" t="str">
        <f>IFERROR(__xludf.DUMMYFUNCTION("""COMPUTED_VALUE"""),"https://www.instagram.com/robumusic/?hl=en")</f>
        <v>https://www.instagram.com/robumusic/?hl=en</v>
      </c>
      <c r="L202" s="57" t="str">
        <f>IFERROR(__xludf.DUMMYFUNCTION("""COMPUTED_VALUE"""),"https://soundcloud.com/robumusic")</f>
        <v>https://soundcloud.com/robumusic</v>
      </c>
      <c r="M202" s="7"/>
      <c r="N202" s="7"/>
      <c r="O202" s="7"/>
      <c r="P202" s="62">
        <f t="array" ref="P202">MAX(IF($A202=AB_TF!F:F,AB_TF!D:D))</f>
        <v>0</v>
      </c>
      <c r="Q202" s="63" t="str">
        <f t="array" ref="Q202">INDEX(AB_TF!C:C,MATCH(1,(AB_TF!F:F=A202)*(AB_TF!D:D=P202),0))</f>
        <v>#N/A</v>
      </c>
      <c r="R202" s="63">
        <f>COUNTIFS(AB_TF!F:F,"="&amp;A202,AB_TF!E:E,"Small*")</f>
        <v>0</v>
      </c>
      <c r="S202" s="63">
        <f>COUNTIFS(AB_TF!F:F,"="&amp;A202,AB_TF!E:E,"Medium*")</f>
        <v>0</v>
      </c>
      <c r="T202" s="63">
        <f>COUNTIFS(AB_TF!F:F,"="&amp;A202,AB_TF!E:E,"Large*")</f>
        <v>0</v>
      </c>
      <c r="U202" s="64">
        <f t="shared" si="1"/>
        <v>0</v>
      </c>
    </row>
    <row r="203">
      <c r="A203" s="7">
        <f>IFERROR(__xludf.DUMMYFUNCTION("""COMPUTED_VALUE"""),408.0)</f>
        <v>408</v>
      </c>
      <c r="B203" s="7" t="str">
        <f>IFERROR(__xludf.DUMMYFUNCTION("""COMPUTED_VALUE"""),"Insowmya")</f>
        <v>Insowmya</v>
      </c>
      <c r="C203" s="7"/>
      <c r="D203" s="7"/>
      <c r="E203" s="7"/>
      <c r="F203" s="7" t="str">
        <f>IFERROR(__xludf.DUMMYFUNCTION("""COMPUTED_VALUE"""),"London/Delhi")</f>
        <v>London/Delhi</v>
      </c>
      <c r="G203" s="7" t="str">
        <f>IFERROR(__xludf.DUMMYFUNCTION("""COMPUTED_VALUE"""),"Yes")</f>
        <v>Yes</v>
      </c>
      <c r="H203" s="7" t="str">
        <f>IFERROR(__xludf.DUMMYFUNCTION("""COMPUTED_VALUE"""),"DJ/Producer")</f>
        <v>DJ/Producer</v>
      </c>
      <c r="I203" s="7" t="str">
        <f>IFERROR(__xludf.DUMMYFUNCTION("""COMPUTED_VALUE"""),"Electro / Hip Hop")</f>
        <v>Electro / Hip Hop</v>
      </c>
      <c r="J203" s="7"/>
      <c r="K203" s="57" t="str">
        <f>IFERROR(__xludf.DUMMYFUNCTION("""COMPUTED_VALUE"""),"https://www.instagram.com/insowmya/?hl=en")</f>
        <v>https://www.instagram.com/insowmya/?hl=en</v>
      </c>
      <c r="L203" s="7"/>
      <c r="M203" s="7"/>
      <c r="N203" s="7"/>
      <c r="O203" s="57" t="str">
        <f>IFERROR(__xludf.DUMMYFUNCTION("""COMPUTED_VALUE"""),"https://www.youtube.com/watch?v=3zKk_Lp7_tk")</f>
        <v>https://www.youtube.com/watch?v=3zKk_Lp7_tk</v>
      </c>
      <c r="P203" s="62">
        <f t="array" ref="P203">MAX(IF($A203=AB_TF!F:F,AB_TF!D:D))</f>
        <v>0</v>
      </c>
      <c r="Q203" s="63" t="str">
        <f t="array" ref="Q203">INDEX(AB_TF!C:C,MATCH(1,(AB_TF!F:F=A203)*(AB_TF!D:D=P203),0))</f>
        <v>#N/A</v>
      </c>
      <c r="R203" s="63">
        <f>COUNTIFS(AB_TF!F:F,"="&amp;A203,AB_TF!E:E,"Small*")</f>
        <v>0</v>
      </c>
      <c r="S203" s="63">
        <f>COUNTIFS(AB_TF!F:F,"="&amp;A203,AB_TF!E:E,"Medium*")</f>
        <v>0</v>
      </c>
      <c r="T203" s="63">
        <f>COUNTIFS(AB_TF!F:F,"="&amp;A203,AB_TF!E:E,"Large*")</f>
        <v>0</v>
      </c>
      <c r="U203" s="64">
        <f t="shared" si="1"/>
        <v>0</v>
      </c>
    </row>
    <row r="204">
      <c r="A204" s="7">
        <f>IFERROR(__xludf.DUMMYFUNCTION("""COMPUTED_VALUE"""),409.0)</f>
        <v>409</v>
      </c>
      <c r="B204" s="7" t="str">
        <f>IFERROR(__xludf.DUMMYFUNCTION("""COMPUTED_VALUE"""),"Benteki")</f>
        <v>Benteki</v>
      </c>
      <c r="C204" s="7"/>
      <c r="D204" s="7"/>
      <c r="E204" s="7"/>
      <c r="F204" s="7" t="str">
        <f>IFERROR(__xludf.DUMMYFUNCTION("""COMPUTED_VALUE"""),"London")</f>
        <v>London</v>
      </c>
      <c r="G204" s="7"/>
      <c r="H204" s="7" t="str">
        <f>IFERROR(__xludf.DUMMYFUNCTION("""COMPUTED_VALUE"""),"DJ")</f>
        <v>DJ</v>
      </c>
      <c r="I204" s="7"/>
      <c r="J204" s="7"/>
      <c r="K204" s="57" t="str">
        <f>IFERROR(__xludf.DUMMYFUNCTION("""COMPUTED_VALUE"""),"https://www.instagram.com/benteki_/?igsh=ZzV0NHg1amlta2N1")</f>
        <v>https://www.instagram.com/benteki_/?igsh=ZzV0NHg1amlta2N1</v>
      </c>
      <c r="L204" s="7"/>
      <c r="M204" s="7"/>
      <c r="N204" s="7"/>
      <c r="O204" s="7"/>
      <c r="P204" s="62">
        <f t="array" ref="P204">MAX(IF($A204=AB_TF!F:F,AB_TF!D:D))</f>
        <v>0</v>
      </c>
      <c r="Q204" s="63" t="str">
        <f t="array" ref="Q204">INDEX(AB_TF!C:C,MATCH(1,(AB_TF!F:F=A204)*(AB_TF!D:D=P204),0))</f>
        <v>#N/A</v>
      </c>
      <c r="R204" s="63">
        <f>COUNTIFS(AB_TF!F:F,"="&amp;A204,AB_TF!E:E,"Small*")</f>
        <v>0</v>
      </c>
      <c r="S204" s="63">
        <f>COUNTIFS(AB_TF!F:F,"="&amp;A204,AB_TF!E:E,"Medium*")</f>
        <v>0</v>
      </c>
      <c r="T204" s="63">
        <f>COUNTIFS(AB_TF!F:F,"="&amp;A204,AB_TF!E:E,"Large*")</f>
        <v>0</v>
      </c>
      <c r="U204" s="64">
        <f t="shared" si="1"/>
        <v>0</v>
      </c>
    </row>
    <row r="205">
      <c r="A205" s="7">
        <f>IFERROR(__xludf.DUMMYFUNCTION("""COMPUTED_VALUE"""),410.0)</f>
        <v>410</v>
      </c>
      <c r="B205" s="7" t="str">
        <f>IFERROR(__xludf.DUMMYFUNCTION("""COMPUTED_VALUE"""),"Kush Arora")</f>
        <v>Kush Arora</v>
      </c>
      <c r="C205" s="7"/>
      <c r="D205" s="7"/>
      <c r="E205" s="7"/>
      <c r="F205" s="7" t="str">
        <f>IFERROR(__xludf.DUMMYFUNCTION("""COMPUTED_VALUE"""),"San Fancisco, USA")</f>
        <v>San Fancisco, USA</v>
      </c>
      <c r="G205" s="7" t="str">
        <f>IFERROR(__xludf.DUMMYFUNCTION("""COMPUTED_VALUE"""),"Yes")</f>
        <v>Yes</v>
      </c>
      <c r="H205" s="7" t="str">
        <f>IFERROR(__xludf.DUMMYFUNCTION("""COMPUTED_VALUE"""),"DJ/Producer")</f>
        <v>DJ/Producer</v>
      </c>
      <c r="I205" s="7"/>
      <c r="J205" s="7"/>
      <c r="K205" s="57" t="str">
        <f>IFERROR(__xludf.DUMMYFUNCTION("""COMPUTED_VALUE"""),"https://www.instagram.com/kusharora/?igsh=MW8za3VlYmxlYXl0ag%3D%3D")</f>
        <v>https://www.instagram.com/kusharora/?igsh=MW8za3VlYmxlYXl0ag%3D%3D</v>
      </c>
      <c r="L205" s="7"/>
      <c r="M205" s="7"/>
      <c r="N205" s="7"/>
      <c r="O205" s="7"/>
      <c r="P205" s="62">
        <f t="array" ref="P205">MAX(IF($A205=AB_TF!F:F,AB_TF!D:D))</f>
        <v>0</v>
      </c>
      <c r="Q205" s="63" t="str">
        <f t="array" ref="Q205">INDEX(AB_TF!C:C,MATCH(1,(AB_TF!F:F=A205)*(AB_TF!D:D=P205),0))</f>
        <v>#N/A</v>
      </c>
      <c r="R205" s="63">
        <f>COUNTIFS(AB_TF!F:F,"="&amp;A205,AB_TF!E:E,"Small*")</f>
        <v>0</v>
      </c>
      <c r="S205" s="63">
        <f>COUNTIFS(AB_TF!F:F,"="&amp;A205,AB_TF!E:E,"Medium*")</f>
        <v>0</v>
      </c>
      <c r="T205" s="63">
        <f>COUNTIFS(AB_TF!F:F,"="&amp;A205,AB_TF!E:E,"Large*")</f>
        <v>0</v>
      </c>
      <c r="U205" s="64">
        <f t="shared" si="1"/>
        <v>0</v>
      </c>
    </row>
    <row r="206">
      <c r="A206" s="7">
        <f>IFERROR(__xludf.DUMMYFUNCTION("""COMPUTED_VALUE"""),411.0)</f>
        <v>411</v>
      </c>
      <c r="B206" s="7" t="str">
        <f>IFERROR(__xludf.DUMMYFUNCTION("""COMPUTED_VALUE"""),"Shifa Ligero")</f>
        <v>Shifa Ligero</v>
      </c>
      <c r="C206" s="7"/>
      <c r="D206" s="7"/>
      <c r="E206" s="7"/>
      <c r="F206" s="7" t="str">
        <f>IFERROR(__xludf.DUMMYFUNCTION("""COMPUTED_VALUE"""),"London")</f>
        <v>London</v>
      </c>
      <c r="G206" s="7"/>
      <c r="H206" s="7" t="str">
        <f>IFERROR(__xludf.DUMMYFUNCTION("""COMPUTED_VALUE"""),"DJ")</f>
        <v>DJ</v>
      </c>
      <c r="I206" s="7" t="str">
        <f>IFERROR(__xludf.DUMMYFUNCTION("""COMPUTED_VALUE"""),"Dance, Amapiano, Jersey Club, Balie Funk, Rap, Edits")</f>
        <v>Dance, Amapiano, Jersey Club, Balie Funk, Rap, Edits</v>
      </c>
      <c r="J206" s="7" t="str">
        <f>IFERROR(__xludf.DUMMYFUNCTION("""COMPUTED_VALUE"""),"shifaligero@gmail.com")</f>
        <v>shifaligero@gmail.com</v>
      </c>
      <c r="K206" s="57" t="str">
        <f>IFERROR(__xludf.DUMMYFUNCTION("""COMPUTED_VALUE"""),"https://www.instagram.com/shifaligero/")</f>
        <v>https://www.instagram.com/shifaligero/</v>
      </c>
      <c r="L206" s="57" t="str">
        <f>IFERROR(__xludf.DUMMYFUNCTION("""COMPUTED_VALUE"""),"https://soundcloud.com/shifaligero")</f>
        <v>https://soundcloud.com/shifaligero</v>
      </c>
      <c r="M206" s="57" t="str">
        <f>IFERROR(__xludf.DUMMYFUNCTION("""COMPUTED_VALUE"""),"https://www.tiktok.com/@shifaligero")</f>
        <v>https://www.tiktok.com/@shifaligero</v>
      </c>
      <c r="N206" s="7"/>
      <c r="O206" s="7"/>
      <c r="P206" s="62">
        <f t="array" ref="P206">MAX(IF($A206=AB_TF!F:F,AB_TF!D:D))</f>
        <v>0</v>
      </c>
      <c r="Q206" s="63" t="str">
        <f t="array" ref="Q206">INDEX(AB_TF!C:C,MATCH(1,(AB_TF!F:F=A206)*(AB_TF!D:D=P206),0))</f>
        <v>#N/A</v>
      </c>
      <c r="R206" s="63">
        <f>COUNTIFS(AB_TF!F:F,"="&amp;A206,AB_TF!E:E,"Small*")</f>
        <v>0</v>
      </c>
      <c r="S206" s="63">
        <f>COUNTIFS(AB_TF!F:F,"="&amp;A206,AB_TF!E:E,"Medium*")</f>
        <v>0</v>
      </c>
      <c r="T206" s="63">
        <f>COUNTIFS(AB_TF!F:F,"="&amp;A206,AB_TF!E:E,"Large*")</f>
        <v>0</v>
      </c>
      <c r="U206" s="64">
        <f t="shared" si="1"/>
        <v>0</v>
      </c>
    </row>
    <row r="207">
      <c r="A207" s="7">
        <f>IFERROR(__xludf.DUMMYFUNCTION("""COMPUTED_VALUE"""),412.0)</f>
        <v>412</v>
      </c>
      <c r="B207" s="7" t="str">
        <f>IFERROR(__xludf.DUMMYFUNCTION("""COMPUTED_VALUE"""),"Aysha")</f>
        <v>Aysha</v>
      </c>
      <c r="C207" s="7"/>
      <c r="D207" s="7"/>
      <c r="E207" s="7"/>
      <c r="F207" s="7" t="str">
        <f>IFERROR(__xludf.DUMMYFUNCTION("""COMPUTED_VALUE"""),"Nottingham?")</f>
        <v>Nottingham?</v>
      </c>
      <c r="G207" s="7"/>
      <c r="H207" s="7" t="str">
        <f>IFERROR(__xludf.DUMMYFUNCTION("""COMPUTED_VALUE"""),"DJ")</f>
        <v>DJ</v>
      </c>
      <c r="I207" s="7" t="str">
        <f>IFERROR(__xludf.DUMMYFUNCTION("""COMPUTED_VALUE"""),"House, desi fusion, garage, bass,")</f>
        <v>House, desi fusion, garage, bass,</v>
      </c>
      <c r="J207" s="7"/>
      <c r="K207" s="57" t="str">
        <f>IFERROR(__xludf.DUMMYFUNCTION("""COMPUTED_VALUE"""),"https://www.instagram.com/ayshvt")</f>
        <v>https://www.instagram.com/ayshvt</v>
      </c>
      <c r="L207" s="57" t="str">
        <f>IFERROR(__xludf.DUMMYFUNCTION("""COMPUTED_VALUE"""),"https://soundcloud.com/ayshvt")</f>
        <v>https://soundcloud.com/ayshvt</v>
      </c>
      <c r="M207" s="7"/>
      <c r="N207" s="7"/>
      <c r="O207" s="7"/>
      <c r="P207" s="62">
        <f t="array" ref="P207">MAX(IF($A207=AB_TF!F:F,AB_TF!D:D))</f>
        <v>0</v>
      </c>
      <c r="Q207" s="63" t="str">
        <f t="array" ref="Q207">INDEX(AB_TF!C:C,MATCH(1,(AB_TF!F:F=A207)*(AB_TF!D:D=P207),0))</f>
        <v>#N/A</v>
      </c>
      <c r="R207" s="63">
        <f>COUNTIFS(AB_TF!F:F,"="&amp;A207,AB_TF!E:E,"Small*")</f>
        <v>0</v>
      </c>
      <c r="S207" s="63">
        <f>COUNTIFS(AB_TF!F:F,"="&amp;A207,AB_TF!E:E,"Medium*")</f>
        <v>0</v>
      </c>
      <c r="T207" s="63">
        <f>COUNTIFS(AB_TF!F:F,"="&amp;A207,AB_TF!E:E,"Large*")</f>
        <v>0</v>
      </c>
      <c r="U207" s="64">
        <f t="shared" si="1"/>
        <v>0</v>
      </c>
    </row>
    <row r="208">
      <c r="A208" s="7">
        <f>IFERROR(__xludf.DUMMYFUNCTION("""COMPUTED_VALUE"""),413.0)</f>
        <v>413</v>
      </c>
      <c r="B208" s="7" t="str">
        <f>IFERROR(__xludf.DUMMYFUNCTION("""COMPUTED_VALUE"""),"Isha")</f>
        <v>Isha</v>
      </c>
      <c r="C208" s="7"/>
      <c r="D208" s="7"/>
      <c r="E208" s="7"/>
      <c r="F208" s="7"/>
      <c r="G208" s="7"/>
      <c r="H208" s="7" t="str">
        <f>IFERROR(__xludf.DUMMYFUNCTION("""COMPUTED_VALUE"""),"DJ")</f>
        <v>DJ</v>
      </c>
      <c r="I208" s="7"/>
      <c r="J208" s="7"/>
      <c r="K208" s="57" t="str">
        <f>IFERROR(__xludf.DUMMYFUNCTION("""COMPUTED_VALUE"""),"https://www.instagram.com/ishakewlani/")</f>
        <v>https://www.instagram.com/ishakewlani/</v>
      </c>
      <c r="L208" s="7"/>
      <c r="M208" s="7"/>
      <c r="N208" s="7"/>
      <c r="O208" s="7"/>
      <c r="P208" s="62">
        <f t="array" ref="P208">MAX(IF($A208=AB_TF!F:F,AB_TF!D:D))</f>
        <v>0</v>
      </c>
      <c r="Q208" s="63" t="str">
        <f t="array" ref="Q208">INDEX(AB_TF!C:C,MATCH(1,(AB_TF!F:F=A208)*(AB_TF!D:D=P208),0))</f>
        <v>#N/A</v>
      </c>
      <c r="R208" s="63">
        <f>COUNTIFS(AB_TF!F:F,"="&amp;A208,AB_TF!E:E,"Small*")</f>
        <v>0</v>
      </c>
      <c r="S208" s="63">
        <f>COUNTIFS(AB_TF!F:F,"="&amp;A208,AB_TF!E:E,"Medium*")</f>
        <v>0</v>
      </c>
      <c r="T208" s="63">
        <f>COUNTIFS(AB_TF!F:F,"="&amp;A208,AB_TF!E:E,"Large*")</f>
        <v>0</v>
      </c>
      <c r="U208" s="64">
        <f t="shared" si="1"/>
        <v>0</v>
      </c>
    </row>
    <row r="209">
      <c r="A209" s="7">
        <f>IFERROR(__xludf.DUMMYFUNCTION("""COMPUTED_VALUE"""),414.0)</f>
        <v>414</v>
      </c>
      <c r="B209" s="7" t="str">
        <f>IFERROR(__xludf.DUMMYFUNCTION("""COMPUTED_VALUE"""),"Imad")</f>
        <v>Imad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62">
        <f t="array" ref="P209">MAX(IF($A209=AB_TF!F:F,AB_TF!D:D))</f>
        <v>0</v>
      </c>
      <c r="Q209" s="63" t="str">
        <f t="array" ref="Q209">INDEX(AB_TF!C:C,MATCH(1,(AB_TF!F:F=A209)*(AB_TF!D:D=P209),0))</f>
        <v>#N/A</v>
      </c>
      <c r="R209" s="63">
        <f>COUNTIFS(AB_TF!F:F,"="&amp;A209,AB_TF!E:E,"Small*")</f>
        <v>0</v>
      </c>
      <c r="S209" s="63">
        <f>COUNTIFS(AB_TF!F:F,"="&amp;A209,AB_TF!E:E,"Medium*")</f>
        <v>0</v>
      </c>
      <c r="T209" s="63">
        <f>COUNTIFS(AB_TF!F:F,"="&amp;A209,AB_TF!E:E,"Large*")</f>
        <v>0</v>
      </c>
      <c r="U209" s="64">
        <f t="shared" si="1"/>
        <v>0</v>
      </c>
    </row>
    <row r="210">
      <c r="A210" s="7">
        <f>IFERROR(__xludf.DUMMYFUNCTION("""COMPUTED_VALUE"""),415.0)</f>
        <v>415</v>
      </c>
      <c r="B210" s="7" t="str">
        <f>IFERROR(__xludf.DUMMYFUNCTION("""COMPUTED_VALUE"""),"Abibi")</f>
        <v>Abibi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62">
        <f t="array" ref="P210">MAX(IF($A210=AB_TF!F:F,AB_TF!D:D))</f>
        <v>0</v>
      </c>
      <c r="Q210" s="63" t="str">
        <f t="array" ref="Q210">INDEX(AB_TF!C:C,MATCH(1,(AB_TF!F:F=A210)*(AB_TF!D:D=P210),0))</f>
        <v>#N/A</v>
      </c>
      <c r="R210" s="63">
        <f>COUNTIFS(AB_TF!F:F,"="&amp;A210,AB_TF!E:E,"Small*")</f>
        <v>0</v>
      </c>
      <c r="S210" s="63">
        <f>COUNTIFS(AB_TF!F:F,"="&amp;A210,AB_TF!E:E,"Medium*")</f>
        <v>0</v>
      </c>
      <c r="T210" s="63">
        <f>COUNTIFS(AB_TF!F:F,"="&amp;A210,AB_TF!E:E,"Large*")</f>
        <v>0</v>
      </c>
      <c r="U210" s="64">
        <f t="shared" si="1"/>
        <v>0</v>
      </c>
    </row>
    <row r="211">
      <c r="A211" s="7">
        <f>IFERROR(__xludf.DUMMYFUNCTION("""COMPUTED_VALUE"""),416.0)</f>
        <v>416</v>
      </c>
      <c r="B211" s="7" t="str">
        <f>IFERROR(__xludf.DUMMYFUNCTION("""COMPUTED_VALUE"""),"Yung Fya")</f>
        <v>Yung Fya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62">
        <f t="array" ref="P211">MAX(IF($A211=AB_TF!F:F,AB_TF!D:D))</f>
        <v>0</v>
      </c>
      <c r="Q211" s="63" t="str">
        <f t="array" ref="Q211">INDEX(AB_TF!C:C,MATCH(1,(AB_TF!F:F=A211)*(AB_TF!D:D=P211),0))</f>
        <v>#N/A</v>
      </c>
      <c r="R211" s="63">
        <f>COUNTIFS(AB_TF!F:F,"="&amp;A211,AB_TF!E:E,"Small*")</f>
        <v>0</v>
      </c>
      <c r="S211" s="63">
        <f>COUNTIFS(AB_TF!F:F,"="&amp;A211,AB_TF!E:E,"Medium*")</f>
        <v>0</v>
      </c>
      <c r="T211" s="63">
        <f>COUNTIFS(AB_TF!F:F,"="&amp;A211,AB_TF!E:E,"Large*")</f>
        <v>0</v>
      </c>
      <c r="U211" s="64">
        <f t="shared" si="1"/>
        <v>0</v>
      </c>
    </row>
    <row r="212">
      <c r="A212" s="7">
        <f>IFERROR(__xludf.DUMMYFUNCTION("""COMPUTED_VALUE"""),417.0)</f>
        <v>417</v>
      </c>
      <c r="B212" s="7" t="str">
        <f>IFERROR(__xludf.DUMMYFUNCTION("""COMPUTED_VALUE"""),"Pia")</f>
        <v>Pia</v>
      </c>
      <c r="C212" s="7"/>
      <c r="D212" s="7"/>
      <c r="E212" s="7"/>
      <c r="F212" s="7"/>
      <c r="G212" s="7"/>
      <c r="H212" s="7" t="str">
        <f>IFERROR(__xludf.DUMMYFUNCTION("""COMPUTED_VALUE"""),"DJ")</f>
        <v>DJ</v>
      </c>
      <c r="I212" s="7" t="str">
        <f>IFERROR(__xludf.DUMMYFUNCTION("""COMPUTED_VALUE"""),"DnB/
Jungle, UKG, Breaks, Dub, Reggae, and Dubstep with
afro-influenced genres like Amapiano and Gqom.")</f>
        <v>DnB/
Jungle, UKG, Breaks, Dub, Reggae, and Dubstep with
afro-influenced genres like Amapiano and Gqom.</v>
      </c>
      <c r="J212" s="7"/>
      <c r="K212" s="7"/>
      <c r="L212" s="7"/>
      <c r="M212" s="7"/>
      <c r="N212" s="7"/>
      <c r="O212" s="7"/>
      <c r="P212" s="62">
        <f t="array" ref="P212">MAX(IF($A212=AB_TF!F:F,AB_TF!D:D))</f>
        <v>0</v>
      </c>
      <c r="Q212" s="63" t="str">
        <f t="array" ref="Q212">INDEX(AB_TF!C:C,MATCH(1,(AB_TF!F:F=A212)*(AB_TF!D:D=P212),0))</f>
        <v>#N/A</v>
      </c>
      <c r="R212" s="63">
        <f>COUNTIFS(AB_TF!F:F,"="&amp;A212,AB_TF!E:E,"Small*")</f>
        <v>0</v>
      </c>
      <c r="S212" s="63">
        <f>COUNTIFS(AB_TF!F:F,"="&amp;A212,AB_TF!E:E,"Medium*")</f>
        <v>0</v>
      </c>
      <c r="T212" s="63">
        <f>COUNTIFS(AB_TF!F:F,"="&amp;A212,AB_TF!E:E,"Large*")</f>
        <v>0</v>
      </c>
      <c r="U212" s="64">
        <f t="shared" si="1"/>
        <v>0</v>
      </c>
    </row>
    <row r="213">
      <c r="A213" s="7">
        <f>IFERROR(__xludf.DUMMYFUNCTION("""COMPUTED_VALUE"""),418.0)</f>
        <v>418</v>
      </c>
      <c r="B213" s="7" t="str">
        <f>IFERROR(__xludf.DUMMYFUNCTION("""COMPUTED_VALUE"""),"Sway Of The Verses")</f>
        <v>Sway Of The Verses</v>
      </c>
      <c r="C213" s="7" t="str">
        <f>IFERROR(__xludf.DUMMYFUNCTION("""COMPUTED_VALUE"""),"Pritpal Ajimal")</f>
        <v>Pritpal Ajimal</v>
      </c>
      <c r="D213" s="7"/>
      <c r="E213" s="7"/>
      <c r="F213" s="7" t="str">
        <f>IFERROR(__xludf.DUMMYFUNCTION("""COMPUTED_VALUE"""),"London")</f>
        <v>London</v>
      </c>
      <c r="G213" s="7"/>
      <c r="H213" s="7" t="str">
        <f>IFERROR(__xludf.DUMMYFUNCTION("""COMPUTED_VALUE"""),"DJ")</f>
        <v>DJ</v>
      </c>
      <c r="I213" s="7" t="str">
        <f>IFERROR(__xludf.DUMMYFUNCTION("""COMPUTED_VALUE"""),"Indian Classical, Bhangra, Rap, Drill, House, Techno")</f>
        <v>Indian Classical, Bhangra, Rap, Drill, House, Techno</v>
      </c>
      <c r="J213" s="7" t="str">
        <f>IFERROR(__xludf.DUMMYFUNCTION("""COMPUTED_VALUE"""),"pritpal@kikuchi-online.com")</f>
        <v>pritpal@kikuchi-online.com</v>
      </c>
      <c r="K213" s="57" t="str">
        <f>IFERROR(__xludf.DUMMYFUNCTION("""COMPUTED_VALUE"""),"https://www.instagram.com/swayoftheverses/")</f>
        <v>https://www.instagram.com/swayoftheverses/</v>
      </c>
      <c r="L213" s="7"/>
      <c r="M213" s="7"/>
      <c r="N213" s="7"/>
      <c r="O213" s="57" t="str">
        <f>IFERROR(__xludf.DUMMYFUNCTION("""COMPUTED_VALUE"""),"https://linktr.ee/swayoftheverses")</f>
        <v>https://linktr.ee/swayoftheverses</v>
      </c>
      <c r="P213" s="62">
        <f t="array" ref="P213">MAX(IF($A213=AB_TF!F:F,AB_TF!D:D))</f>
        <v>0</v>
      </c>
      <c r="Q213" s="63" t="str">
        <f t="array" ref="Q213">INDEX(AB_TF!C:C,MATCH(1,(AB_TF!F:F=A213)*(AB_TF!D:D=P213),0))</f>
        <v>#N/A</v>
      </c>
      <c r="R213" s="63">
        <f>COUNTIFS(AB_TF!F:F,"="&amp;A213,AB_TF!E:E,"Small*")</f>
        <v>0</v>
      </c>
      <c r="S213" s="63">
        <f>COUNTIFS(AB_TF!F:F,"="&amp;A213,AB_TF!E:E,"Medium*")</f>
        <v>0</v>
      </c>
      <c r="T213" s="63">
        <f>COUNTIFS(AB_TF!F:F,"="&amp;A213,AB_TF!E:E,"Large*")</f>
        <v>0</v>
      </c>
      <c r="U213" s="64">
        <f t="shared" si="1"/>
        <v>0</v>
      </c>
    </row>
    <row r="214">
      <c r="A214" s="7">
        <f>IFERROR(__xludf.DUMMYFUNCTION("""COMPUTED_VALUE"""),418.0)</f>
        <v>418</v>
      </c>
      <c r="B214" s="7" t="str">
        <f>IFERROR(__xludf.DUMMYFUNCTION("""COMPUTED_VALUE"""),"VNEE")</f>
        <v>VNEE</v>
      </c>
      <c r="C214" s="7"/>
      <c r="D214" s="7"/>
      <c r="E214" s="7"/>
      <c r="F214" s="7"/>
      <c r="G214" s="7"/>
      <c r="H214" s="7"/>
      <c r="I214" s="7" t="str">
        <f>IFERROR(__xludf.DUMMYFUNCTION("""COMPUTED_VALUE"""),"House, Afro-house, desi edits, percussive, electro")</f>
        <v>House, Afro-house, desi edits, percussive, electro</v>
      </c>
      <c r="J214" s="7"/>
      <c r="K214" s="7"/>
      <c r="L214" s="7"/>
      <c r="M214" s="7"/>
      <c r="N214" s="7"/>
      <c r="O214" s="7"/>
      <c r="P214" s="62">
        <f t="array" ref="P214">MAX(IF($A214=AB_TF!F:F,AB_TF!D:D))</f>
        <v>0</v>
      </c>
      <c r="Q214" s="63" t="str">
        <f t="array" ref="Q214">INDEX(AB_TF!C:C,MATCH(1,(AB_TF!F:F=A214)*(AB_TF!D:D=P214),0))</f>
        <v>#N/A</v>
      </c>
      <c r="R214" s="63">
        <f>COUNTIFS(AB_TF!F:F,"="&amp;A214,AB_TF!E:E,"Small*")</f>
        <v>0</v>
      </c>
      <c r="S214" s="63">
        <f>COUNTIFS(AB_TF!F:F,"="&amp;A214,AB_TF!E:E,"Medium*")</f>
        <v>0</v>
      </c>
      <c r="T214" s="63">
        <f>COUNTIFS(AB_TF!F:F,"="&amp;A214,AB_TF!E:E,"Large*")</f>
        <v>0</v>
      </c>
      <c r="U214" s="64">
        <f t="shared" si="1"/>
        <v>0</v>
      </c>
    </row>
    <row r="215">
      <c r="A215" s="7">
        <f>IFERROR(__xludf.DUMMYFUNCTION("""COMPUTED_VALUE"""),419.0)</f>
        <v>419</v>
      </c>
      <c r="B215" s="7" t="str">
        <f>IFERROR(__xludf.DUMMYFUNCTION("""COMPUTED_VALUE"""),"Reefy")</f>
        <v>Reefy</v>
      </c>
      <c r="C215" s="7"/>
      <c r="D215" s="7"/>
      <c r="E215" s="7"/>
      <c r="F215" s="7"/>
      <c r="G215" s="7"/>
      <c r="H215" s="7"/>
      <c r="I215" s="7" t="str">
        <f>IFERROR(__xludf.DUMMYFUNCTION("""COMPUTED_VALUE"""),"High-octane 135+ bpm electro/leftfield/bass/breaks/techno with sprinklings of other bits in there")</f>
        <v>High-octane 135+ bpm electro/leftfield/bass/breaks/techno with sprinklings of other bits in there</v>
      </c>
      <c r="J215" s="7"/>
      <c r="K215" s="7"/>
      <c r="L215" s="7"/>
      <c r="M215" s="7"/>
      <c r="N215" s="7"/>
      <c r="O215" s="7"/>
      <c r="P215" s="62">
        <f t="array" ref="P215">MAX(IF($A215=AB_TF!F:F,AB_TF!D:D))</f>
        <v>0</v>
      </c>
      <c r="Q215" s="63" t="str">
        <f t="array" ref="Q215">INDEX(AB_TF!C:C,MATCH(1,(AB_TF!F:F=A215)*(AB_TF!D:D=P215),0))</f>
        <v>#N/A</v>
      </c>
      <c r="R215" s="63">
        <f>COUNTIFS(AB_TF!F:F,"="&amp;A215,AB_TF!E:E,"Small*")</f>
        <v>0</v>
      </c>
      <c r="S215" s="63">
        <f>COUNTIFS(AB_TF!F:F,"="&amp;A215,AB_TF!E:E,"Medium*")</f>
        <v>0</v>
      </c>
      <c r="T215" s="63">
        <f>COUNTIFS(AB_TF!F:F,"="&amp;A215,AB_TF!E:E,"Large*")</f>
        <v>0</v>
      </c>
      <c r="U215" s="64">
        <f t="shared" si="1"/>
        <v>0</v>
      </c>
    </row>
    <row r="216">
      <c r="A216" s="7">
        <f>IFERROR(__xludf.DUMMYFUNCTION("""COMPUTED_VALUE"""),420.0)</f>
        <v>420</v>
      </c>
      <c r="B216" s="7" t="str">
        <f>IFERROR(__xludf.DUMMYFUNCTION("""COMPUTED_VALUE"""),"Jawari")</f>
        <v>Jawari</v>
      </c>
      <c r="C216" s="7" t="str">
        <f>IFERROR(__xludf.DUMMYFUNCTION("""COMPUTED_VALUE"""),"Jawari")</f>
        <v>Jawari</v>
      </c>
      <c r="D216" s="7" t="str">
        <f>IFERROR(__xludf.DUMMYFUNCTION("""COMPUTED_VALUE"""),"they/them")</f>
        <v>they/them</v>
      </c>
      <c r="E216" s="7" t="str">
        <f>IFERROR(__xludf.DUMMYFUNCTION("""COMPUTED_VALUE"""),"mixed")</f>
        <v>mixed</v>
      </c>
      <c r="F216" s="7" t="str">
        <f>IFERROR(__xludf.DUMMYFUNCTION("""COMPUTED_VALUE"""),"London")</f>
        <v>London</v>
      </c>
      <c r="G216" s="7"/>
      <c r="H216" s="7" t="str">
        <f>IFERROR(__xludf.DUMMYFUNCTION("""COMPUTED_VALUE"""),"Live Act")</f>
        <v>Live Act</v>
      </c>
      <c r="I216" s="7" t="str">
        <f>IFERROR(__xludf.DUMMYFUNCTION("""COMPUTED_VALUE"""),"Indo-Jazz")</f>
        <v>Indo-Jazz</v>
      </c>
      <c r="J216" s="7" t="str">
        <f>IFERROR(__xludf.DUMMYFUNCTION("""COMPUTED_VALUE"""),"jawariband@gmail.com")</f>
        <v>jawariband@gmail.com</v>
      </c>
      <c r="K216" s="57" t="str">
        <f>IFERROR(__xludf.DUMMYFUNCTION("""COMPUTED_VALUE"""),"https://www.instagram.com/jawariband/")</f>
        <v>https://www.instagram.com/jawariband/</v>
      </c>
      <c r="L216" s="7"/>
      <c r="M216" s="7"/>
      <c r="N216" s="7"/>
      <c r="O216" s="57" t="str">
        <f>IFERROR(__xludf.DUMMYFUNCTION("""COMPUTED_VALUE"""),"https://open.spotify.com/artist/4dMY9QGjc6JqLcLvnzNWKH")</f>
        <v>https://open.spotify.com/artist/4dMY9QGjc6JqLcLvnzNWKH</v>
      </c>
      <c r="P216" s="62">
        <f t="array" ref="P216">MAX(IF($A216=AB_TF!F:F,AB_TF!D:D))</f>
        <v>0</v>
      </c>
      <c r="Q216" s="63" t="str">
        <f t="array" ref="Q216">INDEX(AB_TF!C:C,MATCH(1,(AB_TF!F:F=A216)*(AB_TF!D:D=P216),0))</f>
        <v>#N/A</v>
      </c>
      <c r="R216" s="63">
        <f>COUNTIFS(AB_TF!F:F,"="&amp;A216,AB_TF!E:E,"Small*")</f>
        <v>0</v>
      </c>
      <c r="S216" s="63">
        <f>COUNTIFS(AB_TF!F:F,"="&amp;A216,AB_TF!E:E,"Medium*")</f>
        <v>0</v>
      </c>
      <c r="T216" s="63">
        <f>COUNTIFS(AB_TF!F:F,"="&amp;A216,AB_TF!E:E,"Large*")</f>
        <v>0</v>
      </c>
      <c r="U216" s="64">
        <f t="shared" si="1"/>
        <v>0</v>
      </c>
    </row>
    <row r="217">
      <c r="A217" s="7">
        <f>IFERROR(__xludf.DUMMYFUNCTION("""COMPUTED_VALUE"""),421.0)</f>
        <v>421</v>
      </c>
      <c r="B217" s="7" t="str">
        <f>IFERROR(__xludf.DUMMYFUNCTION("""COMPUTED_VALUE"""),"Robert Luis")</f>
        <v>Robert Luis</v>
      </c>
      <c r="C217" s="7" t="str">
        <f>IFERROR(__xludf.DUMMYFUNCTION("""COMPUTED_VALUE"""),"Robert Luis")</f>
        <v>Robert Luis</v>
      </c>
      <c r="D217" s="7" t="str">
        <f>IFERROR(__xludf.DUMMYFUNCTION("""COMPUTED_VALUE"""),"he/him")</f>
        <v>he/him</v>
      </c>
      <c r="E217" s="7"/>
      <c r="F217" s="7" t="str">
        <f>IFERROR(__xludf.DUMMYFUNCTION("""COMPUTED_VALUE"""),"Brighton")</f>
        <v>Brighton</v>
      </c>
      <c r="G217" s="7"/>
      <c r="H217" s="7" t="str">
        <f>IFERROR(__xludf.DUMMYFUNCTION("""COMPUTED_VALUE"""),"DJ")</f>
        <v>DJ</v>
      </c>
      <c r="I217" s="7" t="str">
        <f>IFERROR(__xludf.DUMMYFUNCTION("""COMPUTED_VALUE"""),"beats, jazz, jungle, grime, funk, south asian grooves, hip hop, uk garage, reggae, soul to drum and bass.")</f>
        <v>beats, jazz, jungle, grime, funk, south asian grooves, hip hop, uk garage, reggae, soul to drum and bass.</v>
      </c>
      <c r="J217" s="7" t="str">
        <f>IFERROR(__xludf.DUMMYFUNCTION("""COMPUTED_VALUE"""),"robertluis@me.com")</f>
        <v>robertluis@me.com</v>
      </c>
      <c r="K217" s="57" t="str">
        <f>IFERROR(__xludf.DUMMYFUNCTION("""COMPUTED_VALUE"""),"https://www.instagram.com/robertluis/")</f>
        <v>https://www.instagram.com/robertluis/</v>
      </c>
      <c r="L217" s="7"/>
      <c r="M217" s="7"/>
      <c r="N217" s="7"/>
      <c r="O217" s="57" t="str">
        <f>IFERROR(__xludf.DUMMYFUNCTION("""COMPUTED_VALUE"""),"https://linktr.ee/robertluis")</f>
        <v>https://linktr.ee/robertluis</v>
      </c>
      <c r="P217" s="62">
        <f t="array" ref="P217">MAX(IF($A217=AB_TF!F:F,AB_TF!D:D))</f>
        <v>0</v>
      </c>
      <c r="Q217" s="63" t="str">
        <f t="array" ref="Q217">INDEX(AB_TF!C:C,MATCH(1,(AB_TF!F:F=A217)*(AB_TF!D:D=P217),0))</f>
        <v>#N/A</v>
      </c>
      <c r="R217" s="63">
        <f>COUNTIFS(AB_TF!F:F,"="&amp;A217,AB_TF!E:E,"Small*")</f>
        <v>0</v>
      </c>
      <c r="S217" s="63">
        <f>COUNTIFS(AB_TF!F:F,"="&amp;A217,AB_TF!E:E,"Medium*")</f>
        <v>0</v>
      </c>
      <c r="T217" s="63">
        <f>COUNTIFS(AB_TF!F:F,"="&amp;A217,AB_TF!E:E,"Large*")</f>
        <v>0</v>
      </c>
      <c r="U217" s="64">
        <f t="shared" si="1"/>
        <v>0</v>
      </c>
    </row>
    <row r="218">
      <c r="A218" s="7">
        <f>IFERROR(__xludf.DUMMYFUNCTION("""COMPUTED_VALUE"""),422.0)</f>
        <v>422</v>
      </c>
      <c r="B218" s="7" t="str">
        <f>IFERROR(__xludf.DUMMYFUNCTION("""COMPUTED_VALUE"""),"Sharan")</f>
        <v>Sharan</v>
      </c>
      <c r="C218" s="7" t="str">
        <f>IFERROR(__xludf.DUMMYFUNCTION("""COMPUTED_VALUE"""),"Sharan")</f>
        <v>Sharan</v>
      </c>
      <c r="D218" s="7"/>
      <c r="E218" s="7"/>
      <c r="F218" s="7" t="str">
        <f>IFERROR(__xludf.DUMMYFUNCTION("""COMPUTED_VALUE"""),"London")</f>
        <v>London</v>
      </c>
      <c r="G218" s="7"/>
      <c r="H218" s="7" t="str">
        <f>IFERROR(__xludf.DUMMYFUNCTION("""COMPUTED_VALUE"""),"DJ")</f>
        <v>DJ</v>
      </c>
      <c r="I218" s="7"/>
      <c r="J218" s="7" t="str">
        <f>IFERROR(__xludf.DUMMYFUNCTION("""COMPUTED_VALUE"""),"sharans4@hotmail.com")</f>
        <v>sharans4@hotmail.com</v>
      </c>
      <c r="K218" s="57" t="str">
        <f>IFERROR(__xludf.DUMMYFUNCTION("""COMPUTED_VALUE"""),"https://www.instagram.com/shhh.run/")</f>
        <v>https://www.instagram.com/shhh.run/</v>
      </c>
      <c r="L218" s="7"/>
      <c r="M218" s="7"/>
      <c r="N218" s="7"/>
      <c r="O218" s="7"/>
      <c r="P218" s="62">
        <f t="array" ref="P218">MAX(IF($A218=AB_TF!F:F,AB_TF!D:D))</f>
        <v>0</v>
      </c>
      <c r="Q218" s="63" t="str">
        <f t="array" ref="Q218">INDEX(AB_TF!C:C,MATCH(1,(AB_TF!F:F=A218)*(AB_TF!D:D=P218),0))</f>
        <v>#N/A</v>
      </c>
      <c r="R218" s="63">
        <f>COUNTIFS(AB_TF!F:F,"="&amp;A218,AB_TF!E:E,"Small*")</f>
        <v>0</v>
      </c>
      <c r="S218" s="63">
        <f>COUNTIFS(AB_TF!F:F,"="&amp;A218,AB_TF!E:E,"Medium*")</f>
        <v>0</v>
      </c>
      <c r="T218" s="63">
        <f>COUNTIFS(AB_TF!F:F,"="&amp;A218,AB_TF!E:E,"Large*")</f>
        <v>0</v>
      </c>
      <c r="U218" s="64">
        <f t="shared" si="1"/>
        <v>0</v>
      </c>
    </row>
    <row r="219">
      <c r="A219" s="7">
        <f>IFERROR(__xludf.DUMMYFUNCTION("""COMPUTED_VALUE"""),423.0)</f>
        <v>423</v>
      </c>
      <c r="B219" s="7" t="str">
        <f>IFERROR(__xludf.DUMMYFUNCTION("""COMPUTED_VALUE"""),"Kaya M")</f>
        <v>Kaya M</v>
      </c>
      <c r="C219" s="7" t="str">
        <f>IFERROR(__xludf.DUMMYFUNCTION("""COMPUTED_VALUE"""),"Kaya")</f>
        <v>Kaya</v>
      </c>
      <c r="D219" s="7"/>
      <c r="E219" s="7"/>
      <c r="F219" s="7" t="str">
        <f>IFERROR(__xludf.DUMMYFUNCTION("""COMPUTED_VALUE"""),"London")</f>
        <v>London</v>
      </c>
      <c r="G219" s="7"/>
      <c r="H219" s="7" t="str">
        <f>IFERROR(__xludf.DUMMYFUNCTION("""COMPUTED_VALUE"""),"DJ")</f>
        <v>DJ</v>
      </c>
      <c r="I219" s="7"/>
      <c r="J219" s="7" t="str">
        <f>IFERROR(__xludf.DUMMYFUNCTION("""COMPUTED_VALUE"""),"kaya@kanefm.com")</f>
        <v>kaya@kanefm.com</v>
      </c>
      <c r="K219" s="57" t="str">
        <f>IFERROR(__xludf.DUMMYFUNCTION("""COMPUTED_VALUE"""),"https://www.instagram.com/kayamgram/")</f>
        <v>https://www.instagram.com/kayamgram/</v>
      </c>
      <c r="L219" s="7"/>
      <c r="M219" s="7"/>
      <c r="N219" s="7"/>
      <c r="O219" s="57" t="str">
        <f>IFERROR(__xludf.DUMMYFUNCTION("""COMPUTED_VALUE"""),"https://linktr.ee/kayaatkanefm")</f>
        <v>https://linktr.ee/kayaatkanefm</v>
      </c>
      <c r="P219" s="62">
        <f t="array" ref="P219">MAX(IF($A219=AB_TF!F:F,AB_TF!D:D))</f>
        <v>0</v>
      </c>
      <c r="Q219" s="63" t="str">
        <f t="array" ref="Q219">INDEX(AB_TF!C:C,MATCH(1,(AB_TF!F:F=A219)*(AB_TF!D:D=P219),0))</f>
        <v>#N/A</v>
      </c>
      <c r="R219" s="63">
        <f>COUNTIFS(AB_TF!F:F,"="&amp;A219,AB_TF!E:E,"Small*")</f>
        <v>0</v>
      </c>
      <c r="S219" s="63">
        <f>COUNTIFS(AB_TF!F:F,"="&amp;A219,AB_TF!E:E,"Medium*")</f>
        <v>0</v>
      </c>
      <c r="T219" s="63">
        <f>COUNTIFS(AB_TF!F:F,"="&amp;A219,AB_TF!E:E,"Large*")</f>
        <v>0</v>
      </c>
      <c r="U219" s="64">
        <f t="shared" si="1"/>
        <v>0</v>
      </c>
    </row>
    <row r="220">
      <c r="A220" s="7">
        <f>IFERROR(__xludf.DUMMYFUNCTION("""COMPUTED_VALUE"""),424.0)</f>
        <v>424</v>
      </c>
      <c r="B220" s="7" t="str">
        <f>IFERROR(__xludf.DUMMYFUNCTION("""COMPUTED_VALUE"""),"V.I.V.E.K.")</f>
        <v>V.I.V.E.K.</v>
      </c>
      <c r="C220" s="7" t="str">
        <f>IFERROR(__xludf.DUMMYFUNCTION("""COMPUTED_VALUE"""),"Vivek")</f>
        <v>Vivek</v>
      </c>
      <c r="D220" s="7"/>
      <c r="E220" s="7"/>
      <c r="F220" s="7" t="str">
        <f>IFERROR(__xludf.DUMMYFUNCTION("""COMPUTED_VALUE"""),"London")</f>
        <v>London</v>
      </c>
      <c r="G220" s="7"/>
      <c r="H220" s="7" t="str">
        <f>IFERROR(__xludf.DUMMYFUNCTION("""COMPUTED_VALUE"""),"DJ")</f>
        <v>DJ</v>
      </c>
      <c r="I220" s="7" t="str">
        <f>IFERROR(__xludf.DUMMYFUNCTION("""COMPUTED_VALUE"""),"Dubstep")</f>
        <v>Dubstep</v>
      </c>
      <c r="J220" s="7" t="str">
        <f>IFERROR(__xludf.DUMMYFUNCTION("""COMPUTED_VALUE"""),"nikki@synchronicity.agency")</f>
        <v>nikki@synchronicity.agency</v>
      </c>
      <c r="K220" s="57" t="str">
        <f>IFERROR(__xludf.DUMMYFUNCTION("""COMPUTED_VALUE"""),"https://www.instagram.com/viveksystem/")</f>
        <v>https://www.instagram.com/viveksystem/</v>
      </c>
      <c r="L220" s="7"/>
      <c r="M220" s="7"/>
      <c r="N220" s="7"/>
      <c r="O220" s="57" t="str">
        <f>IFERROR(__xludf.DUMMYFUNCTION("""COMPUTED_VALUE"""),"https://vivek.bandcamp.com/")</f>
        <v>https://vivek.bandcamp.com/</v>
      </c>
      <c r="P220" s="62">
        <f t="array" ref="P220">MAX(IF($A220=AB_TF!F:F,AB_TF!D:D))</f>
        <v>0</v>
      </c>
      <c r="Q220" s="63" t="str">
        <f t="array" ref="Q220">INDEX(AB_TF!C:C,MATCH(1,(AB_TF!F:F=A220)*(AB_TF!D:D=P220),0))</f>
        <v>#N/A</v>
      </c>
      <c r="R220" s="63">
        <f>COUNTIFS(AB_TF!F:F,"="&amp;A220,AB_TF!E:E,"Small*")</f>
        <v>0</v>
      </c>
      <c r="S220" s="63">
        <f>COUNTIFS(AB_TF!F:F,"="&amp;A220,AB_TF!E:E,"Medium*")</f>
        <v>0</v>
      </c>
      <c r="T220" s="63">
        <f>COUNTIFS(AB_TF!F:F,"="&amp;A220,AB_TF!E:E,"Large*")</f>
        <v>0</v>
      </c>
      <c r="U220" s="64">
        <f t="shared" si="1"/>
        <v>0</v>
      </c>
    </row>
    <row r="221">
      <c r="A221" s="7">
        <f>IFERROR(__xludf.DUMMYFUNCTION("""COMPUTED_VALUE"""),425.0)</f>
        <v>425</v>
      </c>
      <c r="B221" s="7" t="str">
        <f>IFERROR(__xludf.DUMMYFUNCTION("""COMPUTED_VALUE"""),"4resh")</f>
        <v>4resh</v>
      </c>
      <c r="C221" s="7" t="str">
        <f>IFERROR(__xludf.DUMMYFUNCTION("""COMPUTED_VALUE"""),"Esha")</f>
        <v>Esha</v>
      </c>
      <c r="D221" s="7" t="str">
        <f>IFERROR(__xludf.DUMMYFUNCTION("""COMPUTED_VALUE"""),"she/her")</f>
        <v>she/her</v>
      </c>
      <c r="E221" s="7"/>
      <c r="F221" s="7" t="str">
        <f>IFERROR(__xludf.DUMMYFUNCTION("""COMPUTED_VALUE"""),"London")</f>
        <v>London</v>
      </c>
      <c r="G221" s="7"/>
      <c r="H221" s="7" t="str">
        <f>IFERROR(__xludf.DUMMYFUNCTION("""COMPUTED_VALUE"""),"DJ")</f>
        <v>DJ</v>
      </c>
      <c r="I221" s="7" t="str">
        <f>IFERROR(__xludf.DUMMYFUNCTION("""COMPUTED_VALUE"""),"Hip hop, rap")</f>
        <v>Hip hop, rap</v>
      </c>
      <c r="J221" s="7" t="str">
        <f>IFERROR(__xludf.DUMMYFUNCTION("""COMPUTED_VALUE"""),"esha.sikander@gmail.com")</f>
        <v>esha.sikander@gmail.com</v>
      </c>
      <c r="K221" s="57" t="str">
        <f>IFERROR(__xludf.DUMMYFUNCTION("""COMPUTED_VALUE"""),"https://www.instagram.com/__4resh/")</f>
        <v>https://www.instagram.com/__4resh/</v>
      </c>
      <c r="L221" s="7"/>
      <c r="M221" s="7"/>
      <c r="N221" s="7"/>
      <c r="O221" s="7"/>
      <c r="P221" s="62">
        <f t="array" ref="P221">MAX(IF($A221=AB_TF!F:F,AB_TF!D:D))</f>
        <v>0</v>
      </c>
      <c r="Q221" s="63" t="str">
        <f t="array" ref="Q221">INDEX(AB_TF!C:C,MATCH(1,(AB_TF!F:F=A221)*(AB_TF!D:D=P221),0))</f>
        <v>#N/A</v>
      </c>
      <c r="R221" s="63">
        <f>COUNTIFS(AB_TF!F:F,"="&amp;A221,AB_TF!E:E,"Small*")</f>
        <v>0</v>
      </c>
      <c r="S221" s="63">
        <f>COUNTIFS(AB_TF!F:F,"="&amp;A221,AB_TF!E:E,"Medium*")</f>
        <v>0</v>
      </c>
      <c r="T221" s="63">
        <f>COUNTIFS(AB_TF!F:F,"="&amp;A221,AB_TF!E:E,"Large*")</f>
        <v>0</v>
      </c>
      <c r="U221" s="64">
        <f t="shared" si="1"/>
        <v>0</v>
      </c>
    </row>
    <row r="222">
      <c r="A222" s="7">
        <f>IFERROR(__xludf.DUMMYFUNCTION("""COMPUTED_VALUE"""),426.0)</f>
        <v>426</v>
      </c>
      <c r="B222" s="7" t="str">
        <f>IFERROR(__xludf.DUMMYFUNCTION("""COMPUTED_VALUE"""),"Pia Collada")</f>
        <v>Pia Collada</v>
      </c>
      <c r="C222" s="7"/>
      <c r="D222" s="7" t="str">
        <f>IFERROR(__xludf.DUMMYFUNCTION("""COMPUTED_VALUE"""),"she/her")</f>
        <v>she/her</v>
      </c>
      <c r="E222" s="7"/>
      <c r="F222" s="7"/>
      <c r="G222" s="7" t="str">
        <f>IFERROR(__xludf.DUMMYFUNCTION("""COMPUTED_VALUE"""),"India, Goa")</f>
        <v>India, Goa</v>
      </c>
      <c r="H222" s="7" t="str">
        <f>IFERROR(__xludf.DUMMYFUNCTION("""COMPUTED_VALUE"""),"DJ")</f>
        <v>DJ</v>
      </c>
      <c r="I222" s="7" t="str">
        <f>IFERROR(__xludf.DUMMYFUNCTION("""COMPUTED_VALUE"""),"UK Breaks, Bass, Techno, ")</f>
        <v>UK Breaks, Bass, Techno, </v>
      </c>
      <c r="J222" s="7" t="str">
        <f>IFERROR(__xludf.DUMMYFUNCTION("""COMPUTED_VALUE"""),"Piacollada@gmail.com")</f>
        <v>Piacollada@gmail.com</v>
      </c>
      <c r="K222" s="57" t="str">
        <f>IFERROR(__xludf.DUMMYFUNCTION("""COMPUTED_VALUE"""),"https://www.instagram.com/piacollada/")</f>
        <v>https://www.instagram.com/piacollada/</v>
      </c>
      <c r="L222" s="7"/>
      <c r="M222" s="7"/>
      <c r="N222" s="7"/>
      <c r="O222" s="57" t="str">
        <f>IFERROR(__xludf.DUMMYFUNCTION("""COMPUTED_VALUE"""),"https://linktr.ee/piacollada")</f>
        <v>https://linktr.ee/piacollada</v>
      </c>
      <c r="P222" s="62">
        <f t="array" ref="P222">MAX(IF($A222=AB_TF!F:F,AB_TF!D:D))</f>
        <v>0</v>
      </c>
      <c r="Q222" s="63" t="str">
        <f t="array" ref="Q222">INDEX(AB_TF!C:C,MATCH(1,(AB_TF!F:F=A222)*(AB_TF!D:D=P222),0))</f>
        <v>#N/A</v>
      </c>
      <c r="R222" s="63">
        <f>COUNTIFS(AB_TF!F:F,"="&amp;A222,AB_TF!E:E,"Small*")</f>
        <v>0</v>
      </c>
      <c r="S222" s="63">
        <f>COUNTIFS(AB_TF!F:F,"="&amp;A222,AB_TF!E:E,"Medium*")</f>
        <v>0</v>
      </c>
      <c r="T222" s="63">
        <f>COUNTIFS(AB_TF!F:F,"="&amp;A222,AB_TF!E:E,"Large*")</f>
        <v>0</v>
      </c>
      <c r="U222" s="64">
        <f t="shared" si="1"/>
        <v>0</v>
      </c>
    </row>
    <row r="223">
      <c r="A223" s="7"/>
      <c r="B223" s="7" t="str">
        <f>IFERROR(__xludf.DUMMYFUNCTION("""COMPUTED_VALUE"""),"DJ Gilla")</f>
        <v>DJ Gilla</v>
      </c>
      <c r="C223" s="7" t="str">
        <f>IFERROR(__xludf.DUMMYFUNCTION("""COMPUTED_VALUE"""),"Aly")</f>
        <v>Aly</v>
      </c>
      <c r="D223" s="7" t="str">
        <f>IFERROR(__xludf.DUMMYFUNCTION("""COMPUTED_VALUE"""),"he/him")</f>
        <v>he/him</v>
      </c>
      <c r="E223" s="7"/>
      <c r="F223" s="7" t="str">
        <f>IFERROR(__xludf.DUMMYFUNCTION("""COMPUTED_VALUE"""),"London")</f>
        <v>London</v>
      </c>
      <c r="G223" s="7"/>
      <c r="H223" s="7" t="str">
        <f>IFERROR(__xludf.DUMMYFUNCTION("""COMPUTED_VALUE"""),"DJ")</f>
        <v>DJ</v>
      </c>
      <c r="I223" s="7" t="str">
        <f>IFERROR(__xludf.DUMMYFUNCTION("""COMPUTED_VALUE"""),"Jazz, Soul, Groove, First Word Records Owner")</f>
        <v>Jazz, Soul, Groove, First Word Records Owner</v>
      </c>
      <c r="J223" s="7" t="str">
        <f>IFERROR(__xludf.DUMMYFUNCTION("""COMPUTED_VALUE"""),"aly@firstwordrecords.com ")</f>
        <v>aly@firstwordrecords.com </v>
      </c>
      <c r="K223" s="57" t="str">
        <f>IFERROR(__xludf.DUMMYFUNCTION("""COMPUTED_VALUE"""),"https://www.instagram.com/djgillaldn/")</f>
        <v>https://www.instagram.com/djgillaldn/</v>
      </c>
      <c r="L223" s="7"/>
      <c r="M223" s="7"/>
      <c r="N223" s="7"/>
      <c r="O223" s="57" t="str">
        <f>IFERROR(__xludf.DUMMYFUNCTION("""COMPUTED_VALUE"""),"https://linktr.ee/djgillaldn")</f>
        <v>https://linktr.ee/djgillaldn</v>
      </c>
      <c r="P223" s="62">
        <f t="array" ref="P223">MAX(IF($A223=AB_TF!F:F,AB_TF!D:D))</f>
        <v>0</v>
      </c>
      <c r="Q223" s="63" t="str">
        <f t="array" ref="Q223">INDEX(AB_TF!C:C,MATCH(1,(AB_TF!F:F=A223)*(AB_TF!D:D=P223),0))</f>
        <v/>
      </c>
      <c r="R223" s="63">
        <f>COUNTIFS(AB_TF!F:F,"="&amp;A223,AB_TF!E:E,"Small*")</f>
        <v>0</v>
      </c>
      <c r="S223" s="63">
        <f>COUNTIFS(AB_TF!F:F,"="&amp;A223,AB_TF!E:E,"Medium*")</f>
        <v>0</v>
      </c>
      <c r="T223" s="63">
        <f>COUNTIFS(AB_TF!F:F,"="&amp;A223,AB_TF!E:E,"Large*")</f>
        <v>0</v>
      </c>
      <c r="U223" s="64">
        <f t="shared" si="1"/>
        <v>0</v>
      </c>
    </row>
    <row r="224">
      <c r="A224" s="7">
        <f>IFERROR(__xludf.DUMMYFUNCTION("""COMPUTED_VALUE"""),427.0)</f>
        <v>427</v>
      </c>
      <c r="B224" s="7" t="str">
        <f>IFERROR(__xludf.DUMMYFUNCTION("""COMPUTED_VALUE"""),"Alootwins")</f>
        <v>Alootwins</v>
      </c>
      <c r="C224" s="7" t="str">
        <f>IFERROR(__xludf.DUMMYFUNCTION("""COMPUTED_VALUE"""),"Aalia ")</f>
        <v>Aalia </v>
      </c>
      <c r="D224" s="7" t="str">
        <f>IFERROR(__xludf.DUMMYFUNCTION("""COMPUTED_VALUE"""),"She")</f>
        <v>She</v>
      </c>
      <c r="E224" s="7" t="str">
        <f>IFERROR(__xludf.DUMMYFUNCTION("""COMPUTED_VALUE"""),"Pakistan ")</f>
        <v>Pakistan </v>
      </c>
      <c r="F224" s="7" t="str">
        <f>IFERROR(__xludf.DUMMYFUNCTION("""COMPUTED_VALUE"""),"London")</f>
        <v>London</v>
      </c>
      <c r="G224" s="7"/>
      <c r="H224" s="7" t="str">
        <f>IFERROR(__xludf.DUMMYFUNCTION("""COMPUTED_VALUE"""),"DJ")</f>
        <v>DJ</v>
      </c>
      <c r="I224" s="7" t="str">
        <f>IFERROR(__xludf.DUMMYFUNCTION("""COMPUTED_VALUE"""),"RnB, Hiphop, Afrobeats, Baile, Bhangra, Bollywood")</f>
        <v>RnB, Hiphop, Afrobeats, Baile, Bhangra, Bollywood</v>
      </c>
      <c r="J224" s="7" t="str">
        <f>IFERROR(__xludf.DUMMYFUNCTION("""COMPUTED_VALUE"""),"alootwins@yahoo.com")</f>
        <v>alootwins@yahoo.com</v>
      </c>
      <c r="K224" s="7"/>
      <c r="L224" s="57" t="str">
        <f>IFERROR(__xludf.DUMMYFUNCTION("""COMPUTED_VALUE"""),"https://on.soundcloud.com/MWSvaX8kC2NJqTx18")</f>
        <v>https://on.soundcloud.com/MWSvaX8kC2NJqTx18</v>
      </c>
      <c r="M224" s="57" t="str">
        <f>IFERROR(__xludf.DUMMYFUNCTION("""COMPUTED_VALUE"""),"https://www.tiktok.com/@alootwins?_t=8og5EiT6fkv&amp;_r=1")</f>
        <v>https://www.tiktok.com/@alootwins?_t=8og5EiT6fkv&amp;_r=1</v>
      </c>
      <c r="N224" s="7"/>
      <c r="O224" s="7"/>
      <c r="P224" s="62">
        <f t="array" ref="P224">MAX(IF($A224=AB_TF!F:F,AB_TF!D:D))</f>
        <v>0</v>
      </c>
      <c r="Q224" s="63" t="str">
        <f t="array" ref="Q224">INDEX(AB_TF!C:C,MATCH(1,(AB_TF!F:F=A224)*(AB_TF!D:D=P224),0))</f>
        <v>#N/A</v>
      </c>
      <c r="R224" s="63">
        <f>COUNTIFS(AB_TF!F:F,"="&amp;A224,AB_TF!E:E,"Small*")</f>
        <v>0</v>
      </c>
      <c r="S224" s="63">
        <f>COUNTIFS(AB_TF!F:F,"="&amp;A224,AB_TF!E:E,"Medium*")</f>
        <v>0</v>
      </c>
      <c r="T224" s="63">
        <f>COUNTIFS(AB_TF!F:F,"="&amp;A224,AB_TF!E:E,"Large*")</f>
        <v>0</v>
      </c>
      <c r="U224" s="64">
        <f t="shared" si="1"/>
        <v>0</v>
      </c>
    </row>
    <row r="225">
      <c r="A225" s="7">
        <f>IFERROR(__xludf.DUMMYFUNCTION("""COMPUTED_VALUE"""),428.0)</f>
        <v>428</v>
      </c>
      <c r="B225" s="7" t="str">
        <f>IFERROR(__xludf.DUMMYFUNCTION("""COMPUTED_VALUE"""),"JAY TAPES")</f>
        <v>JAY TAPES</v>
      </c>
      <c r="C225" s="7" t="str">
        <f>IFERROR(__xludf.DUMMYFUNCTION("""COMPUTED_VALUE"""),"Vijay")</f>
        <v>Vijay</v>
      </c>
      <c r="D225" s="7" t="str">
        <f>IFERROR(__xludf.DUMMYFUNCTION("""COMPUTED_VALUE"""),"He/him")</f>
        <v>He/him</v>
      </c>
      <c r="E225" s="7" t="str">
        <f>IFERROR(__xludf.DUMMYFUNCTION("""COMPUTED_VALUE"""),"Indian")</f>
        <v>Indian</v>
      </c>
      <c r="F225" s="7" t="str">
        <f>IFERROR(__xludf.DUMMYFUNCTION("""COMPUTED_VALUE"""),"London")</f>
        <v>London</v>
      </c>
      <c r="G225" s="7"/>
      <c r="H225" s="7" t="str">
        <f>IFERROR(__xludf.DUMMYFUNCTION("""COMPUTED_VALUE"""),"DJ")</f>
        <v>DJ</v>
      </c>
      <c r="I225" s="7" t="str">
        <f>IFERROR(__xludf.DUMMYFUNCTION("""COMPUTED_VALUE"""),"House, techno, minimal, baile, broken beat, jersey club")</f>
        <v>House, techno, minimal, baile, broken beat, jersey club</v>
      </c>
      <c r="J225" s="7" t="str">
        <f>IFERROR(__xludf.DUMMYFUNCTION("""COMPUTED_VALUE"""),"jaytapesmusic@gmail.com")</f>
        <v>jaytapesmusic@gmail.com</v>
      </c>
      <c r="K225" s="57" t="str">
        <f>IFERROR(__xludf.DUMMYFUNCTION("""COMPUTED_VALUE"""),"http://instagram.com/jay.tapes")</f>
        <v>http://instagram.com/jay.tapes</v>
      </c>
      <c r="L225" s="57" t="str">
        <f>IFERROR(__xludf.DUMMYFUNCTION("""COMPUTED_VALUE"""),"soundcloud.com/jaytapes")</f>
        <v>soundcloud.com/jaytapes</v>
      </c>
      <c r="M225" s="7"/>
      <c r="N225" s="57" t="str">
        <f>IFERROR(__xludf.DUMMYFUNCTION("""COMPUTED_VALUE"""),"https://www.mixcloud.com/jaytapesmusic/")</f>
        <v>https://www.mixcloud.com/jaytapesmusic/</v>
      </c>
      <c r="O225" s="57" t="str">
        <f>IFERROR(__xludf.DUMMYFUNCTION("""COMPUTED_VALUE"""),"https://www.dropbox.com/scl/fo/8rzywvolev4ty02xalhf1/AJkk0fIkKcjZrvfku2_iTiE?rlkey=rm3b7pzl1txx75vsjy2ex6ghj&amp;dl=0")</f>
        <v>https://www.dropbox.com/scl/fo/8rzywvolev4ty02xalhf1/AJkk0fIkKcjZrvfku2_iTiE?rlkey=rm3b7pzl1txx75vsjy2ex6ghj&amp;dl=0</v>
      </c>
      <c r="P225" s="62">
        <f t="array" ref="P225">MAX(IF($A225=AB_TF!F:F,AB_TF!D:D))</f>
        <v>0</v>
      </c>
      <c r="Q225" s="63" t="str">
        <f t="array" ref="Q225">INDEX(AB_TF!C:C,MATCH(1,(AB_TF!F:F=A225)*(AB_TF!D:D=P225),0))</f>
        <v>#N/A</v>
      </c>
      <c r="R225" s="63">
        <f>COUNTIFS(AB_TF!F:F,"="&amp;A225,AB_TF!E:E,"Small*")</f>
        <v>0</v>
      </c>
      <c r="S225" s="63">
        <f>COUNTIFS(AB_TF!F:F,"="&amp;A225,AB_TF!E:E,"Medium*")</f>
        <v>0</v>
      </c>
      <c r="T225" s="63">
        <f>COUNTIFS(AB_TF!F:F,"="&amp;A225,AB_TF!E:E,"Large*")</f>
        <v>0</v>
      </c>
      <c r="U225" s="64">
        <f t="shared" si="1"/>
        <v>0</v>
      </c>
    </row>
    <row r="226">
      <c r="A226" s="7">
        <f>IFERROR(__xludf.DUMMYFUNCTION("""COMPUTED_VALUE"""),429.0)</f>
        <v>429</v>
      </c>
      <c r="B226" s="7" t="str">
        <f>IFERROR(__xludf.DUMMYFUNCTION("""COMPUTED_VALUE"""),"Karishma")</f>
        <v>Karishma</v>
      </c>
      <c r="C226" s="7" t="str">
        <f>IFERROR(__xludf.DUMMYFUNCTION("""COMPUTED_VALUE"""),"Karishma")</f>
        <v>Karishma</v>
      </c>
      <c r="D226" s="7" t="str">
        <f>IFERROR(__xludf.DUMMYFUNCTION("""COMPUTED_VALUE"""),"She/her")</f>
        <v>She/her</v>
      </c>
      <c r="E226" s="7" t="str">
        <f>IFERROR(__xludf.DUMMYFUNCTION("""COMPUTED_VALUE"""),"Indian - Punjabi")</f>
        <v>Indian - Punjabi</v>
      </c>
      <c r="F226" s="7" t="str">
        <f>IFERROR(__xludf.DUMMYFUNCTION("""COMPUTED_VALUE"""),"London")</f>
        <v>London</v>
      </c>
      <c r="G226" s="7" t="str">
        <f>IFERROR(__xludf.DUMMYFUNCTION("""COMPUTED_VALUE"""),"n/a")</f>
        <v>n/a</v>
      </c>
      <c r="H226" s="7" t="str">
        <f>IFERROR(__xludf.DUMMYFUNCTION("""COMPUTED_VALUE"""),"DJ")</f>
        <v>DJ</v>
      </c>
      <c r="I226" s="7" t="str">
        <f>IFERROR(__xludf.DUMMYFUNCTION("""COMPUTED_VALUE"""),"Jungle/dnb ")</f>
        <v>Jungle/dnb </v>
      </c>
      <c r="J226" s="7" t="str">
        <f>IFERROR(__xludf.DUMMYFUNCTION("""COMPUTED_VALUE"""),"karishmaphandj@gmail.com")</f>
        <v>karishmaphandj@gmail.com</v>
      </c>
      <c r="K226" s="57" t="str">
        <f>IFERROR(__xludf.DUMMYFUNCTION("""COMPUTED_VALUE"""),"https://www.instagram.com/_.k.arishma/")</f>
        <v>https://www.instagram.com/_.k.arishma/</v>
      </c>
      <c r="L226" s="57" t="str">
        <f>IFERROR(__xludf.DUMMYFUNCTION("""COMPUTED_VALUE"""),"https://soundcloud.com/karishma-phandey")</f>
        <v>https://soundcloud.com/karishma-phandey</v>
      </c>
      <c r="M226" s="7" t="str">
        <f>IFERROR(__xludf.DUMMYFUNCTION("""COMPUTED_VALUE"""),"n/a")</f>
        <v>n/a</v>
      </c>
      <c r="N226" s="7" t="str">
        <f>IFERROR(__xludf.DUMMYFUNCTION("""COMPUTED_VALUE"""),"n/a")</f>
        <v>n/a</v>
      </c>
      <c r="O226" s="57" t="str">
        <f>IFERROR(__xludf.DUMMYFUNCTION("""COMPUTED_VALUE"""),"https://soundcloud.com/karishma-phandey/liquid-funk-2?si=8b67b5b2a59243df810722be45205bd1&amp;utm_source=clipboard&amp;utm_medium=text&amp;utm_campaign=social_sharing")</f>
        <v>https://soundcloud.com/karishma-phandey/liquid-funk-2?si=8b67b5b2a59243df810722be45205bd1&amp;utm_source=clipboard&amp;utm_medium=text&amp;utm_campaign=social_sharing</v>
      </c>
      <c r="P226" s="62">
        <f t="array" ref="P226">MAX(IF($A226=AB_TF!F:F,AB_TF!D:D))</f>
        <v>0</v>
      </c>
      <c r="Q226" s="63" t="str">
        <f t="array" ref="Q226">INDEX(AB_TF!C:C,MATCH(1,(AB_TF!F:F=A226)*(AB_TF!D:D=P226),0))</f>
        <v>#N/A</v>
      </c>
      <c r="R226" s="63">
        <f>COUNTIFS(AB_TF!F:F,"="&amp;A226,AB_TF!E:E,"Small*")</f>
        <v>0</v>
      </c>
      <c r="S226" s="63">
        <f>COUNTIFS(AB_TF!F:F,"="&amp;A226,AB_TF!E:E,"Medium*")</f>
        <v>0</v>
      </c>
      <c r="T226" s="63">
        <f>COUNTIFS(AB_TF!F:F,"="&amp;A226,AB_TF!E:E,"Large*")</f>
        <v>0</v>
      </c>
      <c r="U226" s="64">
        <f t="shared" si="1"/>
        <v>0</v>
      </c>
    </row>
    <row r="227">
      <c r="A227" s="7">
        <f>IFERROR(__xludf.DUMMYFUNCTION("""COMPUTED_VALUE"""),430.0)</f>
        <v>430</v>
      </c>
      <c r="B227" s="7" t="str">
        <f>IFERROR(__xludf.DUMMYFUNCTION("""COMPUTED_VALUE"""),"Nush/DJ SK Nush")</f>
        <v>Nush/DJ SK Nush</v>
      </c>
      <c r="C227" s="7" t="str">
        <f>IFERROR(__xludf.DUMMYFUNCTION("""COMPUTED_VALUE"""),"Nush")</f>
        <v>Nush</v>
      </c>
      <c r="D227" s="7" t="str">
        <f>IFERROR(__xludf.DUMMYFUNCTION("""COMPUTED_VALUE"""),"They/them")</f>
        <v>They/them</v>
      </c>
      <c r="E227" s="7" t="str">
        <f>IFERROR(__xludf.DUMMYFUNCTION("""COMPUTED_VALUE"""),"British-born Sri Lankan Tamil ")</f>
        <v>British-born Sri Lankan Tamil </v>
      </c>
      <c r="F227" s="7" t="str">
        <f>IFERROR(__xludf.DUMMYFUNCTION("""COMPUTED_VALUE"""),"London")</f>
        <v>London</v>
      </c>
      <c r="G227" s="7"/>
      <c r="H227" s="7" t="str">
        <f>IFERROR(__xludf.DUMMYFUNCTION("""COMPUTED_VALUE"""),"DJ, Live Act")</f>
        <v>DJ, Live Act</v>
      </c>
      <c r="I227" s="7" t="str">
        <f>IFERROR(__xludf.DUMMYFUNCTION("""COMPUTED_VALUE"""),"Lofi World Fusion (as an artist) and open format for DJing but mainly: Tamil, RnB, Afrobeats, Bashment")</f>
        <v>Lofi World Fusion (as an artist) and open format for DJing but mainly: Tamil, RnB, Afrobeats, Bashment</v>
      </c>
      <c r="J227" s="7" t="str">
        <f>IFERROR(__xludf.DUMMYFUNCTION("""COMPUTED_VALUE"""),"admin@nush.studio ")</f>
        <v>admin@nush.studio </v>
      </c>
      <c r="K227" s="7" t="str">
        <f>IFERROR(__xludf.DUMMYFUNCTION("""COMPUTED_VALUE"""),"https://www.instagram.com/musicbynush https://www.instagram.com/mixedbynush ")</f>
        <v>https://www.instagram.com/musicbynush https://www.instagram.com/mixedbynush </v>
      </c>
      <c r="L227" s="57" t="str">
        <f>IFERROR(__xludf.DUMMYFUNCTION("""COMPUTED_VALUE"""),"https://www.soundcloud.com/musicbynush ")</f>
        <v>https://www.soundcloud.com/musicbynush </v>
      </c>
      <c r="M227" s="57" t="str">
        <f>IFERROR(__xludf.DUMMYFUNCTION("""COMPUTED_VALUE"""),"https://www.tiktok.com/musicbynush ")</f>
        <v>https://www.tiktok.com/musicbynush </v>
      </c>
      <c r="N227" s="7"/>
      <c r="O227" s="7" t="str">
        <f>IFERROR(__xludf.DUMMYFUNCTION("""COMPUTED_VALUE"""),"https://www.soundcloud.com/musicbynush 
My new mixes are solely on @mixedbynush on instagram!  ")</f>
        <v>https://www.soundcloud.com/musicbynush 
My new mixes are solely on @mixedbynush on instagram!  </v>
      </c>
      <c r="P227" s="62">
        <f t="array" ref="P227">MAX(IF($A227=AB_TF!F:F,AB_TF!D:D))</f>
        <v>0</v>
      </c>
      <c r="Q227" s="63" t="str">
        <f t="array" ref="Q227">INDEX(AB_TF!C:C,MATCH(1,(AB_TF!F:F=A227)*(AB_TF!D:D=P227),0))</f>
        <v>#N/A</v>
      </c>
      <c r="R227" s="63">
        <f>COUNTIFS(AB_TF!F:F,"="&amp;A227,AB_TF!E:E,"Small*")</f>
        <v>0</v>
      </c>
      <c r="S227" s="63">
        <f>COUNTIFS(AB_TF!F:F,"="&amp;A227,AB_TF!E:E,"Medium*")</f>
        <v>0</v>
      </c>
      <c r="T227" s="63">
        <f>COUNTIFS(AB_TF!F:F,"="&amp;A227,AB_TF!E:E,"Large*")</f>
        <v>0</v>
      </c>
      <c r="U227" s="64">
        <f t="shared" si="1"/>
        <v>0</v>
      </c>
    </row>
    <row r="228">
      <c r="A228" s="7"/>
      <c r="B228" s="7" t="str">
        <f>IFERROR(__xludf.DUMMYFUNCTION("""COMPUTED_VALUE"""),"TUSHAR")</f>
        <v>TUSHAR</v>
      </c>
      <c r="C228" s="7" t="str">
        <f>IFERROR(__xludf.DUMMYFUNCTION("""COMPUTED_VALUE"""),"Tushar Singh")</f>
        <v>Tushar Singh</v>
      </c>
      <c r="D228" s="7" t="str">
        <f>IFERROR(__xludf.DUMMYFUNCTION("""COMPUTED_VALUE"""),"He/Him")</f>
        <v>He/Him</v>
      </c>
      <c r="E228" s="7" t="str">
        <f>IFERROR(__xludf.DUMMYFUNCTION("""COMPUTED_VALUE"""),"Singaporean Indian")</f>
        <v>Singaporean Indian</v>
      </c>
      <c r="F228" s="7"/>
      <c r="G228" s="7" t="str">
        <f>IFERROR(__xludf.DUMMYFUNCTION("""COMPUTED_VALUE"""),"Melbourne, Australia")</f>
        <v>Melbourne, Australia</v>
      </c>
      <c r="H228" s="7" t="str">
        <f>IFERROR(__xludf.DUMMYFUNCTION("""COMPUTED_VALUE"""),"Live Act")</f>
        <v>Live Act</v>
      </c>
      <c r="I228" s="7" t="str">
        <f>IFERROR(__xludf.DUMMYFUNCTION("""COMPUTED_VALUE"""),"Indie")</f>
        <v>Indie</v>
      </c>
      <c r="J228" s="7" t="str">
        <f>IFERROR(__xludf.DUMMYFUNCTION("""COMPUTED_VALUE"""),"tusharmusic.aus@gmail.com")</f>
        <v>tusharmusic.aus@gmail.com</v>
      </c>
      <c r="K228" s="57" t="str">
        <f>IFERROR(__xludf.DUMMYFUNCTION("""COMPUTED_VALUE"""),"https://www.instagram.com/tusharmusicaus/")</f>
        <v>https://www.instagram.com/tusharmusicaus/</v>
      </c>
      <c r="L228" s="57" t="str">
        <f>IFERROR(__xludf.DUMMYFUNCTION("""COMPUTED_VALUE"""),"https://soundcloud.com/tusharaus")</f>
        <v>https://soundcloud.com/tusharaus</v>
      </c>
      <c r="M228" s="57" t="str">
        <f>IFERROR(__xludf.DUMMYFUNCTION("""COMPUTED_VALUE"""),"https://www.tiktok.com/@tusharmusicaus")</f>
        <v>https://www.tiktok.com/@tusharmusicaus</v>
      </c>
      <c r="N228" s="7"/>
      <c r="O228" s="7"/>
      <c r="P228" s="62">
        <f t="array" ref="P228">MAX(IF($A228=AB_TF!F:F,AB_TF!D:D))</f>
        <v>0</v>
      </c>
      <c r="Q228" s="63" t="str">
        <f t="array" ref="Q228">INDEX(AB_TF!C:C,MATCH(1,(AB_TF!F:F=A228)*(AB_TF!D:D=P228),0))</f>
        <v/>
      </c>
      <c r="R228" s="63">
        <f>COUNTIFS(AB_TF!F:F,"="&amp;A228,AB_TF!E:E,"Small*")</f>
        <v>0</v>
      </c>
      <c r="S228" s="63">
        <f>COUNTIFS(AB_TF!F:F,"="&amp;A228,AB_TF!E:E,"Medium*")</f>
        <v>0</v>
      </c>
      <c r="T228" s="63">
        <f>COUNTIFS(AB_TF!F:F,"="&amp;A228,AB_TF!E:E,"Large*")</f>
        <v>0</v>
      </c>
      <c r="U228" s="64">
        <f t="shared" si="1"/>
        <v>0</v>
      </c>
    </row>
    <row r="229">
      <c r="A229" s="7">
        <f>IFERROR(__xludf.DUMMYFUNCTION("""COMPUTED_VALUE"""),432.0)</f>
        <v>432</v>
      </c>
      <c r="B229" s="7" t="str">
        <f>IFERROR(__xludf.DUMMYFUNCTION("""COMPUTED_VALUE"""),"Sofia Gillani")</f>
        <v>Sofia Gillani</v>
      </c>
      <c r="C229" s="7" t="str">
        <f>IFERROR(__xludf.DUMMYFUNCTION("""COMPUTED_VALUE"""),"Sofia Gillani")</f>
        <v>Sofia Gillani</v>
      </c>
      <c r="D229" s="7" t="str">
        <f>IFERROR(__xludf.DUMMYFUNCTION("""COMPUTED_VALUE"""),"She/Her")</f>
        <v>She/Her</v>
      </c>
      <c r="E229" s="7" t="str">
        <f>IFERROR(__xludf.DUMMYFUNCTION("""COMPUTED_VALUE"""),"Pakistani")</f>
        <v>Pakistani</v>
      </c>
      <c r="F229" s="7" t="str">
        <f>IFERROR(__xludf.DUMMYFUNCTION("""COMPUTED_VALUE"""),"London")</f>
        <v>London</v>
      </c>
      <c r="G229" s="7" t="str">
        <f>IFERROR(__xludf.DUMMYFUNCTION("""COMPUTED_VALUE"""),"N/A")</f>
        <v>N/A</v>
      </c>
      <c r="H229" s="7" t="str">
        <f>IFERROR(__xludf.DUMMYFUNCTION("""COMPUTED_VALUE"""),"Live Act")</f>
        <v>Live Act</v>
      </c>
      <c r="I229" s="7" t="str">
        <f>IFERROR(__xludf.DUMMYFUNCTION("""COMPUTED_VALUE"""),"Avant-garde Pop")</f>
        <v>Avant-garde Pop</v>
      </c>
      <c r="J229" s="7" t="str">
        <f>IFERROR(__xludf.DUMMYFUNCTION("""COMPUTED_VALUE"""),"sofiagillani101@outlook.com")</f>
        <v>sofiagillani101@outlook.com</v>
      </c>
      <c r="K229" s="57" t="str">
        <f>IFERROR(__xludf.DUMMYFUNCTION("""COMPUTED_VALUE"""),"https://www.instagram.com/sofia.aneesa.gillani/")</f>
        <v>https://www.instagram.com/sofia.aneesa.gillani/</v>
      </c>
      <c r="L229" s="57" t="str">
        <f>IFERROR(__xludf.DUMMYFUNCTION("""COMPUTED_VALUE"""),"https://soundcloud.com/user-561233895")</f>
        <v>https://soundcloud.com/user-561233895</v>
      </c>
      <c r="M229" s="7" t="str">
        <f>IFERROR(__xludf.DUMMYFUNCTION("""COMPUTED_VALUE"""),"@sofiagillanimusic")</f>
        <v>@sofiagillanimusic</v>
      </c>
      <c r="N229" s="57" t="str">
        <f>IFERROR(__xludf.DUMMYFUNCTION("""COMPUTED_VALUE"""),"https://m.youtube.com/@sofiagillani1198")</f>
        <v>https://m.youtube.com/@sofiagillani1198</v>
      </c>
      <c r="O229" s="7" t="str">
        <f>IFERROR(__xludf.DUMMYFUNCTION("""COMPUTED_VALUE"""),"https://www.youtube.com/watch?v=rdZ1Rl4PFiQ
 https://youtu.be/wYb25-P53wY
https://linktr.ee/sofiagillani
https://open.spotify.com/artist/1SArP6jyVpjEAnspLWJTwA
https://www.facebook.com/sofiaaneesagillani
https://sofiagillani7.wixsite.com/website
")</f>
        <v>https://www.youtube.com/watch?v=rdZ1Rl4PFiQ
 https://youtu.be/wYb25-P53wY
https://linktr.ee/sofiagillani
https://open.spotify.com/artist/1SArP6jyVpjEAnspLWJTwA
https://www.facebook.com/sofiaaneesagillani
https://sofiagillani7.wixsite.com/website
</v>
      </c>
      <c r="P229" s="62">
        <f t="array" ref="P229">MAX(IF($A229=AB_TF!F:F,AB_TF!D:D))</f>
        <v>0</v>
      </c>
      <c r="Q229" s="63" t="str">
        <f t="array" ref="Q229">INDEX(AB_TF!C:C,MATCH(1,(AB_TF!F:F=A229)*(AB_TF!D:D=P229),0))</f>
        <v>#N/A</v>
      </c>
      <c r="R229" s="63">
        <f>COUNTIFS(AB_TF!F:F,"="&amp;A229,AB_TF!E:E,"Small*")</f>
        <v>0</v>
      </c>
      <c r="S229" s="63">
        <f>COUNTIFS(AB_TF!F:F,"="&amp;A229,AB_TF!E:E,"Medium*")</f>
        <v>0</v>
      </c>
      <c r="T229" s="63">
        <f>COUNTIFS(AB_TF!F:F,"="&amp;A229,AB_TF!E:E,"Large*")</f>
        <v>0</v>
      </c>
      <c r="U229" s="64">
        <f t="shared" si="1"/>
        <v>0</v>
      </c>
    </row>
    <row r="230">
      <c r="A230" s="7">
        <f>IFERROR(__xludf.DUMMYFUNCTION("""COMPUTED_VALUE"""),433.0)</f>
        <v>433</v>
      </c>
      <c r="B230" s="7" t="str">
        <f>IFERROR(__xludf.DUMMYFUNCTION("""COMPUTED_VALUE"""),"Meds")</f>
        <v>Meds</v>
      </c>
      <c r="C230" s="7" t="str">
        <f>IFERROR(__xludf.DUMMYFUNCTION("""COMPUTED_VALUE"""),"Mehedi")</f>
        <v>Mehedi</v>
      </c>
      <c r="D230" s="7" t="str">
        <f>IFERROR(__xludf.DUMMYFUNCTION("""COMPUTED_VALUE"""),"He/Him")</f>
        <v>He/Him</v>
      </c>
      <c r="E230" s="7" t="str">
        <f>IFERROR(__xludf.DUMMYFUNCTION("""COMPUTED_VALUE"""),"Bangladeshi")</f>
        <v>Bangladeshi</v>
      </c>
      <c r="F230" s="7" t="str">
        <f>IFERROR(__xludf.DUMMYFUNCTION("""COMPUTED_VALUE"""),"London, Leeds, Luton")</f>
        <v>London, Leeds, Luton</v>
      </c>
      <c r="G230" s="7"/>
      <c r="H230" s="7" t="str">
        <f>IFERROR(__xludf.DUMMYFUNCTION("""COMPUTED_VALUE"""),"DJ")</f>
        <v>DJ</v>
      </c>
      <c r="I230" s="7" t="str">
        <f>IFERROR(__xludf.DUMMYFUNCTION("""COMPUTED_VALUE"""),"House &amp; Techno")</f>
        <v>House &amp; Techno</v>
      </c>
      <c r="J230" s="7" t="str">
        <f>IFERROR(__xludf.DUMMYFUNCTION("""COMPUTED_VALUE"""),"Medsmusicc@gmail.com")</f>
        <v>Medsmusicc@gmail.com</v>
      </c>
      <c r="K230" s="7" t="str">
        <f>IFERROR(__xludf.DUMMYFUNCTION("""COMPUTED_VALUE"""),"@Meds999meds")</f>
        <v>@Meds999meds</v>
      </c>
      <c r="L230" s="57" t="str">
        <f>IFERROR(__xludf.DUMMYFUNCTION("""COMPUTED_VALUE"""),"https://on.soundcloud.com/pKrr9zyaFQy2W7j97")</f>
        <v>https://on.soundcloud.com/pKrr9zyaFQy2W7j97</v>
      </c>
      <c r="M230" s="7"/>
      <c r="N230" s="7"/>
      <c r="O230" s="57" t="str">
        <f>IFERROR(__xludf.DUMMYFUNCTION("""COMPUTED_VALUE"""),"https://on.soundcloud.com/pKrr9zyaFQy2W7j97")</f>
        <v>https://on.soundcloud.com/pKrr9zyaFQy2W7j97</v>
      </c>
      <c r="P230" s="62">
        <f t="array" ref="P230">MAX(IF($A230=AB_TF!F:F,AB_TF!D:D))</f>
        <v>0</v>
      </c>
      <c r="Q230" s="63" t="str">
        <f t="array" ref="Q230">INDEX(AB_TF!C:C,MATCH(1,(AB_TF!F:F=A230)*(AB_TF!D:D=P230),0))</f>
        <v>#N/A</v>
      </c>
      <c r="R230" s="63">
        <f>COUNTIFS(AB_TF!F:F,"="&amp;A230,AB_TF!E:E,"Small*")</f>
        <v>0</v>
      </c>
      <c r="S230" s="63">
        <f>COUNTIFS(AB_TF!F:F,"="&amp;A230,AB_TF!E:E,"Medium*")</f>
        <v>0</v>
      </c>
      <c r="T230" s="63">
        <f>COUNTIFS(AB_TF!F:F,"="&amp;A230,AB_TF!E:E,"Large*")</f>
        <v>0</v>
      </c>
      <c r="U230" s="64">
        <f t="shared" si="1"/>
        <v>0</v>
      </c>
    </row>
    <row r="231">
      <c r="A231" s="7"/>
      <c r="B231" s="7" t="str">
        <f>IFERROR(__xludf.DUMMYFUNCTION("""COMPUTED_VALUE"""),"Meds")</f>
        <v>Meds</v>
      </c>
      <c r="C231" s="7" t="str">
        <f>IFERROR(__xludf.DUMMYFUNCTION("""COMPUTED_VALUE"""),"Mehedi")</f>
        <v>Mehedi</v>
      </c>
      <c r="D231" s="7" t="str">
        <f>IFERROR(__xludf.DUMMYFUNCTION("""COMPUTED_VALUE"""),"He/Him")</f>
        <v>He/Him</v>
      </c>
      <c r="E231" s="7" t="str">
        <f>IFERROR(__xludf.DUMMYFUNCTION("""COMPUTED_VALUE"""),"Bangladeshi")</f>
        <v>Bangladeshi</v>
      </c>
      <c r="F231" s="7" t="str">
        <f>IFERROR(__xludf.DUMMYFUNCTION("""COMPUTED_VALUE"""),"London, Leeds, Luton")</f>
        <v>London, Leeds, Luton</v>
      </c>
      <c r="G231" s="7"/>
      <c r="H231" s="7" t="str">
        <f>IFERROR(__xludf.DUMMYFUNCTION("""COMPUTED_VALUE"""),"DJ")</f>
        <v>DJ</v>
      </c>
      <c r="I231" s="7" t="str">
        <f>IFERROR(__xludf.DUMMYFUNCTION("""COMPUTED_VALUE"""),"House &amp; Techno")</f>
        <v>House &amp; Techno</v>
      </c>
      <c r="J231" s="7" t="str">
        <f>IFERROR(__xludf.DUMMYFUNCTION("""COMPUTED_VALUE"""),"Medsmusicc@gmail.com")</f>
        <v>Medsmusicc@gmail.com</v>
      </c>
      <c r="K231" s="7" t="str">
        <f>IFERROR(__xludf.DUMMYFUNCTION("""COMPUTED_VALUE"""),"@meds999meds")</f>
        <v>@meds999meds</v>
      </c>
      <c r="L231" s="57" t="str">
        <f>IFERROR(__xludf.DUMMYFUNCTION("""COMPUTED_VALUE"""),"https://on.soundcloud.com/jTAD8913MSNJ8G4U6")</f>
        <v>https://on.soundcloud.com/jTAD8913MSNJ8G4U6</v>
      </c>
      <c r="M231" s="7"/>
      <c r="N231" s="7"/>
      <c r="O231" s="57" t="str">
        <f>IFERROR(__xludf.DUMMYFUNCTION("""COMPUTED_VALUE"""),"https://on.soundcloud.com/jTAD8913MSNJ8G4U6")</f>
        <v>https://on.soundcloud.com/jTAD8913MSNJ8G4U6</v>
      </c>
      <c r="P231" s="62">
        <f t="array" ref="P231">MAX(IF($A231=AB_TF!F:F,AB_TF!D:D))</f>
        <v>0</v>
      </c>
      <c r="Q231" s="63" t="str">
        <f t="array" ref="Q231">INDEX(AB_TF!C:C,MATCH(1,(AB_TF!F:F=A231)*(AB_TF!D:D=P231),0))</f>
        <v/>
      </c>
      <c r="R231" s="63">
        <f>COUNTIFS(AB_TF!F:F,"="&amp;A231,AB_TF!E:E,"Small*")</f>
        <v>0</v>
      </c>
      <c r="S231" s="63">
        <f>COUNTIFS(AB_TF!F:F,"="&amp;A231,AB_TF!E:E,"Medium*")</f>
        <v>0</v>
      </c>
      <c r="T231" s="63">
        <f>COUNTIFS(AB_TF!F:F,"="&amp;A231,AB_TF!E:E,"Large*")</f>
        <v>0</v>
      </c>
      <c r="U231" s="64">
        <f t="shared" si="1"/>
        <v>0</v>
      </c>
    </row>
    <row r="232">
      <c r="A232" s="7">
        <f>IFERROR(__xludf.DUMMYFUNCTION("""COMPUTED_VALUE"""),435.0)</f>
        <v>435</v>
      </c>
      <c r="B232" s="7" t="str">
        <f>IFERROR(__xludf.DUMMYFUNCTION("""COMPUTED_VALUE"""),"N1NJA")</f>
        <v>N1NJA</v>
      </c>
      <c r="C232" s="7" t="str">
        <f>IFERROR(__xludf.DUMMYFUNCTION("""COMPUTED_VALUE"""),"Farah")</f>
        <v>Farah</v>
      </c>
      <c r="D232" s="7" t="str">
        <f>IFERROR(__xludf.DUMMYFUNCTION("""COMPUTED_VALUE"""),"She")</f>
        <v>She</v>
      </c>
      <c r="E232" s="7" t="str">
        <f>IFERROR(__xludf.DUMMYFUNCTION("""COMPUTED_VALUE"""),"Pakistan, India, Kenya")</f>
        <v>Pakistan, India, Kenya</v>
      </c>
      <c r="F232" s="7" t="str">
        <f>IFERROR(__xludf.DUMMYFUNCTION("""COMPUTED_VALUE"""),"London")</f>
        <v>London</v>
      </c>
      <c r="G232" s="7"/>
      <c r="H232" s="7" t="str">
        <f>IFERROR(__xludf.DUMMYFUNCTION("""COMPUTED_VALUE"""),"DJ, Live Act")</f>
        <v>DJ, Live Act</v>
      </c>
      <c r="I232" s="7" t="str">
        <f>IFERROR(__xludf.DUMMYFUNCTION("""COMPUTED_VALUE"""),"Progressive House, Organic House, Melodic Techno, Indie Dance")</f>
        <v>Progressive House, Organic House, Melodic Techno, Indie Dance</v>
      </c>
      <c r="J232" s="7" t="str">
        <f>IFERROR(__xludf.DUMMYFUNCTION("""COMPUTED_VALUE"""),"farah@dj-ninja.com")</f>
        <v>farah@dj-ninja.com</v>
      </c>
      <c r="K232" s="57" t="str">
        <f>IFERROR(__xludf.DUMMYFUNCTION("""COMPUTED_VALUE"""),"https://www.instagram.com/dj.n1nja/")</f>
        <v>https://www.instagram.com/dj.n1nja/</v>
      </c>
      <c r="L232" s="57" t="str">
        <f>IFERROR(__xludf.DUMMYFUNCTION("""COMPUTED_VALUE"""),"https://soundcloud.com/dj-ninja")</f>
        <v>https://soundcloud.com/dj-ninja</v>
      </c>
      <c r="M232" s="57" t="str">
        <f>IFERROR(__xludf.DUMMYFUNCTION("""COMPUTED_VALUE"""),"https://www.tiktok.com/@dj_n1nja")</f>
        <v>https://www.tiktok.com/@dj_n1nja</v>
      </c>
      <c r="N232" s="57" t="str">
        <f>IFERROR(__xludf.DUMMYFUNCTION("""COMPUTED_VALUE"""),"https://www.linkedin.com/in/farah-nanji/")</f>
        <v>https://www.linkedin.com/in/farah-nanji/</v>
      </c>
      <c r="O232" s="57" t="str">
        <f>IFERROR(__xludf.DUMMYFUNCTION("""COMPUTED_VALUE"""),"https://soundcloud.com/dj-ninja")</f>
        <v>https://soundcloud.com/dj-ninja</v>
      </c>
      <c r="P232" s="62">
        <f t="array" ref="P232">MAX(IF($A232=AB_TF!F:F,AB_TF!D:D))</f>
        <v>0</v>
      </c>
      <c r="Q232" s="63" t="str">
        <f t="array" ref="Q232">INDEX(AB_TF!C:C,MATCH(1,(AB_TF!F:F=A232)*(AB_TF!D:D=P232),0))</f>
        <v>#N/A</v>
      </c>
      <c r="R232" s="63">
        <f>COUNTIFS(AB_TF!F:F,"="&amp;A232,AB_TF!E:E,"Small*")</f>
        <v>0</v>
      </c>
      <c r="S232" s="63">
        <f>COUNTIFS(AB_TF!F:F,"="&amp;A232,AB_TF!E:E,"Medium*")</f>
        <v>0</v>
      </c>
      <c r="T232" s="63">
        <f>COUNTIFS(AB_TF!F:F,"="&amp;A232,AB_TF!E:E,"Large*")</f>
        <v>0</v>
      </c>
      <c r="U232" s="64">
        <f t="shared" si="1"/>
        <v>0</v>
      </c>
    </row>
    <row r="233">
      <c r="A233" s="7">
        <f>IFERROR(__xludf.DUMMYFUNCTION("""COMPUTED_VALUE"""),436.0)</f>
        <v>436</v>
      </c>
      <c r="B233" s="7" t="str">
        <f>IFERROR(__xludf.DUMMYFUNCTION("""COMPUTED_VALUE"""),"VIZANO")</f>
        <v>VIZANO</v>
      </c>
      <c r="C233" s="7" t="str">
        <f>IFERROR(__xludf.DUMMYFUNCTION("""COMPUTED_VALUE"""),"VIK")</f>
        <v>VIK</v>
      </c>
      <c r="D233" s="7"/>
      <c r="E233" s="7" t="str">
        <f>IFERROR(__xludf.DUMMYFUNCTION("""COMPUTED_VALUE"""),"British South Asian")</f>
        <v>British South Asian</v>
      </c>
      <c r="F233" s="7" t="str">
        <f>IFERROR(__xludf.DUMMYFUNCTION("""COMPUTED_VALUE"""),"London")</f>
        <v>London</v>
      </c>
      <c r="G233" s="7"/>
      <c r="H233" s="7" t="str">
        <f>IFERROR(__xludf.DUMMYFUNCTION("""COMPUTED_VALUE"""),"DJ")</f>
        <v>DJ</v>
      </c>
      <c r="I233" s="7" t="str">
        <f>IFERROR(__xludf.DUMMYFUNCTION("""COMPUTED_VALUE"""),"Indo House")</f>
        <v>Indo House</v>
      </c>
      <c r="J233" s="7" t="str">
        <f>IFERROR(__xludf.DUMMYFUNCTION("""COMPUTED_VALUE"""),"management@vizano-music.com")</f>
        <v>management@vizano-music.com</v>
      </c>
      <c r="K233" s="57" t="str">
        <f>IFERROR(__xludf.DUMMYFUNCTION("""COMPUTED_VALUE"""),"Instagram.com/vizanomusic")</f>
        <v>Instagram.com/vizanomusic</v>
      </c>
      <c r="L233" s="7" t="str">
        <f>IFERROR(__xludf.DUMMYFUNCTION("""COMPUTED_VALUE"""),"https://soundcloud.com/vizanotools  and  https://soundcloud.com/vizanomusic")</f>
        <v>https://soundcloud.com/vizanotools  and  https://soundcloud.com/vizanomusic</v>
      </c>
      <c r="M233" s="57" t="str">
        <f>IFERROR(__xludf.DUMMYFUNCTION("""COMPUTED_VALUE"""),"https://www.tiktok.com/@vizanomusic")</f>
        <v>https://www.tiktok.com/@vizanomusic</v>
      </c>
      <c r="N233" s="57" t="str">
        <f>IFERROR(__xludf.DUMMYFUNCTION("""COMPUTED_VALUE"""),"https://www.instagram.com/vizanomusic")</f>
        <v>https://www.instagram.com/vizanomusic</v>
      </c>
      <c r="O233" s="7" t="str">
        <f>IFERROR(__xludf.DUMMYFUNCTION("""COMPUTED_VALUE"""),"https://soundcloud.com/viktoreus
https://www.mixcloud.com/viktoreus/")</f>
        <v>https://soundcloud.com/viktoreus
https://www.mixcloud.com/viktoreus/</v>
      </c>
      <c r="P233" s="62">
        <f t="array" ref="P233">MAX(IF($A233=AB_TF!F:F,AB_TF!D:D))</f>
        <v>0</v>
      </c>
      <c r="Q233" s="63" t="str">
        <f t="array" ref="Q233">INDEX(AB_TF!C:C,MATCH(1,(AB_TF!F:F=A233)*(AB_TF!D:D=P233),0))</f>
        <v>#N/A</v>
      </c>
      <c r="R233" s="63">
        <f>COUNTIFS(AB_TF!F:F,"="&amp;A233,AB_TF!E:E,"Small*")</f>
        <v>0</v>
      </c>
      <c r="S233" s="63">
        <f>COUNTIFS(AB_TF!F:F,"="&amp;A233,AB_TF!E:E,"Medium*")</f>
        <v>0</v>
      </c>
      <c r="T233" s="63">
        <f>COUNTIFS(AB_TF!F:F,"="&amp;A233,AB_TF!E:E,"Large*")</f>
        <v>0</v>
      </c>
      <c r="U233" s="64">
        <f t="shared" si="1"/>
        <v>0</v>
      </c>
    </row>
    <row r="234">
      <c r="A234" s="7">
        <f>IFERROR(__xludf.DUMMYFUNCTION("""COMPUTED_VALUE"""),437.0)</f>
        <v>437</v>
      </c>
      <c r="B234" s="7" t="str">
        <f>IFERROR(__xludf.DUMMYFUNCTION("""COMPUTED_VALUE"""),"Rajah Betta")</f>
        <v>Rajah Betta</v>
      </c>
      <c r="C234" s="7" t="str">
        <f>IFERROR(__xludf.DUMMYFUNCTION("""COMPUTED_VALUE"""),"Sagar Khatwani")</f>
        <v>Sagar Khatwani</v>
      </c>
      <c r="D234" s="7" t="str">
        <f>IFERROR(__xludf.DUMMYFUNCTION("""COMPUTED_VALUE"""),"He/him")</f>
        <v>He/him</v>
      </c>
      <c r="E234" s="7" t="str">
        <f>IFERROR(__xludf.DUMMYFUNCTION("""COMPUTED_VALUE"""),"India")</f>
        <v>India</v>
      </c>
      <c r="F234" s="7" t="str">
        <f>IFERROR(__xludf.DUMMYFUNCTION("""COMPUTED_VALUE"""),"London")</f>
        <v>London</v>
      </c>
      <c r="G234" s="7" t="str">
        <f>IFERROR(__xludf.DUMMYFUNCTION("""COMPUTED_VALUE"""),"Current: Brooklyn, NY")</f>
        <v>Current: Brooklyn, NY</v>
      </c>
      <c r="H234" s="7" t="str">
        <f>IFERROR(__xludf.DUMMYFUNCTION("""COMPUTED_VALUE"""),"DJ")</f>
        <v>DJ</v>
      </c>
      <c r="I234" s="7" t="str">
        <f>IFERROR(__xludf.DUMMYFUNCTION("""COMPUTED_VALUE"""),"Breaks, jersey club, indie dance")</f>
        <v>Breaks, jersey club, indie dance</v>
      </c>
      <c r="J234" s="7" t="str">
        <f>IFERROR(__xludf.DUMMYFUNCTION("""COMPUTED_VALUE"""),"rajahbetta@gmail.com")</f>
        <v>rajahbetta@gmail.com</v>
      </c>
      <c r="K234" s="57" t="str">
        <f>IFERROR(__xludf.DUMMYFUNCTION("""COMPUTED_VALUE"""),"https://www.instagram.com/rajahbetta")</f>
        <v>https://www.instagram.com/rajahbetta</v>
      </c>
      <c r="L234" s="57" t="str">
        <f>IFERROR(__xludf.DUMMYFUNCTION("""COMPUTED_VALUE"""),"https://soundcloud.com/rajahbetta")</f>
        <v>https://soundcloud.com/rajahbetta</v>
      </c>
      <c r="M234" s="7" t="str">
        <f>IFERROR(__xludf.DUMMYFUNCTION("""COMPUTED_VALUE"""),"N/A")</f>
        <v>N/A</v>
      </c>
      <c r="N234" s="57" t="str">
        <f>IFERROR(__xludf.DUMMYFUNCTION("""COMPUTED_VALUE"""),"https://www.mixcloud.com/rajahbetta")</f>
        <v>https://www.mixcloud.com/rajahbetta</v>
      </c>
      <c r="O234" s="7" t="str">
        <f>IFERROR(__xludf.DUMMYFUNCTION("""COMPUTED_VALUE"""),"Submitted to Daytimers: https://soundcloud.com/rajahbetta/oru-devathai-rajah-betta-x-krithi-remix
Radio residency at Newtown Radio (Brooklyn): https://newtownradio.com/shows/betta-sounds/")</f>
        <v>Submitted to Daytimers: https://soundcloud.com/rajahbetta/oru-devathai-rajah-betta-x-krithi-remix
Radio residency at Newtown Radio (Brooklyn): https://newtownradio.com/shows/betta-sounds/</v>
      </c>
      <c r="P234" s="62">
        <f t="array" ref="P234">MAX(IF($A234=AB_TF!F:F,AB_TF!D:D))</f>
        <v>0</v>
      </c>
      <c r="Q234" s="63" t="str">
        <f t="array" ref="Q234">INDEX(AB_TF!C:C,MATCH(1,(AB_TF!F:F=A234)*(AB_TF!D:D=P234),0))</f>
        <v>#N/A</v>
      </c>
      <c r="R234" s="63">
        <f>COUNTIFS(AB_TF!F:F,"="&amp;A234,AB_TF!E:E,"Small*")</f>
        <v>0</v>
      </c>
      <c r="S234" s="63">
        <f>COUNTIFS(AB_TF!F:F,"="&amp;A234,AB_TF!E:E,"Medium*")</f>
        <v>0</v>
      </c>
      <c r="T234" s="63">
        <f>COUNTIFS(AB_TF!F:F,"="&amp;A234,AB_TF!E:E,"Large*")</f>
        <v>0</v>
      </c>
      <c r="U234" s="64">
        <f t="shared" si="1"/>
        <v>0</v>
      </c>
    </row>
    <row r="235">
      <c r="A235" s="7">
        <f>IFERROR(__xludf.DUMMYFUNCTION("""COMPUTED_VALUE"""),438.0)</f>
        <v>438</v>
      </c>
      <c r="B235" s="7" t="str">
        <f>IFERROR(__xludf.DUMMYFUNCTION("""COMPUTED_VALUE"""),"Prithiv")</f>
        <v>Prithiv</v>
      </c>
      <c r="C235" s="7" t="str">
        <f>IFERROR(__xludf.DUMMYFUNCTION("""COMPUTED_VALUE"""),"Prithiv")</f>
        <v>Prithiv</v>
      </c>
      <c r="D235" s="7" t="str">
        <f>IFERROR(__xludf.DUMMYFUNCTION("""COMPUTED_VALUE"""),"he/him")</f>
        <v>he/him</v>
      </c>
      <c r="E235" s="7" t="str">
        <f>IFERROR(__xludf.DUMMYFUNCTION("""COMPUTED_VALUE"""),"south asian")</f>
        <v>south asian</v>
      </c>
      <c r="F235" s="7"/>
      <c r="G235" s="7" t="str">
        <f>IFERROR(__xludf.DUMMYFUNCTION("""COMPUTED_VALUE"""),"New York City, USA")</f>
        <v>New York City, USA</v>
      </c>
      <c r="H235" s="7" t="str">
        <f>IFERROR(__xludf.DUMMYFUNCTION("""COMPUTED_VALUE"""),"DJ")</f>
        <v>DJ</v>
      </c>
      <c r="I235" s="7" t="str">
        <f>IFERROR(__xludf.DUMMYFUNCTION("""COMPUTED_VALUE"""),"bass house, ukg, baile, house, electronic")</f>
        <v>bass house, ukg, baile, house, electronic</v>
      </c>
      <c r="J235" s="7" t="str">
        <f>IFERROR(__xludf.DUMMYFUNCTION("""COMPUTED_VALUE"""),"redmiso404@gmail.com")</f>
        <v>redmiso404@gmail.com</v>
      </c>
      <c r="K235" s="7" t="str">
        <f>IFERROR(__xludf.DUMMYFUNCTION("""COMPUTED_VALUE"""),"prithivnatarajan")</f>
        <v>prithivnatarajan</v>
      </c>
      <c r="L235" s="57" t="str">
        <f>IFERROR(__xludf.DUMMYFUNCTION("""COMPUTED_VALUE"""),"https://soundcloud.com/nprithiv")</f>
        <v>https://soundcloud.com/nprithiv</v>
      </c>
      <c r="M235" s="7"/>
      <c r="N235" s="7"/>
      <c r="O235" s="7" t="str">
        <f>IFERROR(__xludf.DUMMYFUNCTION("""COMPUTED_VALUE"""),"DJ mix (Bass house, UKG)
https://on.soundcloud.com/8CH3P2FSCY48PzY78 
Production work (bollywood remixes)
https://on.soundcloud.com/6ivW84sApWYya7166
Upcoming single from my album to be release in jan next year:
https://on.soundcloud.com/3Aiz1ijGq2UXv"&amp;"jBa8
")</f>
        <v>DJ mix (Bass house, UKG)
https://on.soundcloud.com/8CH3P2FSCY48PzY78 
Production work (bollywood remixes)
https://on.soundcloud.com/6ivW84sApWYya7166
Upcoming single from my album to be release in jan next year:
https://on.soundcloud.com/3Aiz1ijGq2UXvjBa8
</v>
      </c>
      <c r="P235" s="62">
        <f t="array" ref="P235">MAX(IF($A235=AB_TF!F:F,AB_TF!D:D))</f>
        <v>0</v>
      </c>
      <c r="Q235" s="63" t="str">
        <f t="array" ref="Q235">INDEX(AB_TF!C:C,MATCH(1,(AB_TF!F:F=A235)*(AB_TF!D:D=P235),0))</f>
        <v>#N/A</v>
      </c>
      <c r="R235" s="63">
        <f>COUNTIFS(AB_TF!F:F,"="&amp;A235,AB_TF!E:E,"Small*")</f>
        <v>0</v>
      </c>
      <c r="S235" s="63">
        <f>COUNTIFS(AB_TF!F:F,"="&amp;A235,AB_TF!E:E,"Medium*")</f>
        <v>0</v>
      </c>
      <c r="T235" s="63">
        <f>COUNTIFS(AB_TF!F:F,"="&amp;A235,AB_TF!E:E,"Large*")</f>
        <v>0</v>
      </c>
      <c r="U235" s="64">
        <f t="shared" si="1"/>
        <v>0</v>
      </c>
    </row>
    <row r="236">
      <c r="A236" s="7">
        <f>IFERROR(__xludf.DUMMYFUNCTION("""COMPUTED_VALUE"""),439.0)</f>
        <v>439</v>
      </c>
      <c r="B236" s="7" t="str">
        <f>IFERROR(__xludf.DUMMYFUNCTION("""COMPUTED_VALUE"""),"RAIDAA")</f>
        <v>RAIDAA</v>
      </c>
      <c r="C236" s="7" t="str">
        <f>IFERROR(__xludf.DUMMYFUNCTION("""COMPUTED_VALUE"""),"Raidaa Mirza")</f>
        <v>Raidaa Mirza</v>
      </c>
      <c r="D236" s="7" t="str">
        <f>IFERROR(__xludf.DUMMYFUNCTION("""COMPUTED_VALUE"""),"She/Her")</f>
        <v>She/Her</v>
      </c>
      <c r="E236" s="7" t="str">
        <f>IFERROR(__xludf.DUMMYFUNCTION("""COMPUTED_VALUE"""),"South Asian/Bangladeshi")</f>
        <v>South Asian/Bangladeshi</v>
      </c>
      <c r="F236" s="7" t="str">
        <f>IFERROR(__xludf.DUMMYFUNCTION("""COMPUTED_VALUE"""),"London")</f>
        <v>London</v>
      </c>
      <c r="G236" s="7"/>
      <c r="H236" s="7" t="str">
        <f>IFERROR(__xludf.DUMMYFUNCTION("""COMPUTED_VALUE"""),"DJ")</f>
        <v>DJ</v>
      </c>
      <c r="I236" s="7" t="str">
        <f>IFERROR(__xludf.DUMMYFUNCTION("""COMPUTED_VALUE"""),"R&amp;B, Slow Jams, Neo-Soul, Soul, Jazz, AfroJazz, JazzFunk, Rap, Hip-Hop, Urban, Baile Funk, Amapiano, Afrobeats")</f>
        <v>R&amp;B, Slow Jams, Neo-Soul, Soul, Jazz, AfroJazz, JazzFunk, Rap, Hip-Hop, Urban, Baile Funk, Amapiano, Afrobeats</v>
      </c>
      <c r="J236" s="7" t="str">
        <f>IFERROR(__xludf.DUMMYFUNCTION("""COMPUTED_VALUE"""),"raidaa.mirza@outlook.com")</f>
        <v>raidaa.mirza@outlook.com</v>
      </c>
      <c r="K236" s="7" t="str">
        <f>IFERROR(__xludf.DUMMYFUNCTION("""COMPUTED_VALUE"""),"raidaamirza")</f>
        <v>raidaamirza</v>
      </c>
      <c r="L236" s="7"/>
      <c r="M236" s="7"/>
      <c r="N236" s="7"/>
      <c r="O236" s="7" t="str">
        <f>IFERROR(__xludf.DUMMYFUNCTION("""COMPUTED_VALUE"""),"https://www.mixcloud.com/GShockRadio/g-shock-radio-the-juice-presents-friends-raidaa-1910/
https://www.mixcloud.com/VoicesRadio/golden-hour-w-raidaa-180924-voices-radio/
https://www.mixcloud.com/VoicesRadio/golden-hour-w-raidaa-201124-voices-radio/ ")</f>
        <v>https://www.mixcloud.com/GShockRadio/g-shock-radio-the-juice-presents-friends-raidaa-1910/
https://www.mixcloud.com/VoicesRadio/golden-hour-w-raidaa-180924-voices-radio/
https://www.mixcloud.com/VoicesRadio/golden-hour-w-raidaa-201124-voices-radio/ </v>
      </c>
      <c r="P236" s="62">
        <f t="array" ref="P236">MAX(IF($A236=AB_TF!F:F,AB_TF!D:D))</f>
        <v>0</v>
      </c>
      <c r="Q236" s="63" t="str">
        <f t="array" ref="Q236">INDEX(AB_TF!C:C,MATCH(1,(AB_TF!F:F=A236)*(AB_TF!D:D=P236),0))</f>
        <v>#N/A</v>
      </c>
      <c r="R236" s="63">
        <f>COUNTIFS(AB_TF!F:F,"="&amp;A236,AB_TF!E:E,"Small*")</f>
        <v>0</v>
      </c>
      <c r="S236" s="63">
        <f>COUNTIFS(AB_TF!F:F,"="&amp;A236,AB_TF!E:E,"Medium*")</f>
        <v>0</v>
      </c>
      <c r="T236" s="63">
        <f>COUNTIFS(AB_TF!F:F,"="&amp;A236,AB_TF!E:E,"Large*")</f>
        <v>0</v>
      </c>
      <c r="U236" s="64">
        <f t="shared" si="1"/>
        <v>0</v>
      </c>
    </row>
    <row r="237">
      <c r="A237" s="7">
        <f>IFERROR(__xludf.DUMMYFUNCTION("""COMPUTED_VALUE"""),440.0)</f>
        <v>440</v>
      </c>
      <c r="B237" s="7" t="str">
        <f>IFERROR(__xludf.DUMMYFUNCTION("""COMPUTED_VALUE"""),"AYSHA")</f>
        <v>AYSHA</v>
      </c>
      <c r="C237" s="7" t="str">
        <f>IFERROR(__xludf.DUMMYFUNCTION("""COMPUTED_VALUE"""),"aysha")</f>
        <v>aysha</v>
      </c>
      <c r="D237" s="7" t="str">
        <f>IFERROR(__xludf.DUMMYFUNCTION("""COMPUTED_VALUE"""),"she/her")</f>
        <v>she/her</v>
      </c>
      <c r="E237" s="7" t="str">
        <f>IFERROR(__xludf.DUMMYFUNCTION("""COMPUTED_VALUE"""),"pakistani ")</f>
        <v>pakistani </v>
      </c>
      <c r="F237" s="7" t="str">
        <f>IFERROR(__xludf.DUMMYFUNCTION("""COMPUTED_VALUE"""),"Nottingham")</f>
        <v>Nottingham</v>
      </c>
      <c r="G237" s="7"/>
      <c r="H237" s="7" t="str">
        <f>IFERROR(__xludf.DUMMYFUNCTION("""COMPUTED_VALUE"""),"DJ")</f>
        <v>DJ</v>
      </c>
      <c r="I237" s="7" t="str">
        <f>IFERROR(__xludf.DUMMYFUNCTION("""COMPUTED_VALUE"""),"garage/140/breaks")</f>
        <v>garage/140/breaks</v>
      </c>
      <c r="J237" s="7" t="str">
        <f>IFERROR(__xludf.DUMMYFUNCTION("""COMPUTED_VALUE"""),"aysha.tariq1411@gmail.com")</f>
        <v>aysha.tariq1411@gmail.com</v>
      </c>
      <c r="K237" s="57" t="str">
        <f>IFERROR(__xludf.DUMMYFUNCTION("""COMPUTED_VALUE"""),"https://www.instagram.com/ayshvt/")</f>
        <v>https://www.instagram.com/ayshvt/</v>
      </c>
      <c r="L237" s="57" t="str">
        <f>IFERROR(__xludf.DUMMYFUNCTION("""COMPUTED_VALUE"""),"https://soundcloud.com/ayshvt")</f>
        <v>https://soundcloud.com/ayshvt</v>
      </c>
      <c r="M237" s="7"/>
      <c r="N237" s="7"/>
      <c r="O237" s="57" t="str">
        <f>IFERROR(__xludf.DUMMYFUNCTION("""COMPUTED_VALUE"""),"https://soundcloud.com/ayshvt/desi-mix-panjabi-hit-squad?si=af868d13293b46cb8b8a0f72db7a192c&amp;utm_source=clipboard&amp;utm_medium=text&amp;utm_campaign=social_sharing")</f>
        <v>https://soundcloud.com/ayshvt/desi-mix-panjabi-hit-squad?si=af868d13293b46cb8b8a0f72db7a192c&amp;utm_source=clipboard&amp;utm_medium=text&amp;utm_campaign=social_sharing</v>
      </c>
      <c r="P237" s="62">
        <f t="array" ref="P237">MAX(IF($A237=AB_TF!F:F,AB_TF!D:D))</f>
        <v>0</v>
      </c>
      <c r="Q237" s="63" t="str">
        <f t="array" ref="Q237">INDEX(AB_TF!C:C,MATCH(1,(AB_TF!F:F=A237)*(AB_TF!D:D=P237),0))</f>
        <v>#N/A</v>
      </c>
      <c r="R237" s="63">
        <f>COUNTIFS(AB_TF!F:F,"="&amp;A237,AB_TF!E:E,"Small*")</f>
        <v>0</v>
      </c>
      <c r="S237" s="63">
        <f>COUNTIFS(AB_TF!F:F,"="&amp;A237,AB_TF!E:E,"Medium*")</f>
        <v>0</v>
      </c>
      <c r="T237" s="63">
        <f>COUNTIFS(AB_TF!F:F,"="&amp;A237,AB_TF!E:E,"Large*")</f>
        <v>0</v>
      </c>
      <c r="U237" s="64">
        <f t="shared" si="1"/>
        <v>0</v>
      </c>
    </row>
    <row r="238">
      <c r="A238" s="7">
        <f>IFERROR(__xludf.DUMMYFUNCTION("""COMPUTED_VALUE"""),441.0)</f>
        <v>441</v>
      </c>
      <c r="B238" s="7" t="str">
        <f>IFERROR(__xludf.DUMMYFUNCTION("""COMPUTED_VALUE"""),"SAJN")</f>
        <v>SAJN</v>
      </c>
      <c r="C238" s="7" t="str">
        <f>IFERROR(__xludf.DUMMYFUNCTION("""COMPUTED_VALUE"""),"Sajan Lal")</f>
        <v>Sajan Lal</v>
      </c>
      <c r="D238" s="7" t="str">
        <f>IFERROR(__xludf.DUMMYFUNCTION("""COMPUTED_VALUE"""),"He/Him")</f>
        <v>He/Him</v>
      </c>
      <c r="E238" s="7"/>
      <c r="F238" s="7" t="str">
        <f>IFERROR(__xludf.DUMMYFUNCTION("""COMPUTED_VALUE"""),"London")</f>
        <v>London</v>
      </c>
      <c r="G238" s="7"/>
      <c r="H238" s="7" t="str">
        <f>IFERROR(__xludf.DUMMYFUNCTION("""COMPUTED_VALUE"""),"DJ")</f>
        <v>DJ</v>
      </c>
      <c r="I238" s="7" t="str">
        <f>IFERROR(__xludf.DUMMYFUNCTION("""COMPUTED_VALUE"""),"New Garage/Afrodesi House")</f>
        <v>New Garage/Afrodesi House</v>
      </c>
      <c r="J238" s="7" t="str">
        <f>IFERROR(__xludf.DUMMYFUNCTION("""COMPUTED_VALUE"""),"sajan_lal@outlook.com")</f>
        <v>sajan_lal@outlook.com</v>
      </c>
      <c r="K238" s="7" t="str">
        <f>IFERROR(__xludf.DUMMYFUNCTION("""COMPUTED_VALUE"""),"@djaysuno ")</f>
        <v>@djaysuno </v>
      </c>
      <c r="L238" s="57" t="str">
        <f>IFERROR(__xludf.DUMMYFUNCTION("""COMPUTED_VALUE"""),"https://on.soundcloud.com/5mW1z7k82xwWLuBE7")</f>
        <v>https://on.soundcloud.com/5mW1z7k82xwWLuBE7</v>
      </c>
      <c r="M238" s="7"/>
      <c r="N238" s="7"/>
      <c r="O238" s="57" t="str">
        <f>IFERROR(__xludf.DUMMYFUNCTION("""COMPUTED_VALUE"""),"https://on.soundcloud.com/5mW1z7k82xwWLuBE7")</f>
        <v>https://on.soundcloud.com/5mW1z7k82xwWLuBE7</v>
      </c>
      <c r="P238" s="62">
        <f t="array" ref="P238">MAX(IF($A238=AB_TF!F:F,AB_TF!D:D))</f>
        <v>0</v>
      </c>
      <c r="Q238" s="63" t="str">
        <f t="array" ref="Q238">INDEX(AB_TF!C:C,MATCH(1,(AB_TF!F:F=A238)*(AB_TF!D:D=P238),0))</f>
        <v>#N/A</v>
      </c>
      <c r="R238" s="63">
        <f>COUNTIFS(AB_TF!F:F,"="&amp;A238,AB_TF!E:E,"Small*")</f>
        <v>0</v>
      </c>
      <c r="S238" s="63">
        <f>COUNTIFS(AB_TF!F:F,"="&amp;A238,AB_TF!E:E,"Medium*")</f>
        <v>0</v>
      </c>
      <c r="T238" s="63">
        <f>COUNTIFS(AB_TF!F:F,"="&amp;A238,AB_TF!E:E,"Large*")</f>
        <v>0</v>
      </c>
      <c r="U238" s="64">
        <f t="shared" si="1"/>
        <v>0</v>
      </c>
    </row>
    <row r="239">
      <c r="A239" s="7">
        <f>IFERROR(__xludf.DUMMYFUNCTION("""COMPUTED_VALUE"""),442.0)</f>
        <v>442</v>
      </c>
      <c r="B239" s="7" t="str">
        <f>IFERROR(__xludf.DUMMYFUNCTION("""COMPUTED_VALUE"""),"Skippy")</f>
        <v>Skippy</v>
      </c>
      <c r="C239" s="7" t="str">
        <f>IFERROR(__xludf.DUMMYFUNCTION("""COMPUTED_VALUE"""),"Zee")</f>
        <v>Zee</v>
      </c>
      <c r="D239" s="7" t="str">
        <f>IFERROR(__xludf.DUMMYFUNCTION("""COMPUTED_VALUE"""),"he/him")</f>
        <v>he/him</v>
      </c>
      <c r="E239" s="7"/>
      <c r="F239" s="7" t="str">
        <f>IFERROR(__xludf.DUMMYFUNCTION("""COMPUTED_VALUE"""),"London")</f>
        <v>London</v>
      </c>
      <c r="G239" s="7"/>
      <c r="H239" s="7" t="str">
        <f>IFERROR(__xludf.DUMMYFUNCTION("""COMPUTED_VALUE"""),"Live Act")</f>
        <v>Live Act</v>
      </c>
      <c r="I239" s="7" t="str">
        <f>IFERROR(__xludf.DUMMYFUNCTION("""COMPUTED_VALUE"""),"grime, garage, jungle, drum &amp; bass, bollywood")</f>
        <v>grime, garage, jungle, drum &amp; bass, bollywood</v>
      </c>
      <c r="J239" s="7" t="str">
        <f>IFERROR(__xludf.DUMMYFUNCTION("""COMPUTED_VALUE"""),"zeeshh92@gmail.com")</f>
        <v>zeeshh92@gmail.com</v>
      </c>
      <c r="K239" s="7" t="str">
        <f>IFERROR(__xludf.DUMMYFUNCTION("""COMPUTED_VALUE"""),"skippyselectss ")</f>
        <v>skippyselectss </v>
      </c>
      <c r="L239" s="57" t="str">
        <f>IFERROR(__xludf.DUMMYFUNCTION("""COMPUTED_VALUE"""),"https://on.soundcloud.com/E2U8HAQrXBDBnHv48")</f>
        <v>https://on.soundcloud.com/E2U8HAQrXBDBnHv48</v>
      </c>
      <c r="M239" s="57" t="str">
        <f>IFERROR(__xludf.DUMMYFUNCTION("""COMPUTED_VALUE"""),"https://www.tiktok.com/@skippyselectss?_t=ZG-8slHpihfyKn&amp;_r=1")</f>
        <v>https://www.tiktok.com/@skippyselectss?_t=ZG-8slHpihfyKn&amp;_r=1</v>
      </c>
      <c r="N239" s="7" t="str">
        <f>IFERROR(__xludf.DUMMYFUNCTION("""COMPUTED_VALUE"""),"N/A")</f>
        <v>N/A</v>
      </c>
      <c r="O239" s="7"/>
      <c r="P239" s="62">
        <f t="array" ref="P239">MAX(IF($A239=AB_TF!F:F,AB_TF!D:D))</f>
        <v>0</v>
      </c>
      <c r="Q239" s="63" t="str">
        <f t="array" ref="Q239">INDEX(AB_TF!C:C,MATCH(1,(AB_TF!F:F=A239)*(AB_TF!D:D=P239),0))</f>
        <v>#N/A</v>
      </c>
      <c r="R239" s="63">
        <f>COUNTIFS(AB_TF!F:F,"="&amp;A239,AB_TF!E:E,"Small*")</f>
        <v>0</v>
      </c>
      <c r="S239" s="63">
        <f>COUNTIFS(AB_TF!F:F,"="&amp;A239,AB_TF!E:E,"Medium*")</f>
        <v>0</v>
      </c>
      <c r="T239" s="63">
        <f>COUNTIFS(AB_TF!F:F,"="&amp;A239,AB_TF!E:E,"Large*")</f>
        <v>0</v>
      </c>
      <c r="U239" s="64">
        <f t="shared" si="1"/>
        <v>0</v>
      </c>
    </row>
    <row r="240">
      <c r="A240" s="7">
        <f>IFERROR(__xludf.DUMMYFUNCTION("""COMPUTED_VALUE"""),443.0)</f>
        <v>443</v>
      </c>
      <c r="B240" s="7" t="str">
        <f>IFERROR(__xludf.DUMMYFUNCTION("""COMPUTED_VALUE"""),"Daskaran ")</f>
        <v>Daskaran </v>
      </c>
      <c r="C240" s="7" t="str">
        <f>IFERROR(__xludf.DUMMYFUNCTION("""COMPUTED_VALUE"""),"Rohin")</f>
        <v>Rohin</v>
      </c>
      <c r="D240" s="7" t="str">
        <f>IFERROR(__xludf.DUMMYFUNCTION("""COMPUTED_VALUE"""),"They/them")</f>
        <v>They/them</v>
      </c>
      <c r="E240" s="7" t="str">
        <f>IFERROR(__xludf.DUMMYFUNCTION("""COMPUTED_VALUE"""),"Indian/Punjabi ")</f>
        <v>Indian/Punjabi </v>
      </c>
      <c r="F240" s="7" t="str">
        <f>IFERROR(__xludf.DUMMYFUNCTION("""COMPUTED_VALUE"""),"London")</f>
        <v>London</v>
      </c>
      <c r="G240" s="7"/>
      <c r="H240" s="7" t="str">
        <f>IFERROR(__xludf.DUMMYFUNCTION("""COMPUTED_VALUE"""),"DJ")</f>
        <v>DJ</v>
      </c>
      <c r="I240" s="7" t="str">
        <f>IFERROR(__xludf.DUMMYFUNCTION("""COMPUTED_VALUE"""),"Techno, trance, hard groove, garage ")</f>
        <v>Techno, trance, hard groove, garage </v>
      </c>
      <c r="J240" s="7" t="str">
        <f>IFERROR(__xludf.DUMMYFUNCTION("""COMPUTED_VALUE"""),"daskaran.music@gmail.com")</f>
        <v>daskaran.music@gmail.com</v>
      </c>
      <c r="K240" s="7" t="str">
        <f>IFERROR(__xludf.DUMMYFUNCTION("""COMPUTED_VALUE"""),"@___daskaran___")</f>
        <v>@___daskaran___</v>
      </c>
      <c r="L240" s="7" t="str">
        <f>IFERROR(__xludf.DUMMYFUNCTION("""COMPUTED_VALUE"""),"___daskaran___")</f>
        <v>___daskaran___</v>
      </c>
      <c r="M240" s="7"/>
      <c r="N240" s="7"/>
      <c r="O240" s="7" t="str">
        <f>IFERROR(__xludf.DUMMYFUNCTION("""COMPUTED_VALUE"""),"Check out ___Daskaran___ on #SoundCloud
https://on.soundcloud.com/mW9uqyr6LX3YsKFy6")</f>
        <v>Check out ___Daskaran___ on #SoundCloud
https://on.soundcloud.com/mW9uqyr6LX3YsKFy6</v>
      </c>
      <c r="P240" s="62">
        <f t="array" ref="P240">MAX(IF($A240=AB_TF!F:F,AB_TF!D:D))</f>
        <v>0</v>
      </c>
      <c r="Q240" s="63" t="str">
        <f t="array" ref="Q240">INDEX(AB_TF!C:C,MATCH(1,(AB_TF!F:F=A240)*(AB_TF!D:D=P240),0))</f>
        <v>#N/A</v>
      </c>
      <c r="R240" s="63">
        <f>COUNTIFS(AB_TF!F:F,"="&amp;A240,AB_TF!E:E,"Small*")</f>
        <v>0</v>
      </c>
      <c r="S240" s="63">
        <f>COUNTIFS(AB_TF!F:F,"="&amp;A240,AB_TF!E:E,"Medium*")</f>
        <v>0</v>
      </c>
      <c r="T240" s="63">
        <f>COUNTIFS(AB_TF!F:F,"="&amp;A240,AB_TF!E:E,"Large*")</f>
        <v>0</v>
      </c>
      <c r="U240" s="64">
        <f t="shared" si="1"/>
        <v>0</v>
      </c>
    </row>
    <row r="241">
      <c r="A241" s="7">
        <f>IFERROR(__xludf.DUMMYFUNCTION("""COMPUTED_VALUE"""),444.0)</f>
        <v>444</v>
      </c>
      <c r="B241" s="7" t="str">
        <f>IFERROR(__xludf.DUMMYFUNCTION("""COMPUTED_VALUE"""),"Djaloo")</f>
        <v>Djaloo</v>
      </c>
      <c r="C241" s="7" t="str">
        <f>IFERROR(__xludf.DUMMYFUNCTION("""COMPUTED_VALUE"""),"Aalia")</f>
        <v>Aalia</v>
      </c>
      <c r="D241" s="7"/>
      <c r="E241" s="7" t="str">
        <f>IFERROR(__xludf.DUMMYFUNCTION("""COMPUTED_VALUE"""),"Pakistani")</f>
        <v>Pakistani</v>
      </c>
      <c r="F241" s="7" t="str">
        <f>IFERROR(__xludf.DUMMYFUNCTION("""COMPUTED_VALUE"""),"London")</f>
        <v>London</v>
      </c>
      <c r="G241" s="7"/>
      <c r="H241" s="7" t="str">
        <f>IFERROR(__xludf.DUMMYFUNCTION("""COMPUTED_VALUE"""),"DJ")</f>
        <v>DJ</v>
      </c>
      <c r="I241" s="7" t="str">
        <f>IFERROR(__xludf.DUMMYFUNCTION("""COMPUTED_VALUE"""),"Desi Amapiano, Desi Afro house, RnB, Hiphop")</f>
        <v>Desi Amapiano, Desi Afro house, RnB, Hiphop</v>
      </c>
      <c r="J241" s="7" t="str">
        <f>IFERROR(__xludf.DUMMYFUNCTION("""COMPUTED_VALUE"""),"allydanyals@yahoo.co.uk")</f>
        <v>allydanyals@yahoo.co.uk</v>
      </c>
      <c r="K241" s="7" t="str">
        <f>IFERROR(__xludf.DUMMYFUNCTION("""COMPUTED_VALUE"""),"Aalia.farah")</f>
        <v>Aalia.farah</v>
      </c>
      <c r="L241" s="57" t="str">
        <f>IFERROR(__xludf.DUMMYFUNCTION("""COMPUTED_VALUE"""),"https://on.soundcloud.com/EGtt5tvTY8UL73nAA")</f>
        <v>https://on.soundcloud.com/EGtt5tvTY8UL73nAA</v>
      </c>
      <c r="M241" s="57" t="str">
        <f>IFERROR(__xludf.DUMMYFUNCTION("""COMPUTED_VALUE"""),"https://www.tiktok.com/@aalia.farah?_t=ZG-8syzxqQ3Zx2&amp;_r=1")</f>
        <v>https://www.tiktok.com/@aalia.farah?_t=ZG-8syzxqQ3Zx2&amp;_r=1</v>
      </c>
      <c r="N241" s="7"/>
      <c r="O241" s="7"/>
      <c r="P241" s="62">
        <f t="array" ref="P241">MAX(IF($A241=AB_TF!F:F,AB_TF!D:D))</f>
        <v>0</v>
      </c>
      <c r="Q241" s="63" t="str">
        <f t="array" ref="Q241">INDEX(AB_TF!C:C,MATCH(1,(AB_TF!F:F=A241)*(AB_TF!D:D=P241),0))</f>
        <v>#N/A</v>
      </c>
      <c r="R241" s="63">
        <f>COUNTIFS(AB_TF!F:F,"="&amp;A241,AB_TF!E:E,"Small*")</f>
        <v>0</v>
      </c>
      <c r="S241" s="63">
        <f>COUNTIFS(AB_TF!F:F,"="&amp;A241,AB_TF!E:E,"Medium*")</f>
        <v>0</v>
      </c>
      <c r="T241" s="63">
        <f>COUNTIFS(AB_TF!F:F,"="&amp;A241,AB_TF!E:E,"Large*")</f>
        <v>0</v>
      </c>
      <c r="U241" s="64">
        <f t="shared" si="1"/>
        <v>0</v>
      </c>
    </row>
    <row r="242">
      <c r="A242" s="7">
        <f>IFERROR(__xludf.DUMMYFUNCTION("""COMPUTED_VALUE"""),445.0)</f>
        <v>445</v>
      </c>
      <c r="B242" s="7" t="str">
        <f>IFERROR(__xludf.DUMMYFUNCTION("""COMPUTED_VALUE"""),"Rajah Betta")</f>
        <v>Rajah Betta</v>
      </c>
      <c r="C242" s="7" t="str">
        <f>IFERROR(__xludf.DUMMYFUNCTION("""COMPUTED_VALUE"""),"Sagar Khatwani")</f>
        <v>Sagar Khatwani</v>
      </c>
      <c r="D242" s="7" t="str">
        <f>IFERROR(__xludf.DUMMYFUNCTION("""COMPUTED_VALUE"""),"He/him")</f>
        <v>He/him</v>
      </c>
      <c r="E242" s="7" t="str">
        <f>IFERROR(__xludf.DUMMYFUNCTION("""COMPUTED_VALUE"""),"Indian, Sindhi")</f>
        <v>Indian, Sindhi</v>
      </c>
      <c r="F242" s="7" t="str">
        <f>IFERROR(__xludf.DUMMYFUNCTION("""COMPUTED_VALUE"""),"London")</f>
        <v>London</v>
      </c>
      <c r="G242" s="7" t="str">
        <f>IFERROR(__xludf.DUMMYFUNCTION("""COMPUTED_VALUE"""),"Brooklyn until April '25, Bombay starting May '25")</f>
        <v>Brooklyn until April '25, Bombay starting May '25</v>
      </c>
      <c r="H242" s="7" t="str">
        <f>IFERROR(__xludf.DUMMYFUNCTION("""COMPUTED_VALUE"""),"DJ")</f>
        <v>DJ</v>
      </c>
      <c r="I242" s="7" t="str">
        <f>IFERROR(__xludf.DUMMYFUNCTION("""COMPUTED_VALUE"""),"Breaks, club, indie dance")</f>
        <v>Breaks, club, indie dance</v>
      </c>
      <c r="J242" s="7" t="str">
        <f>IFERROR(__xludf.DUMMYFUNCTION("""COMPUTED_VALUE"""),"rajahbetta@gmail.com")</f>
        <v>rajahbetta@gmail.com</v>
      </c>
      <c r="K242" s="57" t="str">
        <f>IFERROR(__xludf.DUMMYFUNCTION("""COMPUTED_VALUE"""),"https://www.instagram.com/rajahbetta/")</f>
        <v>https://www.instagram.com/rajahbetta/</v>
      </c>
      <c r="L242" s="57" t="str">
        <f>IFERROR(__xludf.DUMMYFUNCTION("""COMPUTED_VALUE"""),"https://soundcloud.com/rajahbetta")</f>
        <v>https://soundcloud.com/rajahbetta</v>
      </c>
      <c r="M242" s="7" t="str">
        <f>IFERROR(__xludf.DUMMYFUNCTION("""COMPUTED_VALUE"""),"N/A")</f>
        <v>N/A</v>
      </c>
      <c r="N242" s="7" t="str">
        <f>IFERROR(__xludf.DUMMYFUNCTION("""COMPUTED_VALUE"""),"N/A")</f>
        <v>N/A</v>
      </c>
      <c r="O242" s="7" t="str">
        <f>IFERROR(__xludf.DUMMYFUNCTION("""COMPUTED_VALUE"""),"Originals / demos: https://soundcloud.com/rajahbetta/sets/originals
Betta Sounds (radio show) on Newtown Radio: https://www.mixcloud.com/rajahbetta/playlists/newtown-radio-x-betta-sounds/")</f>
        <v>Originals / demos: https://soundcloud.com/rajahbetta/sets/originals
Betta Sounds (radio show) on Newtown Radio: https://www.mixcloud.com/rajahbetta/playlists/newtown-radio-x-betta-sounds/</v>
      </c>
      <c r="P242" s="62">
        <f t="array" ref="P242">MAX(IF($A242=AB_TF!F:F,AB_TF!D:D))</f>
        <v>0</v>
      </c>
      <c r="Q242" s="63" t="str">
        <f t="array" ref="Q242">INDEX(AB_TF!C:C,MATCH(1,(AB_TF!F:F=A242)*(AB_TF!D:D=P242),0))</f>
        <v>#N/A</v>
      </c>
      <c r="R242" s="63">
        <f>COUNTIFS(AB_TF!F:F,"="&amp;A242,AB_TF!E:E,"Small*")</f>
        <v>0</v>
      </c>
      <c r="S242" s="63">
        <f>COUNTIFS(AB_TF!F:F,"="&amp;A242,AB_TF!E:E,"Medium*")</f>
        <v>0</v>
      </c>
      <c r="T242" s="63">
        <f>COUNTIFS(AB_TF!F:F,"="&amp;A242,AB_TF!E:E,"Large*")</f>
        <v>0</v>
      </c>
      <c r="U242" s="64">
        <f t="shared" si="1"/>
        <v>0</v>
      </c>
    </row>
    <row r="243">
      <c r="A243" s="7">
        <f>IFERROR(__xludf.DUMMYFUNCTION("""COMPUTED_VALUE"""),446.0)</f>
        <v>446</v>
      </c>
      <c r="B243" s="7" t="str">
        <f>IFERROR(__xludf.DUMMYFUNCTION("""COMPUTED_VALUE"""),"Maham Suhail")</f>
        <v>Maham Suhail</v>
      </c>
      <c r="C243" s="7" t="str">
        <f>IFERROR(__xludf.DUMMYFUNCTION("""COMPUTED_VALUE"""),"Maham Suhail")</f>
        <v>Maham Suhail</v>
      </c>
      <c r="D243" s="7" t="str">
        <f>IFERROR(__xludf.DUMMYFUNCTION("""COMPUTED_VALUE"""),"she/her")</f>
        <v>she/her</v>
      </c>
      <c r="E243" s="7" t="str">
        <f>IFERROR(__xludf.DUMMYFUNCTION("""COMPUTED_VALUE"""),"South Asian (Pakistani)")</f>
        <v>South Asian (Pakistani)</v>
      </c>
      <c r="F243" s="7" t="str">
        <f>IFERROR(__xludf.DUMMYFUNCTION("""COMPUTED_VALUE"""),"London")</f>
        <v>London</v>
      </c>
      <c r="G243" s="7"/>
      <c r="H243" s="7" t="str">
        <f>IFERROR(__xludf.DUMMYFUNCTION("""COMPUTED_VALUE"""),"Live Act")</f>
        <v>Live Act</v>
      </c>
      <c r="I243" s="7" t="str">
        <f>IFERROR(__xludf.DUMMYFUNCTION("""COMPUTED_VALUE"""),"Indie Electronica (Pop/World/Funk vibes)")</f>
        <v>Indie Electronica (Pop/World/Funk vibes)</v>
      </c>
      <c r="J243" s="7" t="str">
        <f>IFERROR(__xludf.DUMMYFUNCTION("""COMPUTED_VALUE"""),"connect@maham-suhail.com")</f>
        <v>connect@maham-suhail.com</v>
      </c>
      <c r="K243" s="7" t="str">
        <f>IFERROR(__xludf.DUMMYFUNCTION("""COMPUTED_VALUE"""),"@maham_suhail_")</f>
        <v>@maham_suhail_</v>
      </c>
      <c r="L243" s="57" t="str">
        <f>IFERROR(__xludf.DUMMYFUNCTION("""COMPUTED_VALUE"""),"https://www.soundcloud.com/maham-s.")</f>
        <v>https://www.soundcloud.com/maham-s.</v>
      </c>
      <c r="M243" s="7"/>
      <c r="N243" s="57" t="str">
        <f>IFERROR(__xludf.DUMMYFUNCTION("""COMPUTED_VALUE"""),"https://maham-suhail.com/")</f>
        <v>https://maham-suhail.com/</v>
      </c>
      <c r="O243" s="57" t="str">
        <f>IFERROR(__xludf.DUMMYFUNCTION("""COMPUTED_VALUE"""),"https://youtu.be/47M4wAP8430")</f>
        <v>https://youtu.be/47M4wAP8430</v>
      </c>
      <c r="P243" s="62">
        <f t="array" ref="P243">MAX(IF($A243=AB_TF!F:F,AB_TF!D:D))</f>
        <v>0</v>
      </c>
      <c r="Q243" s="63" t="str">
        <f t="array" ref="Q243">INDEX(AB_TF!C:C,MATCH(1,(AB_TF!F:F=A243)*(AB_TF!D:D=P243),0))</f>
        <v>#N/A</v>
      </c>
      <c r="R243" s="63">
        <f>COUNTIFS(AB_TF!F:F,"="&amp;A243,AB_TF!E:E,"Small*")</f>
        <v>0</v>
      </c>
      <c r="S243" s="63">
        <f>COUNTIFS(AB_TF!F:F,"="&amp;A243,AB_TF!E:E,"Medium*")</f>
        <v>0</v>
      </c>
      <c r="T243" s="63">
        <f>COUNTIFS(AB_TF!F:F,"="&amp;A243,AB_TF!E:E,"Large*")</f>
        <v>0</v>
      </c>
      <c r="U243" s="64">
        <f t="shared" si="1"/>
        <v>0</v>
      </c>
    </row>
    <row r="244">
      <c r="A244" s="7">
        <f>IFERROR(__xludf.DUMMYFUNCTION("""COMPUTED_VALUE"""),447.0)</f>
        <v>447</v>
      </c>
      <c r="B244" s="7" t="str">
        <f>IFERROR(__xludf.DUMMYFUNCTION("""COMPUTED_VALUE"""),"arnav")</f>
        <v>arnav</v>
      </c>
      <c r="C244" s="7" t="str">
        <f>IFERROR(__xludf.DUMMYFUNCTION("""COMPUTED_VALUE"""),"Arnav Singh")</f>
        <v>Arnav Singh</v>
      </c>
      <c r="D244" s="7" t="str">
        <f>IFERROR(__xludf.DUMMYFUNCTION("""COMPUTED_VALUE"""),"He/Him")</f>
        <v>He/Him</v>
      </c>
      <c r="E244" s="7" t="str">
        <f>IFERROR(__xludf.DUMMYFUNCTION("""COMPUTED_VALUE"""),"Indian")</f>
        <v>Indian</v>
      </c>
      <c r="F244" s="7" t="str">
        <f>IFERROR(__xludf.DUMMYFUNCTION("""COMPUTED_VALUE"""),"London")</f>
        <v>London</v>
      </c>
      <c r="G244" s="7"/>
      <c r="H244" s="7" t="str">
        <f>IFERROR(__xludf.DUMMYFUNCTION("""COMPUTED_VALUE"""),"DJ")</f>
        <v>DJ</v>
      </c>
      <c r="I244" s="7" t="str">
        <f>IFERROR(__xludf.DUMMYFUNCTION("""COMPUTED_VALUE"""),"Garage, Hardgroove, Techno, Broken Beat, House")</f>
        <v>Garage, Hardgroove, Techno, Broken Beat, House</v>
      </c>
      <c r="J244" s="7" t="str">
        <f>IFERROR(__xludf.DUMMYFUNCTION("""COMPUTED_VALUE"""),"arnavs2ngh@gmail.com")</f>
        <v>arnavs2ngh@gmail.com</v>
      </c>
      <c r="K244" s="7" t="str">
        <f>IFERROR(__xludf.DUMMYFUNCTION("""COMPUTED_VALUE"""),"arnav_singh")</f>
        <v>arnav_singh</v>
      </c>
      <c r="L244" s="57" t="str">
        <f>IFERROR(__xludf.DUMMYFUNCTION("""COMPUTED_VALUE"""),"https://soundcloud.com/arnav-singh-935815474")</f>
        <v>https://soundcloud.com/arnav-singh-935815474</v>
      </c>
      <c r="M244" s="7"/>
      <c r="N244" s="7"/>
      <c r="O244" s="57" t="str">
        <f>IFERROR(__xludf.DUMMYFUNCTION("""COMPUTED_VALUE"""),"https://soundcloud.com/arnav-singh-935815474/sets/mixes")</f>
        <v>https://soundcloud.com/arnav-singh-935815474/sets/mixes</v>
      </c>
      <c r="P244" s="62">
        <f t="array" ref="P244">MAX(IF($A244=AB_TF!F:F,AB_TF!D:D))</f>
        <v>0</v>
      </c>
      <c r="Q244" s="63" t="str">
        <f t="array" ref="Q244">INDEX(AB_TF!C:C,MATCH(1,(AB_TF!F:F=A244)*(AB_TF!D:D=P244),0))</f>
        <v>#N/A</v>
      </c>
      <c r="R244" s="63">
        <f>COUNTIFS(AB_TF!F:F,"="&amp;A244,AB_TF!E:E,"Small*")</f>
        <v>0</v>
      </c>
      <c r="S244" s="63">
        <f>COUNTIFS(AB_TF!F:F,"="&amp;A244,AB_TF!E:E,"Medium*")</f>
        <v>0</v>
      </c>
      <c r="T244" s="63">
        <f>COUNTIFS(AB_TF!F:F,"="&amp;A244,AB_TF!E:E,"Large*")</f>
        <v>0</v>
      </c>
      <c r="U244" s="64">
        <f t="shared" si="1"/>
        <v>0</v>
      </c>
    </row>
    <row r="245">
      <c r="A245" s="7">
        <f>IFERROR(__xludf.DUMMYFUNCTION("""COMPUTED_VALUE"""),448.0)</f>
        <v>448</v>
      </c>
      <c r="B245" s="7" t="str">
        <f>IFERROR(__xludf.DUMMYFUNCTION("""COMPUTED_VALUE"""),"VANI")</f>
        <v>VANI</v>
      </c>
      <c r="C245" s="7" t="str">
        <f>IFERROR(__xludf.DUMMYFUNCTION("""COMPUTED_VALUE"""),"Vani Dewan")</f>
        <v>Vani Dewan</v>
      </c>
      <c r="D245" s="7" t="str">
        <f>IFERROR(__xludf.DUMMYFUNCTION("""COMPUTED_VALUE"""),"she/her")</f>
        <v>she/her</v>
      </c>
      <c r="E245" s="7" t="str">
        <f>IFERROR(__xludf.DUMMYFUNCTION("""COMPUTED_VALUE"""),"Punjabi Indian!")</f>
        <v>Punjabi Indian!</v>
      </c>
      <c r="F245" s="7"/>
      <c r="G245" s="7" t="str">
        <f>IFERROR(__xludf.DUMMYFUNCTION("""COMPUTED_VALUE"""),"LA &amp; SF")</f>
        <v>LA &amp; SF</v>
      </c>
      <c r="H245" s="7" t="str">
        <f>IFERROR(__xludf.DUMMYFUNCTION("""COMPUTED_VALUE"""),"DJ")</f>
        <v>DJ</v>
      </c>
      <c r="I245" s="7" t="str">
        <f>IFERROR(__xludf.DUMMYFUNCTION("""COMPUTED_VALUE"""),"Global Bass (baile funk, afropop/afrohouse, latin tech, indo fusion, a couple sprinkles of bass house just for variety in my drops). Also big foundation in hip hop&amp; r+b")</f>
        <v>Global Bass (baile funk, afropop/afrohouse, latin tech, indo fusion, a couple sprinkles of bass house just for variety in my drops). Also big foundation in hip hop&amp; r+b</v>
      </c>
      <c r="J245" s="7" t="str">
        <f>IFERROR(__xludf.DUMMYFUNCTION("""COMPUTED_VALUE"""),"vani.dewan@gmail.com")</f>
        <v>vani.dewan@gmail.com</v>
      </c>
      <c r="K245" s="7" t="str">
        <f>IFERROR(__xludf.DUMMYFUNCTION("""COMPUTED_VALUE"""),"@vanidewan")</f>
        <v>@vanidewan</v>
      </c>
      <c r="L245" s="7" t="str">
        <f>IFERROR(__xludf.DUMMYFUNCTION("""COMPUTED_VALUE"""),"@vani-dewan")</f>
        <v>@vani-dewan</v>
      </c>
      <c r="M245" s="7" t="str">
        <f>IFERROR(__xludf.DUMMYFUNCTION("""COMPUTED_VALUE"""),"N/A")</f>
        <v>N/A</v>
      </c>
      <c r="N245" s="7" t="str">
        <f>IFERROR(__xludf.DUMMYFUNCTION("""COMPUTED_VALUE"""),"youtube: Vani Dewan")</f>
        <v>youtube: Vani Dewan</v>
      </c>
      <c r="O245" s="7" t="str">
        <f>IFERROR(__xludf.DUMMYFUNCTION("""COMPUTED_VALUE"""),"Opening set for Jyoty in SF: https://www.youtube.com/watch?v=jTmyrzy7wmo&amp;t=2010s , global house mix for KRUNK in Mumbai: https://soundcloud.com/vani-dewan/vani-for-krunks-dance-ok-pleaselive?si=eaa5cefe88174b6eaa262552048d076c&amp;utm_source=clipboard&amp;utm_med"&amp;"ium=text&amp;utm_campaign=social_sharing")</f>
        <v>Opening set for Jyoty in SF: https://www.youtube.com/watch?v=jTmyrzy7wmo&amp;t=2010s , global house mix for KRUNK in Mumbai: https://soundcloud.com/vani-dewan/vani-for-krunks-dance-ok-pleaselive?si=eaa5cefe88174b6eaa262552048d076c&amp;utm_source=clipboard&amp;utm_medium=text&amp;utm_campaign=social_sharing</v>
      </c>
      <c r="P245" s="62">
        <f t="array" ref="P245">MAX(IF($A245=AB_TF!F:F,AB_TF!D:D))</f>
        <v>0</v>
      </c>
      <c r="Q245" s="63" t="str">
        <f t="array" ref="Q245">INDEX(AB_TF!C:C,MATCH(1,(AB_TF!F:F=A245)*(AB_TF!D:D=P245),0))</f>
        <v>#N/A</v>
      </c>
      <c r="R245" s="63">
        <f>COUNTIFS(AB_TF!F:F,"="&amp;A245,AB_TF!E:E,"Small*")</f>
        <v>0</v>
      </c>
      <c r="S245" s="63">
        <f>COUNTIFS(AB_TF!F:F,"="&amp;A245,AB_TF!E:E,"Medium*")</f>
        <v>0</v>
      </c>
      <c r="T245" s="63">
        <f>COUNTIFS(AB_TF!F:F,"="&amp;A245,AB_TF!E:E,"Large*")</f>
        <v>0</v>
      </c>
      <c r="U245" s="64">
        <f t="shared" si="1"/>
        <v>0</v>
      </c>
    </row>
    <row r="246">
      <c r="A246" s="7">
        <f>IFERROR(__xludf.DUMMYFUNCTION("""COMPUTED_VALUE"""),449.0)</f>
        <v>449</v>
      </c>
      <c r="B246" s="7" t="str">
        <f>IFERROR(__xludf.DUMMYFUNCTION("""COMPUTED_VALUE"""),"$EJ")</f>
        <v>$EJ</v>
      </c>
      <c r="C246" s="7"/>
      <c r="D246" s="7"/>
      <c r="E246" s="7"/>
      <c r="F246" s="7"/>
      <c r="G246" s="7" t="str">
        <f>IFERROR(__xludf.DUMMYFUNCTION("""COMPUTED_VALUE"""),"New York City")</f>
        <v>New York City</v>
      </c>
      <c r="H246" s="7" t="str">
        <f>IFERROR(__xludf.DUMMYFUNCTION("""COMPUTED_VALUE"""),"DJ, Live Act")</f>
        <v>DJ, Live Act</v>
      </c>
      <c r="I246" s="7" t="str">
        <f>IFERROR(__xludf.DUMMYFUNCTION("""COMPUTED_VALUE"""),"indo-house, fusion, pop")</f>
        <v>indo-house, fusion, pop</v>
      </c>
      <c r="J246" s="7" t="str">
        <f>IFERROR(__xludf.DUMMYFUNCTION("""COMPUTED_VALUE"""),"mgmt@sejsounds.com")</f>
        <v>mgmt@sejsounds.com</v>
      </c>
      <c r="K246" s="7" t="str">
        <f>IFERROR(__xludf.DUMMYFUNCTION("""COMPUTED_VALUE"""),"@sejalkargal")</f>
        <v>@sejalkargal</v>
      </c>
      <c r="L246" s="57" t="str">
        <f>IFERROR(__xludf.DUMMYFUNCTION("""COMPUTED_VALUE"""),"https://soundcloud.com/sejalkargal/sets/dj-ej-mixes?si=7734cfa0fb37407db934d8741ab9bb4e&amp;utm_source=clipboard&amp;utm_medium=text&amp;utm_campaign=social_sharing")</f>
        <v>https://soundcloud.com/sejalkargal/sets/dj-ej-mixes?si=7734cfa0fb37407db934d8741ab9bb4e&amp;utm_source=clipboard&amp;utm_medium=text&amp;utm_campaign=social_sharing</v>
      </c>
      <c r="M246" s="7"/>
      <c r="N246" s="7"/>
      <c r="O246" s="57" t="str">
        <f>IFERROR(__xludf.DUMMYFUNCTION("""COMPUTED_VALUE"""),"https://open.spotify.com/album/7maIEUpJPrIwuao0S26kav?si=HbtMtPECRfWLqe9bcrg6mQ")</f>
        <v>https://open.spotify.com/album/7maIEUpJPrIwuao0S26kav?si=HbtMtPECRfWLqe9bcrg6mQ</v>
      </c>
      <c r="P246" s="62">
        <f t="array" ref="P246">MAX(IF($A246=AB_TF!F:F,AB_TF!D:D))</f>
        <v>0</v>
      </c>
      <c r="Q246" s="63" t="str">
        <f t="array" ref="Q246">INDEX(AB_TF!C:C,MATCH(1,(AB_TF!F:F=A246)*(AB_TF!D:D=P246),0))</f>
        <v>#N/A</v>
      </c>
      <c r="R246" s="63">
        <f>COUNTIFS(AB_TF!F:F,"="&amp;A246,AB_TF!E:E,"Small*")</f>
        <v>0</v>
      </c>
      <c r="S246" s="63">
        <f>COUNTIFS(AB_TF!F:F,"="&amp;A246,AB_TF!E:E,"Medium*")</f>
        <v>0</v>
      </c>
      <c r="T246" s="63">
        <f>COUNTIFS(AB_TF!F:F,"="&amp;A246,AB_TF!E:E,"Large*")</f>
        <v>0</v>
      </c>
      <c r="U246" s="64">
        <f t="shared" si="1"/>
        <v>0</v>
      </c>
    </row>
    <row r="247">
      <c r="A247" s="7"/>
      <c r="B247" s="7" t="str">
        <f>IFERROR(__xludf.DUMMYFUNCTION("""COMPUTED_VALUE"""),"Harmonoize")</f>
        <v>Harmonoize</v>
      </c>
      <c r="C247" s="7" t="str">
        <f>IFERROR(__xludf.DUMMYFUNCTION("""COMPUTED_VALUE"""),"Manav")</f>
        <v>Manav</v>
      </c>
      <c r="D247" s="7"/>
      <c r="E247" s="7" t="str">
        <f>IFERROR(__xludf.DUMMYFUNCTION("""COMPUTED_VALUE"""),"Punjabi/Indian")</f>
        <v>Punjabi/Indian</v>
      </c>
      <c r="F247" s="7" t="str">
        <f>IFERROR(__xludf.DUMMYFUNCTION("""COMPUTED_VALUE"""),"London")</f>
        <v>London</v>
      </c>
      <c r="G247" s="7"/>
      <c r="H247" s="7" t="str">
        <f>IFERROR(__xludf.DUMMYFUNCTION("""COMPUTED_VALUE"""),"DJ")</f>
        <v>DJ</v>
      </c>
      <c r="I247" s="7" t="str">
        <f>IFERROR(__xludf.DUMMYFUNCTION("""COMPUTED_VALUE"""),"Punjabi/Bolkywood + Garage/House/Bassline/DnB/Jungle ")</f>
        <v>Punjabi/Bolkywood + Garage/House/Bassline/DnB/Jungle </v>
      </c>
      <c r="J247" s="7" t="str">
        <f>IFERROR(__xludf.DUMMYFUNCTION("""COMPUTED_VALUE"""),"Harmonoize1@gmail.com")</f>
        <v>Harmonoize1@gmail.com</v>
      </c>
      <c r="K247" s="57" t="str">
        <f>IFERROR(__xludf.DUMMYFUNCTION("""COMPUTED_VALUE"""),"https://www.instagram.com/harmonoize?igsh=eHZ0MG05cnE0aWN4&amp;utm_source=qr")</f>
        <v>https://www.instagram.com/harmonoize?igsh=eHZ0MG05cnE0aWN4&amp;utm_source=qr</v>
      </c>
      <c r="L247" s="57" t="str">
        <f>IFERROR(__xludf.DUMMYFUNCTION("""COMPUTED_VALUE"""),"https://on.soundcloud.com/bp6nVspvcZznuQ9s7")</f>
        <v>https://on.soundcloud.com/bp6nVspvcZznuQ9s7</v>
      </c>
      <c r="M247" s="57" t="str">
        <f>IFERROR(__xludf.DUMMYFUNCTION("""COMPUTED_VALUE"""),"https://www.tiktok.com/@harmonoizetv?_t=ZN-8u6SYWoFbYU&amp;_r=1")</f>
        <v>https://www.tiktok.com/@harmonoizetv?_t=ZN-8u6SYWoFbYU&amp;_r=1</v>
      </c>
      <c r="N247" s="57" t="str">
        <f>IFERROR(__xludf.DUMMYFUNCTION("""COMPUTED_VALUE"""),"https://youtube.com/@harmonoizetv?si=aAF2MaGcnDDP_Gos")</f>
        <v>https://youtube.com/@harmonoizetv?si=aAF2MaGcnDDP_Gos</v>
      </c>
      <c r="O247" s="57" t="str">
        <f>IFERROR(__xludf.DUMMYFUNCTION("""COMPUTED_VALUE"""),"https://www.mixcloud.com/harmonoize/harmonoize-mix-desi-blend-200225/")</f>
        <v>https://www.mixcloud.com/harmonoize/harmonoize-mix-desi-blend-200225/</v>
      </c>
      <c r="P247" s="62">
        <f t="array" ref="P247">MAX(IF($A247=AB_TF!F:F,AB_TF!D:D))</f>
        <v>0</v>
      </c>
      <c r="Q247" s="63" t="str">
        <f t="array" ref="Q247">INDEX(AB_TF!C:C,MATCH(1,(AB_TF!F:F=A247)*(AB_TF!D:D=P247),0))</f>
        <v/>
      </c>
      <c r="R247" s="63">
        <f>COUNTIFS(AB_TF!F:F,"="&amp;A247,AB_TF!E:E,"Small*")</f>
        <v>0</v>
      </c>
      <c r="S247" s="63">
        <f>COUNTIFS(AB_TF!F:F,"="&amp;A247,AB_TF!E:E,"Medium*")</f>
        <v>0</v>
      </c>
      <c r="T247" s="63">
        <f>COUNTIFS(AB_TF!F:F,"="&amp;A247,AB_TF!E:E,"Large*")</f>
        <v>0</v>
      </c>
      <c r="U247" s="64">
        <f t="shared" si="1"/>
        <v>0</v>
      </c>
    </row>
    <row r="248">
      <c r="A248" s="7">
        <f>IFERROR(__xludf.DUMMYFUNCTION("""COMPUTED_VALUE"""),451.0)</f>
        <v>451</v>
      </c>
      <c r="B248" s="7" t="str">
        <f>IFERROR(__xludf.DUMMYFUNCTION("""COMPUTED_VALUE"""),"Jordan K Joseph")</f>
        <v>Jordan K Joseph</v>
      </c>
      <c r="C248" s="7" t="str">
        <f>IFERROR(__xludf.DUMMYFUNCTION("""COMPUTED_VALUE"""),"JJ")</f>
        <v>JJ</v>
      </c>
      <c r="D248" s="7" t="str">
        <f>IFERROR(__xludf.DUMMYFUNCTION("""COMPUTED_VALUE"""),"he/him")</f>
        <v>he/him</v>
      </c>
      <c r="E248" s="7" t="str">
        <f>IFERROR(__xludf.DUMMYFUNCTION("""COMPUTED_VALUE"""),"Gujarat")</f>
        <v>Gujarat</v>
      </c>
      <c r="F248" s="7" t="str">
        <f>IFERROR(__xludf.DUMMYFUNCTION("""COMPUTED_VALUE"""),"London")</f>
        <v>London</v>
      </c>
      <c r="G248" s="7"/>
      <c r="H248" s="7" t="str">
        <f>IFERROR(__xludf.DUMMYFUNCTION("""COMPUTED_VALUE"""),"DJ")</f>
        <v>DJ</v>
      </c>
      <c r="I248" s="7" t="str">
        <f>IFERROR(__xludf.DUMMYFUNCTION("""COMPUTED_VALUE"""),"House, Bass,Techno, Breaks, Trance, Electro, Dub")</f>
        <v>House, Bass,Techno, Breaks, Trance, Electro, Dub</v>
      </c>
      <c r="J248" s="7" t="str">
        <f>IFERROR(__xludf.DUMMYFUNCTION("""COMPUTED_VALUE"""),"jordankjoseph20@gmail.com")</f>
        <v>jordankjoseph20@gmail.com</v>
      </c>
      <c r="K248" s="7" t="str">
        <f>IFERROR(__xludf.DUMMYFUNCTION("""COMPUTED_VALUE"""),"@jordankjoseph20")</f>
        <v>@jordankjoseph20</v>
      </c>
      <c r="L248" s="57" t="str">
        <f>IFERROR(__xludf.DUMMYFUNCTION("""COMPUTED_VALUE"""),"https://soundcloud.com/jordankjoseph")</f>
        <v>https://soundcloud.com/jordankjoseph</v>
      </c>
      <c r="M248" s="7" t="str">
        <f>IFERROR(__xludf.DUMMYFUNCTION("""COMPUTED_VALUE"""),"N/a")</f>
        <v>N/a</v>
      </c>
      <c r="N248" s="57" t="str">
        <f>IFERROR(__xludf.DUMMYFUNCTION("""COMPUTED_VALUE"""),"https://www.jordankjoseph.co.uk/")</f>
        <v>https://www.jordankjoseph.co.uk/</v>
      </c>
      <c r="O248" s="57" t="str">
        <f>IFERROR(__xludf.DUMMYFUNCTION("""COMPUTED_VALUE"""),"https://www.youtube.com/watch?v=GumMd3SWz1c")</f>
        <v>https://www.youtube.com/watch?v=GumMd3SWz1c</v>
      </c>
      <c r="P248" s="62">
        <f t="array" ref="P248">MAX(IF($A248=AB_TF!F:F,AB_TF!D:D))</f>
        <v>0</v>
      </c>
      <c r="Q248" s="63" t="str">
        <f t="array" ref="Q248">INDEX(AB_TF!C:C,MATCH(1,(AB_TF!F:F=A248)*(AB_TF!D:D=P248),0))</f>
        <v>#N/A</v>
      </c>
      <c r="R248" s="63">
        <f>COUNTIFS(AB_TF!F:F,"="&amp;A248,AB_TF!E:E,"Small*")</f>
        <v>0</v>
      </c>
      <c r="S248" s="63">
        <f>COUNTIFS(AB_TF!F:F,"="&amp;A248,AB_TF!E:E,"Medium*")</f>
        <v>0</v>
      </c>
      <c r="T248" s="63">
        <f>COUNTIFS(AB_TF!F:F,"="&amp;A248,AB_TF!E:E,"Large*")</f>
        <v>0</v>
      </c>
      <c r="U248" s="64">
        <f t="shared" si="1"/>
        <v>0</v>
      </c>
    </row>
    <row r="249">
      <c r="A249" s="7">
        <f>IFERROR(__xludf.DUMMYFUNCTION("""COMPUTED_VALUE"""),452.0)</f>
        <v>452</v>
      </c>
      <c r="B249" s="7" t="str">
        <f>IFERROR(__xludf.DUMMYFUNCTION("""COMPUTED_VALUE"""),"Seth Chohan")</f>
        <v>Seth Chohan</v>
      </c>
      <c r="C249" s="7" t="str">
        <f>IFERROR(__xludf.DUMMYFUNCTION("""COMPUTED_VALUE"""),"Seth Chohan")</f>
        <v>Seth Chohan</v>
      </c>
      <c r="D249" s="7" t="str">
        <f>IFERROR(__xludf.DUMMYFUNCTION("""COMPUTED_VALUE"""),"He/Him")</f>
        <v>He/Him</v>
      </c>
      <c r="E249" s="7" t="str">
        <f>IFERROR(__xludf.DUMMYFUNCTION("""COMPUTED_VALUE"""),"Mixed (White &amp; Indian)")</f>
        <v>Mixed (White &amp; Indian)</v>
      </c>
      <c r="F249" s="7" t="str">
        <f>IFERROR(__xludf.DUMMYFUNCTION("""COMPUTED_VALUE"""),"Leeds")</f>
        <v>Leeds</v>
      </c>
      <c r="G249" s="7"/>
      <c r="H249" s="7" t="str">
        <f>IFERROR(__xludf.DUMMYFUNCTION("""COMPUTED_VALUE"""),"DJ")</f>
        <v>DJ</v>
      </c>
      <c r="I249" s="7" t="str">
        <f>IFERROR(__xludf.DUMMYFUNCTION("""COMPUTED_VALUE"""),"House, Deep House, Disco, Garage")</f>
        <v>House, Deep House, Disco, Garage</v>
      </c>
      <c r="J249" s="7" t="str">
        <f>IFERROR(__xludf.DUMMYFUNCTION("""COMPUTED_VALUE"""),"sethchohan@gmail.com")</f>
        <v>sethchohan@gmail.com</v>
      </c>
      <c r="K249" s="7" t="str">
        <f>IFERROR(__xludf.DUMMYFUNCTION("""COMPUTED_VALUE"""),"seth.chohan")</f>
        <v>seth.chohan</v>
      </c>
      <c r="L249" s="57" t="str">
        <f>IFERROR(__xludf.DUMMYFUNCTION("""COMPUTED_VALUE"""),"https://on.soundcloud.com/hZbxHop8kNHAt7iw7")</f>
        <v>https://on.soundcloud.com/hZbxHop8kNHAt7iw7</v>
      </c>
      <c r="M249" s="57" t="str">
        <f>IFERROR(__xludf.DUMMYFUNCTION("""COMPUTED_VALUE"""),"https://www.tiktok.com/@seth.chohan?_t=ZN-8urYLNiPExz&amp;_r=1")</f>
        <v>https://www.tiktok.com/@seth.chohan?_t=ZN-8urYLNiPExz&amp;_r=1</v>
      </c>
      <c r="N249" s="57" t="str">
        <f>IFERROR(__xludf.DUMMYFUNCTION("""COMPUTED_VALUE"""),"https://www.facebook.com/share/1AJGqMh4ci/?mibextid=wwXIfr")</f>
        <v>https://www.facebook.com/share/1AJGqMh4ci/?mibextid=wwXIfr</v>
      </c>
      <c r="O249" s="7" t="str">
        <f>IFERROR(__xludf.DUMMYFUNCTION("""COMPUTED_VALUE"""),"https://on.soundcloud.com/LwQZsHGyKDCrogFG7 https://on.soundcloud.com/XVCqLnV23jwWKJJG6
https://open.spotify.com/artist/5xE8yjKCcbCBxjqOWfuuHz?si=g-YRzNrvQG-0kk5LlWpFNg
https://on.soundcloud.com/a8JRxZAzC5n7KDVj9
Here’s a few links for you. The top two a"&amp;"re forthcoming EPs I’m working on. 
I have then linked my Spotify artist page where you can find some past releases. 
I’ve also created a short playlist of a few mixes, there are plenty more on my SoundCloud.
Enjoy!")</f>
        <v>https://on.soundcloud.com/LwQZsHGyKDCrogFG7 https://on.soundcloud.com/XVCqLnV23jwWKJJG6
https://open.spotify.com/artist/5xE8yjKCcbCBxjqOWfuuHz?si=g-YRzNrvQG-0kk5LlWpFNg
https://on.soundcloud.com/a8JRxZAzC5n7KDVj9
Here’s a few links for you. The top two are forthcoming EPs I’m working on. 
I have then linked my Spotify artist page where you can find some past releases. 
I’ve also created a short playlist of a few mixes, there are plenty more on my SoundCloud.
Enjoy!</v>
      </c>
      <c r="P249" s="62">
        <f t="array" ref="P249">MAX(IF($A249=AB_TF!F:F,AB_TF!D:D))</f>
        <v>0</v>
      </c>
      <c r="Q249" s="63" t="str">
        <f t="array" ref="Q249">INDEX(AB_TF!C:C,MATCH(1,(AB_TF!F:F=A249)*(AB_TF!D:D=P249),0))</f>
        <v>#N/A</v>
      </c>
      <c r="R249" s="63">
        <f>COUNTIFS(AB_TF!F:F,"="&amp;A249,AB_TF!E:E,"Small*")</f>
        <v>0</v>
      </c>
      <c r="S249" s="63">
        <f>COUNTIFS(AB_TF!F:F,"="&amp;A249,AB_TF!E:E,"Medium*")</f>
        <v>0</v>
      </c>
      <c r="T249" s="63">
        <f>COUNTIFS(AB_TF!F:F,"="&amp;A249,AB_TF!E:E,"Large*")</f>
        <v>0</v>
      </c>
      <c r="U249" s="64">
        <f t="shared" si="1"/>
        <v>0</v>
      </c>
    </row>
    <row r="250">
      <c r="A250" s="7">
        <f>IFERROR(__xludf.DUMMYFUNCTION("""COMPUTED_VALUE"""),453.0)</f>
        <v>453</v>
      </c>
      <c r="B250" s="7" t="str">
        <f>IFERROR(__xludf.DUMMYFUNCTION("""COMPUTED_VALUE"""),"words")</f>
        <v>words</v>
      </c>
      <c r="C250" s="7" t="str">
        <f>IFERROR(__xludf.DUMMYFUNCTION("""COMPUTED_VALUE"""),"Ben Watts")</f>
        <v>Ben Watts</v>
      </c>
      <c r="D250" s="7" t="str">
        <f>IFERROR(__xludf.DUMMYFUNCTION("""COMPUTED_VALUE"""),"He/him")</f>
        <v>He/him</v>
      </c>
      <c r="E250" s="7" t="str">
        <f>IFERROR(__xludf.DUMMYFUNCTION("""COMPUTED_VALUE"""),"South Indian/Anglo Indian")</f>
        <v>South Indian/Anglo Indian</v>
      </c>
      <c r="F250" s="7" t="str">
        <f>IFERROR(__xludf.DUMMYFUNCTION("""COMPUTED_VALUE"""),"London")</f>
        <v>London</v>
      </c>
      <c r="G250" s="7"/>
      <c r="H250" s="7" t="str">
        <f>IFERROR(__xludf.DUMMYFUNCTION("""COMPUTED_VALUE"""),"DJ")</f>
        <v>DJ</v>
      </c>
      <c r="I250" s="7" t="str">
        <f>IFERROR(__xludf.DUMMYFUNCTION("""COMPUTED_VALUE"""),"UKG, UK Bass, Electro, Jungle, Breaks, Hardgroove, Techno")</f>
        <v>UKG, UK Bass, Electro, Jungle, Breaks, Hardgroove, Techno</v>
      </c>
      <c r="J250" s="7" t="str">
        <f>IFERROR(__xludf.DUMMYFUNCTION("""COMPUTED_VALUE"""),"benwatts93@yahoo.co.uk")</f>
        <v>benwatts93@yahoo.co.uk</v>
      </c>
      <c r="K250" s="7" t="str">
        <f>IFERROR(__xludf.DUMMYFUNCTION("""COMPUTED_VALUE"""),"@benwatts24601")</f>
        <v>@benwatts24601</v>
      </c>
      <c r="L250" s="57" t="str">
        <f>IFERROR(__xludf.DUMMYFUNCTION("""COMPUTED_VALUE"""),"https://on.soundcloud.com/ywbsrbE9dXeiVJzR7")</f>
        <v>https://on.soundcloud.com/ywbsrbE9dXeiVJzR7</v>
      </c>
      <c r="M250" s="7"/>
      <c r="N250" s="7"/>
      <c r="O250" s="57" t="str">
        <f>IFERROR(__xludf.DUMMYFUNCTION("""COMPUTED_VALUE"""),"https://on.soundcloud.com/HZxGR51K9GAtaDSL6")</f>
        <v>https://on.soundcloud.com/HZxGR51K9GAtaDSL6</v>
      </c>
      <c r="P250" s="62">
        <f t="array" ref="P250">MAX(IF($A250=AB_TF!F:F,AB_TF!D:D))</f>
        <v>0</v>
      </c>
      <c r="Q250" s="63" t="str">
        <f t="array" ref="Q250">INDEX(AB_TF!C:C,MATCH(1,(AB_TF!F:F=A250)*(AB_TF!D:D=P250),0))</f>
        <v>#N/A</v>
      </c>
      <c r="R250" s="63">
        <f>COUNTIFS(AB_TF!F:F,"="&amp;A250,AB_TF!E:E,"Small*")</f>
        <v>0</v>
      </c>
      <c r="S250" s="63">
        <f>COUNTIFS(AB_TF!F:F,"="&amp;A250,AB_TF!E:E,"Medium*")</f>
        <v>0</v>
      </c>
      <c r="T250" s="63">
        <f>COUNTIFS(AB_TF!F:F,"="&amp;A250,AB_TF!E:E,"Large*")</f>
        <v>0</v>
      </c>
      <c r="U250" s="64">
        <f t="shared" si="1"/>
        <v>0</v>
      </c>
    </row>
    <row r="251">
      <c r="A251" s="7">
        <f>IFERROR(__xludf.DUMMYFUNCTION("""COMPUTED_VALUE"""),454.0)</f>
        <v>454</v>
      </c>
      <c r="B251" s="7" t="str">
        <f>IFERROR(__xludf.DUMMYFUNCTION("""COMPUTED_VALUE"""),"AMMARA")</f>
        <v>AMMARA</v>
      </c>
      <c r="C251" s="7" t="str">
        <f>IFERROR(__xludf.DUMMYFUNCTION("""COMPUTED_VALUE"""),"Ammara")</f>
        <v>Ammara</v>
      </c>
      <c r="D251" s="7" t="str">
        <f>IFERROR(__xludf.DUMMYFUNCTION("""COMPUTED_VALUE"""),"she/her")</f>
        <v>she/her</v>
      </c>
      <c r="E251" s="7" t="str">
        <f>IFERROR(__xludf.DUMMYFUNCTION("""COMPUTED_VALUE"""),"Pakistan")</f>
        <v>Pakistan</v>
      </c>
      <c r="F251" s="7" t="str">
        <f>IFERROR(__xludf.DUMMYFUNCTION("""COMPUTED_VALUE"""),"London")</f>
        <v>London</v>
      </c>
      <c r="G251" s="7"/>
      <c r="H251" s="7" t="str">
        <f>IFERROR(__xludf.DUMMYFUNCTION("""COMPUTED_VALUE"""),"DJ")</f>
        <v>DJ</v>
      </c>
      <c r="I251" s="7" t="str">
        <f>IFERROR(__xludf.DUMMYFUNCTION("""COMPUTED_VALUE"""),"Trance / Hard House")</f>
        <v>Trance / Hard House</v>
      </c>
      <c r="J251" s="7" t="str">
        <f>IFERROR(__xludf.DUMMYFUNCTION("""COMPUTED_VALUE"""),"oscar@triplethreatmgmt.com")</f>
        <v>oscar@triplethreatmgmt.com</v>
      </c>
      <c r="K251" s="57" t="str">
        <f>IFERROR(__xludf.DUMMYFUNCTION("""COMPUTED_VALUE"""),"https://www.instagram.com/ammaradj/?hl=en")</f>
        <v>https://www.instagram.com/ammaradj/?hl=en</v>
      </c>
      <c r="L251" s="57" t="str">
        <f>IFERROR(__xludf.DUMMYFUNCTION("""COMPUTED_VALUE"""),"https://soundcloud.com/ammaradj")</f>
        <v>https://soundcloud.com/ammaradj</v>
      </c>
      <c r="M251" s="57" t="str">
        <f>IFERROR(__xludf.DUMMYFUNCTION("""COMPUTED_VALUE"""),"https://www.tiktok.com/@ammaradj")</f>
        <v>https://www.tiktok.com/@ammaradj</v>
      </c>
      <c r="N251" s="7"/>
      <c r="O251" s="57" t="str">
        <f>IFERROR(__xludf.DUMMYFUNCTION("""COMPUTED_VALUE"""),"https://soundcloud.com/ammaradj/ammara-hor-berlin-mix")</f>
        <v>https://soundcloud.com/ammaradj/ammara-hor-berlin-mix</v>
      </c>
      <c r="P251" s="62">
        <f t="array" ref="P251">MAX(IF($A251=AB_TF!F:F,AB_TF!D:D))</f>
        <v>0</v>
      </c>
      <c r="Q251" s="63" t="str">
        <f t="array" ref="Q251">INDEX(AB_TF!C:C,MATCH(1,(AB_TF!F:F=A251)*(AB_TF!D:D=P251),0))</f>
        <v>#N/A</v>
      </c>
      <c r="R251" s="63">
        <f>COUNTIFS(AB_TF!F:F,"="&amp;A251,AB_TF!E:E,"Small*")</f>
        <v>0</v>
      </c>
      <c r="S251" s="63">
        <f>COUNTIFS(AB_TF!F:F,"="&amp;A251,AB_TF!E:E,"Medium*")</f>
        <v>0</v>
      </c>
      <c r="T251" s="63">
        <f>COUNTIFS(AB_TF!F:F,"="&amp;A251,AB_TF!E:E,"Large*")</f>
        <v>0</v>
      </c>
      <c r="U251" s="64">
        <f t="shared" si="1"/>
        <v>0</v>
      </c>
    </row>
    <row r="252">
      <c r="A252" s="7">
        <f>IFERROR(__xludf.DUMMYFUNCTION("""COMPUTED_VALUE"""),455.0)</f>
        <v>455</v>
      </c>
      <c r="B252" s="7" t="str">
        <f>IFERROR(__xludf.DUMMYFUNCTION("""COMPUTED_VALUE"""),"Tease + Reset")</f>
        <v>Tease + Reset</v>
      </c>
      <c r="C252" s="7" t="str">
        <f>IFERROR(__xludf.DUMMYFUNCTION("""COMPUTED_VALUE"""),"Seem")</f>
        <v>Seem</v>
      </c>
      <c r="D252" s="7" t="str">
        <f>IFERROR(__xludf.DUMMYFUNCTION("""COMPUTED_VALUE"""),"He/Him")</f>
        <v>He/Him</v>
      </c>
      <c r="E252" s="7" t="str">
        <f>IFERROR(__xludf.DUMMYFUNCTION("""COMPUTED_VALUE"""),"Pakistani/Afghani")</f>
        <v>Pakistani/Afghani</v>
      </c>
      <c r="F252" s="7" t="str">
        <f>IFERROR(__xludf.DUMMYFUNCTION("""COMPUTED_VALUE"""),"London, Birmingham, Bristol, Manchester, Brighton, Cambridge")</f>
        <v>London, Birmingham, Bristol, Manchester, Brighton, Cambridge</v>
      </c>
      <c r="G252" s="7" t="str">
        <f>IFERROR(__xludf.DUMMYFUNCTION("""COMPUTED_VALUE"""),"We’re open to Berlin too. ")</f>
        <v>We’re open to Berlin too. </v>
      </c>
      <c r="H252" s="7" t="str">
        <f>IFERROR(__xludf.DUMMYFUNCTION("""COMPUTED_VALUE"""),"DJ")</f>
        <v>DJ</v>
      </c>
      <c r="I252" s="7" t="str">
        <f>IFERROR(__xludf.DUMMYFUNCTION("""COMPUTED_VALUE"""),"Garage,Breaks,Bass,")</f>
        <v>Garage,Breaks,Bass,</v>
      </c>
      <c r="J252" s="7" t="str">
        <f>IFERROR(__xludf.DUMMYFUNCTION("""COMPUTED_VALUE"""),"seem_samuel@hotmail.com")</f>
        <v>seem_samuel@hotmail.com</v>
      </c>
      <c r="K252" s="7" t="str">
        <f>IFERROR(__xludf.DUMMYFUNCTION("""COMPUTED_VALUE"""),"/teaseandreset")</f>
        <v>/teaseandreset</v>
      </c>
      <c r="L252" s="7" t="str">
        <f>IFERROR(__xludf.DUMMYFUNCTION("""COMPUTED_VALUE"""),"/teaseandreset")</f>
        <v>/teaseandreset</v>
      </c>
      <c r="M252" s="7" t="str">
        <f>IFERROR(__xludf.DUMMYFUNCTION("""COMPUTED_VALUE"""),"/teaseandreset")</f>
        <v>/teaseandreset</v>
      </c>
      <c r="N252" s="7"/>
      <c r="O252" s="57" t="str">
        <f>IFERROR(__xludf.DUMMYFUNCTION("""COMPUTED_VALUE"""),"https://soundcloud.com/blooplondon/fortune-favours-radio-w-tease-and-reset-031224?ref=clipboard&amp;p=i&amp;c=0&amp;si=308B77431CCC4C2B88D693E5BB78C0E0&amp;utm_source=clipboard&amp;utm_medium=text&amp;utm_campaign=social_sharing")</f>
        <v>https://soundcloud.com/blooplondon/fortune-favours-radio-w-tease-and-reset-031224?ref=clipboard&amp;p=i&amp;c=0&amp;si=308B77431CCC4C2B88D693E5BB78C0E0&amp;utm_source=clipboard&amp;utm_medium=text&amp;utm_campaign=social_sharing</v>
      </c>
      <c r="P252" s="62">
        <f t="array" ref="P252">MAX(IF($A252=AB_TF!F:F,AB_TF!D:D))</f>
        <v>0</v>
      </c>
      <c r="Q252" s="63" t="str">
        <f t="array" ref="Q252">INDEX(AB_TF!C:C,MATCH(1,(AB_TF!F:F=A252)*(AB_TF!D:D=P252),0))</f>
        <v>#N/A</v>
      </c>
      <c r="R252" s="63">
        <f>COUNTIFS(AB_TF!F:F,"="&amp;A252,AB_TF!E:E,"Small*")</f>
        <v>0</v>
      </c>
      <c r="S252" s="63">
        <f>COUNTIFS(AB_TF!F:F,"="&amp;A252,AB_TF!E:E,"Medium*")</f>
        <v>0</v>
      </c>
      <c r="T252" s="63">
        <f>COUNTIFS(AB_TF!F:F,"="&amp;A252,AB_TF!E:E,"Large*")</f>
        <v>0</v>
      </c>
      <c r="U252" s="64">
        <f t="shared" si="1"/>
        <v>0</v>
      </c>
    </row>
    <row r="253">
      <c r="A253" s="7">
        <f>IFERROR(__xludf.DUMMYFUNCTION("""COMPUTED_VALUE"""),456.0)</f>
        <v>456</v>
      </c>
      <c r="B253" s="7" t="str">
        <f>IFERROR(__xludf.DUMMYFUNCTION("""COMPUTED_VALUE"""),"Dhanji")</f>
        <v>Dhanji</v>
      </c>
      <c r="C253" s="7" t="str">
        <f>IFERROR(__xludf.DUMMYFUNCTION("""COMPUTED_VALUE"""),"Dhanji")</f>
        <v>Dhanji</v>
      </c>
      <c r="D253" s="7" t="str">
        <f>IFERROR(__xludf.DUMMYFUNCTION("""COMPUTED_VALUE"""),"he/him")</f>
        <v>he/him</v>
      </c>
      <c r="E253" s="7" t="str">
        <f>IFERROR(__xludf.DUMMYFUNCTION("""COMPUTED_VALUE"""),"Indian")</f>
        <v>Indian</v>
      </c>
      <c r="F253" s="7"/>
      <c r="G253" s="7" t="str">
        <f>IFERROR(__xludf.DUMMYFUNCTION("""COMPUTED_VALUE"""),"India, Ahmedabad")</f>
        <v>India, Ahmedabad</v>
      </c>
      <c r="H253" s="7" t="str">
        <f>IFERROR(__xludf.DUMMYFUNCTION("""COMPUTED_VALUE"""),"Live Act")</f>
        <v>Live Act</v>
      </c>
      <c r="I253" s="7" t="str">
        <f>IFERROR(__xludf.DUMMYFUNCTION("""COMPUTED_VALUE"""),"Desi Hip-hop")</f>
        <v>Desi Hip-hop</v>
      </c>
      <c r="J253" s="7" t="str">
        <f>IFERROR(__xludf.DUMMYFUNCTION("""COMPUTED_VALUE"""),"vyom@spreebuzz.com")</f>
        <v>vyom@spreebuzz.com</v>
      </c>
      <c r="K253" s="57" t="str">
        <f>IFERROR(__xludf.DUMMYFUNCTION("""COMPUTED_VALUE"""),"https://www.instagram.com/skrrtt.skrrrt/?hl=en")</f>
        <v>https://www.instagram.com/skrrtt.skrrrt/?hl=en</v>
      </c>
      <c r="L253" s="7"/>
      <c r="M253" s="7"/>
      <c r="N253" s="57" t="str">
        <f>IFERROR(__xludf.DUMMYFUNCTION("""COMPUTED_VALUE"""),"https://www.youtube.com/@amdavad")</f>
        <v>https://www.youtube.com/@amdavad</v>
      </c>
      <c r="O253" s="57" t="str">
        <f>IFERROR(__xludf.DUMMYFUNCTION("""COMPUTED_VALUE"""),"https://open.spotify.com/artist/1OVeQPd27s1MkICbzBfZTV")</f>
        <v>https://open.spotify.com/artist/1OVeQPd27s1MkICbzBfZTV</v>
      </c>
      <c r="P253" s="62">
        <f t="array" ref="P253">MAX(IF($A253=AB_TF!F:F,AB_TF!D:D))</f>
        <v>0</v>
      </c>
      <c r="Q253" s="63" t="str">
        <f t="array" ref="Q253">INDEX(AB_TF!C:C,MATCH(1,(AB_TF!F:F=A253)*(AB_TF!D:D=P253),0))</f>
        <v>#N/A</v>
      </c>
      <c r="R253" s="63">
        <f>COUNTIFS(AB_TF!F:F,"="&amp;A253,AB_TF!E:E,"Small*")</f>
        <v>0</v>
      </c>
      <c r="S253" s="63">
        <f>COUNTIFS(AB_TF!F:F,"="&amp;A253,AB_TF!E:E,"Medium*")</f>
        <v>0</v>
      </c>
      <c r="T253" s="63">
        <f>COUNTIFS(AB_TF!F:F,"="&amp;A253,AB_TF!E:E,"Large*")</f>
        <v>0</v>
      </c>
      <c r="U253" s="64">
        <f t="shared" si="1"/>
        <v>0</v>
      </c>
    </row>
    <row r="254">
      <c r="A254" s="7">
        <f>IFERROR(__xludf.DUMMYFUNCTION("""COMPUTED_VALUE"""),457.0)</f>
        <v>457</v>
      </c>
      <c r="B254" s="7" t="str">
        <f>IFERROR(__xludf.DUMMYFUNCTION("""COMPUTED_VALUE"""),"King Ahmed")</f>
        <v>King Ahmed</v>
      </c>
      <c r="C254" s="7" t="str">
        <f>IFERROR(__xludf.DUMMYFUNCTION("""COMPUTED_VALUE"""),"Syed J Ahmed")</f>
        <v>Syed J Ahmed</v>
      </c>
      <c r="D254" s="7"/>
      <c r="E254" s="7" t="str">
        <f>IFERROR(__xludf.DUMMYFUNCTION("""COMPUTED_VALUE"""),"British Bangladeshi")</f>
        <v>British Bangladeshi</v>
      </c>
      <c r="F254" s="7" t="str">
        <f>IFERROR(__xludf.DUMMYFUNCTION("""COMPUTED_VALUE"""),"London")</f>
        <v>London</v>
      </c>
      <c r="G254" s="7"/>
      <c r="H254" s="7" t="str">
        <f>IFERROR(__xludf.DUMMYFUNCTION("""COMPUTED_VALUE"""),"Live Act")</f>
        <v>Live Act</v>
      </c>
      <c r="I254" s="7" t="str">
        <f>IFERROR(__xludf.DUMMYFUNCTION("""COMPUTED_VALUE"""),"Urban Desi, Indian Pop, Bollywood, Bhangra, Dancehall, Folk, Hip Hop, R&amp;B, Garage, House")</f>
        <v>Urban Desi, Indian Pop, Bollywood, Bhangra, Dancehall, Folk, Hip Hop, R&amp;B, Garage, House</v>
      </c>
      <c r="J254" s="7" t="str">
        <f>IFERROR(__xludf.DUMMYFUNCTION("""COMPUTED_VALUE"""),"Ahmedsy_jaber@hotmail.com")</f>
        <v>Ahmedsy_jaber@hotmail.com</v>
      </c>
      <c r="K254" s="57" t="str">
        <f>IFERROR(__xludf.DUMMYFUNCTION("""COMPUTED_VALUE"""),"www.instagram.com/king_ahmed120")</f>
        <v>www.instagram.com/king_ahmed120</v>
      </c>
      <c r="L254" s="57" t="str">
        <f>IFERROR(__xludf.DUMMYFUNCTION("""COMPUTED_VALUE"""),"www.soundcloud.com/syed-artist")</f>
        <v>www.soundcloud.com/syed-artist</v>
      </c>
      <c r="M254" s="57" t="str">
        <f>IFERROR(__xludf.DUMMYFUNCTION("""COMPUTED_VALUE"""),"https://www.tiktok.com/@syedahmed6672?_t=ZN-8wT7ccz4WNK&amp;_r=1")</f>
        <v>https://www.tiktok.com/@syedahmed6672?_t=ZN-8wT7ccz4WNK&amp;_r=1</v>
      </c>
      <c r="N254" s="57" t="str">
        <f>IFERROR(__xludf.DUMMYFUNCTION("""COMPUTED_VALUE"""),"https://linktr.ee/KingAhmed120")</f>
        <v>https://linktr.ee/KingAhmed120</v>
      </c>
      <c r="O254" s="57" t="str">
        <f>IFERROR(__xludf.DUMMYFUNCTION("""COMPUTED_VALUE"""),"https://youtu.be/wXYH0uouw_g?si=NPX4Iv7qucRY1lR5")</f>
        <v>https://youtu.be/wXYH0uouw_g?si=NPX4Iv7qucRY1lR5</v>
      </c>
      <c r="P254" s="62">
        <f t="array" ref="P254">MAX(IF($A254=AB_TF!F:F,AB_TF!D:D))</f>
        <v>0</v>
      </c>
      <c r="Q254" s="63" t="str">
        <f t="array" ref="Q254">INDEX(AB_TF!C:C,MATCH(1,(AB_TF!F:F=A254)*(AB_TF!D:D=P254),0))</f>
        <v>#N/A</v>
      </c>
      <c r="R254" s="63">
        <f>COUNTIFS(AB_TF!F:F,"="&amp;A254,AB_TF!E:E,"Small*")</f>
        <v>0</v>
      </c>
      <c r="S254" s="63">
        <f>COUNTIFS(AB_TF!F:F,"="&amp;A254,AB_TF!E:E,"Medium*")</f>
        <v>0</v>
      </c>
      <c r="T254" s="63">
        <f>COUNTIFS(AB_TF!F:F,"="&amp;A254,AB_TF!E:E,"Large*")</f>
        <v>0</v>
      </c>
      <c r="U254" s="64">
        <f t="shared" si="1"/>
        <v>0</v>
      </c>
    </row>
    <row r="255">
      <c r="A255" s="7"/>
      <c r="B255" s="7" t="str">
        <f>IFERROR(__xludf.DUMMYFUNCTION("""COMPUTED_VALUE"""),"Sharan")</f>
        <v>Sharan</v>
      </c>
      <c r="C255" s="7" t="str">
        <f>IFERROR(__xludf.DUMMYFUNCTION("""COMPUTED_VALUE"""),"Sharan")</f>
        <v>Sharan</v>
      </c>
      <c r="D255" s="7" t="str">
        <f>IFERROR(__xludf.DUMMYFUNCTION("""COMPUTED_VALUE"""),"She/her")</f>
        <v>She/her</v>
      </c>
      <c r="E255" s="7" t="str">
        <f>IFERROR(__xludf.DUMMYFUNCTION("""COMPUTED_VALUE"""),"South Asian / British Asian - Indian")</f>
        <v>South Asian / British Asian - Indian</v>
      </c>
      <c r="F255" s="7" t="str">
        <f>IFERROR(__xludf.DUMMYFUNCTION("""COMPUTED_VALUE"""),"Liverpool, Leeds")</f>
        <v>Liverpool, Leeds</v>
      </c>
      <c r="G255" s="7"/>
      <c r="H255" s="7" t="str">
        <f>IFERROR(__xludf.DUMMYFUNCTION("""COMPUTED_VALUE"""),"DJ")</f>
        <v>DJ</v>
      </c>
      <c r="I255" s="7" t="str">
        <f>IFERROR(__xludf.DUMMYFUNCTION("""COMPUTED_VALUE"""),"Garage, UK Funky House, Grime, Afro-desi, electronic, amapiano, jazz, house, baile ")</f>
        <v>Garage, UK Funky House, Grime, Afro-desi, electronic, amapiano, jazz, house, baile </v>
      </c>
      <c r="J255" s="7" t="str">
        <f>IFERROR(__xludf.DUMMYFUNCTION("""COMPUTED_VALUE"""),"Sharan.flora@outlook.com")</f>
        <v>Sharan.flora@outlook.com</v>
      </c>
      <c r="K255" s="7" t="str">
        <f>IFERROR(__xludf.DUMMYFUNCTION("""COMPUTED_VALUE"""),"@sharandeep__")</f>
        <v>@sharandeep__</v>
      </c>
      <c r="L255" s="57" t="str">
        <f>IFERROR(__xludf.DUMMYFUNCTION("""COMPUTED_VALUE"""),"https://on.soundcloud.com/ELg1FI3oCi8hoeMVdg")</f>
        <v>https://on.soundcloud.com/ELg1FI3oCi8hoeMVdg</v>
      </c>
      <c r="M255" s="7"/>
      <c r="N255" s="7"/>
      <c r="O255" s="57" t="str">
        <f>IFERROR(__xludf.DUMMYFUNCTION("""COMPUTED_VALUE"""),"https://linktr.ee/sharandeep_")</f>
        <v>https://linktr.ee/sharandeep_</v>
      </c>
      <c r="P255" s="62">
        <f t="array" ref="P255">MAX(IF($A255=AB_TF!F:F,AB_TF!D:D))</f>
        <v>0</v>
      </c>
      <c r="Q255" s="63" t="str">
        <f t="array" ref="Q255">INDEX(AB_TF!C:C,MATCH(1,(AB_TF!F:F=A255)*(AB_TF!D:D=P255),0))</f>
        <v/>
      </c>
      <c r="R255" s="63">
        <f>COUNTIFS(AB_TF!F:F,"="&amp;A255,AB_TF!E:E,"Small*")</f>
        <v>0</v>
      </c>
      <c r="S255" s="63">
        <f>COUNTIFS(AB_TF!F:F,"="&amp;A255,AB_TF!E:E,"Medium*")</f>
        <v>0</v>
      </c>
      <c r="T255" s="63">
        <f>COUNTIFS(AB_TF!F:F,"="&amp;A255,AB_TF!E:E,"Large*")</f>
        <v>0</v>
      </c>
      <c r="U255" s="64">
        <f t="shared" si="1"/>
        <v>0</v>
      </c>
    </row>
    <row r="256">
      <c r="A256" s="7">
        <f>IFERROR(__xludf.DUMMYFUNCTION("""COMPUTED_VALUE"""),459.0)</f>
        <v>459</v>
      </c>
      <c r="B256" s="7" t="str">
        <f>IFERROR(__xludf.DUMMYFUNCTION("""COMPUTED_VALUE"""),"TASHASAN")</f>
        <v>TASHASAN</v>
      </c>
      <c r="C256" s="7" t="str">
        <f>IFERROR(__xludf.DUMMYFUNCTION("""COMPUTED_VALUE"""),"Natasha")</f>
        <v>Natasha</v>
      </c>
      <c r="D256" s="7" t="str">
        <f>IFERROR(__xludf.DUMMYFUNCTION("""COMPUTED_VALUE"""),"she/her")</f>
        <v>she/her</v>
      </c>
      <c r="E256" s="7" t="str">
        <f>IFERROR(__xludf.DUMMYFUNCTION("""COMPUTED_VALUE"""),"Primarily Southeast Asian (Malay) diaspora — with South Asian (Malabari) heritage from my paternal grandfather.")</f>
        <v>Primarily Southeast Asian (Malay) diaspora — with South Asian (Malabari) heritage from my paternal grandfather.</v>
      </c>
      <c r="F256" s="7"/>
      <c r="G256" s="7" t="str">
        <f>IFERROR(__xludf.DUMMYFUNCTION("""COMPUTED_VALUE"""),"Singapore")</f>
        <v>Singapore</v>
      </c>
      <c r="H256" s="7" t="str">
        <f>IFERROR(__xludf.DUMMYFUNCTION("""COMPUTED_VALUE"""),"DJ")</f>
        <v>DJ</v>
      </c>
      <c r="I256" s="7" t="str">
        <f>IFERROR(__xludf.DUMMYFUNCTION("""COMPUTED_VALUE"""),"breaks, hard drum, bass, leftfield")</f>
        <v>breaks, hard drum, bass, leftfield</v>
      </c>
      <c r="J256" s="7" t="str">
        <f>IFERROR(__xludf.DUMMYFUNCTION("""COMPUTED_VALUE"""),"n.nathassan@gmail.com")</f>
        <v>n.nathassan@gmail.com</v>
      </c>
      <c r="K256" s="57" t="str">
        <f>IFERROR(__xludf.DUMMYFUNCTION("""COMPUTED_VALUE"""),"https://www.instagram.com/_natashahassan?igsh=bmFpcmI4dTh6ejJ3&amp;utm_source=qr")</f>
        <v>https://www.instagram.com/_natashahassan?igsh=bmFpcmI4dTh6ejJ3&amp;utm_source=qr</v>
      </c>
      <c r="L256" s="57" t="str">
        <f>IFERROR(__xludf.DUMMYFUNCTION("""COMPUTED_VALUE"""),"https://soundcloud.com/tashasan")</f>
        <v>https://soundcloud.com/tashasan</v>
      </c>
      <c r="M256" s="7"/>
      <c r="N256" s="57" t="str">
        <f>IFERROR(__xludf.DUMMYFUNCTION("""COMPUTED_VALUE"""),"https://www.instagram.com/northeastsocialclub?igsh=MWllY2N0YXY3MGprdA==")</f>
        <v>https://www.instagram.com/northeastsocialclub?igsh=MWllY2N0YXY3MGprdA==</v>
      </c>
      <c r="O256" s="7"/>
      <c r="P256" s="62">
        <f t="array" ref="P256">MAX(IF($A256=AB_TF!F:F,AB_TF!D:D))</f>
        <v>0</v>
      </c>
      <c r="Q256" s="63" t="str">
        <f t="array" ref="Q256">INDEX(AB_TF!C:C,MATCH(1,(AB_TF!F:F=A256)*(AB_TF!D:D=P256),0))</f>
        <v>#N/A</v>
      </c>
      <c r="R256" s="63">
        <f>COUNTIFS(AB_TF!F:F,"="&amp;A256,AB_TF!E:E,"Small*")</f>
        <v>0</v>
      </c>
      <c r="S256" s="63">
        <f>COUNTIFS(AB_TF!F:F,"="&amp;A256,AB_TF!E:E,"Medium*")</f>
        <v>0</v>
      </c>
      <c r="T256" s="63">
        <f>COUNTIFS(AB_TF!F:F,"="&amp;A256,AB_TF!E:E,"Large*")</f>
        <v>0</v>
      </c>
      <c r="U256" s="64">
        <f t="shared" si="1"/>
        <v>0</v>
      </c>
    </row>
    <row r="257">
      <c r="A257" s="7">
        <f>IFERROR(__xludf.DUMMYFUNCTION("""COMPUTED_VALUE"""),460.0)</f>
        <v>460</v>
      </c>
      <c r="B257" s="7" t="str">
        <f>IFERROR(__xludf.DUMMYFUNCTION("""COMPUTED_VALUE"""),"skippy")</f>
        <v>skippy</v>
      </c>
      <c r="C257" s="7" t="str">
        <f>IFERROR(__xludf.DUMMYFUNCTION("""COMPUTED_VALUE"""),"Zee")</f>
        <v>Zee</v>
      </c>
      <c r="D257" s="7" t="str">
        <f>IFERROR(__xludf.DUMMYFUNCTION("""COMPUTED_VALUE"""),"They/them")</f>
        <v>They/them</v>
      </c>
      <c r="E257" s="7" t="str">
        <f>IFERROR(__xludf.DUMMYFUNCTION("""COMPUTED_VALUE"""),"South Asia ")</f>
        <v>South Asia </v>
      </c>
      <c r="F257" s="7" t="str">
        <f>IFERROR(__xludf.DUMMYFUNCTION("""COMPUTED_VALUE"""),"London")</f>
        <v>London</v>
      </c>
      <c r="G257" s="7"/>
      <c r="H257" s="7" t="str">
        <f>IFERROR(__xludf.DUMMYFUNCTION("""COMPUTED_VALUE"""),"DJ")</f>
        <v>DJ</v>
      </c>
      <c r="I257" s="7" t="str">
        <f>IFERROR(__xludf.DUMMYFUNCTION("""COMPUTED_VALUE"""),"Grime, jungle, drum &amp; bass")</f>
        <v>Grime, jungle, drum &amp; bass</v>
      </c>
      <c r="J257" s="7" t="str">
        <f>IFERROR(__xludf.DUMMYFUNCTION("""COMPUTED_VALUE"""),"zeeshh92@gmail.com")</f>
        <v>zeeshh92@gmail.com</v>
      </c>
      <c r="K257" s="7" t="str">
        <f>IFERROR(__xludf.DUMMYFUNCTION("""COMPUTED_VALUE"""),"skippyselectss")</f>
        <v>skippyselectss</v>
      </c>
      <c r="L257" s="7"/>
      <c r="M257" s="7"/>
      <c r="N257" s="7"/>
      <c r="O257" s="57" t="str">
        <f>IFERROR(__xludf.DUMMYFUNCTION("""COMPUTED_VALUE"""),"https://on.soundcloud.com/vITIuIWiph5bEvb6zu")</f>
        <v>https://on.soundcloud.com/vITIuIWiph5bEvb6zu</v>
      </c>
      <c r="P257" s="62">
        <f t="array" ref="P257">MAX(IF($A257=AB_TF!F:F,AB_TF!D:D))</f>
        <v>0</v>
      </c>
      <c r="Q257" s="63" t="str">
        <f t="array" ref="Q257">INDEX(AB_TF!C:C,MATCH(1,(AB_TF!F:F=A257)*(AB_TF!D:D=P257),0))</f>
        <v>#N/A</v>
      </c>
      <c r="R257" s="63">
        <f>COUNTIFS(AB_TF!F:F,"="&amp;A257,AB_TF!E:E,"Small*")</f>
        <v>0</v>
      </c>
      <c r="S257" s="63">
        <f>COUNTIFS(AB_TF!F:F,"="&amp;A257,AB_TF!E:E,"Medium*")</f>
        <v>0</v>
      </c>
      <c r="T257" s="63">
        <f>COUNTIFS(AB_TF!F:F,"="&amp;A257,AB_TF!E:E,"Large*")</f>
        <v>0</v>
      </c>
      <c r="U257" s="64">
        <f t="shared" si="1"/>
        <v>0</v>
      </c>
    </row>
    <row r="258">
      <c r="A258" s="7">
        <f>IFERROR(__xludf.DUMMYFUNCTION("""COMPUTED_VALUE"""),461.0)</f>
        <v>461</v>
      </c>
      <c r="B258" s="7" t="str">
        <f>IFERROR(__xludf.DUMMYFUNCTION("""COMPUTED_VALUE"""),"SHIVXNI")</f>
        <v>SHIVXNI</v>
      </c>
      <c r="C258" s="7" t="str">
        <f>IFERROR(__xludf.DUMMYFUNCTION("""COMPUTED_VALUE"""),"Shiv")</f>
        <v>Shiv</v>
      </c>
      <c r="D258" s="7" t="str">
        <f>IFERROR(__xludf.DUMMYFUNCTION("""COMPUTED_VALUE"""),"She/her")</f>
        <v>She/her</v>
      </c>
      <c r="E258" s="7" t="str">
        <f>IFERROR(__xludf.DUMMYFUNCTION("""COMPUTED_VALUE"""),"Indian")</f>
        <v>Indian</v>
      </c>
      <c r="F258" s="7" t="str">
        <f>IFERROR(__xludf.DUMMYFUNCTION("""COMPUTED_VALUE"""),"London, Birmingham, Coventry")</f>
        <v>London, Birmingham, Coventry</v>
      </c>
      <c r="G258" s="7"/>
      <c r="H258" s="7" t="str">
        <f>IFERROR(__xludf.DUMMYFUNCTION("""COMPUTED_VALUE"""),"DJ")</f>
        <v>DJ</v>
      </c>
      <c r="I258" s="7" t="str">
        <f>IFERROR(__xludf.DUMMYFUNCTION("""COMPUTED_VALUE"""),"Mainly House (Indo, Afro, tribal, tech and deep house), also abit of amapiano &amp; garage")</f>
        <v>Mainly House (Indo, Afro, tribal, tech and deep house), also abit of amapiano &amp; garage</v>
      </c>
      <c r="J258" s="7" t="str">
        <f>IFERROR(__xludf.DUMMYFUNCTION("""COMPUTED_VALUE"""),"shivanithakrar1@gmail.com")</f>
        <v>shivanithakrar1@gmail.com</v>
      </c>
      <c r="K258" s="7" t="str">
        <f>IFERROR(__xludf.DUMMYFUNCTION("""COMPUTED_VALUE"""),"@shivanithakrar")</f>
        <v>@shivanithakrar</v>
      </c>
      <c r="L258" s="7" t="str">
        <f>IFERROR(__xludf.DUMMYFUNCTION("""COMPUTED_VALUE"""),"SHIVXNI")</f>
        <v>SHIVXNI</v>
      </c>
      <c r="M258" s="7" t="str">
        <f>IFERROR(__xludf.DUMMYFUNCTION("""COMPUTED_VALUE"""),"@shivxni__")</f>
        <v>@shivxni__</v>
      </c>
      <c r="N258" s="7"/>
      <c r="O258" s="57" t="str">
        <f>IFERROR(__xludf.DUMMYFUNCTION("""COMPUTED_VALUE"""),"https://on.soundcloud.com/A0aZ9sbf34JQXDUka2")</f>
        <v>https://on.soundcloud.com/A0aZ9sbf34JQXDUka2</v>
      </c>
      <c r="P258" s="62">
        <f t="array" ref="P258">MAX(IF($A258=AB_TF!F:F,AB_TF!D:D))</f>
        <v>0</v>
      </c>
      <c r="Q258" s="63" t="str">
        <f t="array" ref="Q258">INDEX(AB_TF!C:C,MATCH(1,(AB_TF!F:F=A258)*(AB_TF!D:D=P258),0))</f>
        <v>#N/A</v>
      </c>
      <c r="R258" s="63">
        <f>COUNTIFS(AB_TF!F:F,"="&amp;A258,AB_TF!E:E,"Small*")</f>
        <v>0</v>
      </c>
      <c r="S258" s="63">
        <f>COUNTIFS(AB_TF!F:F,"="&amp;A258,AB_TF!E:E,"Medium*")</f>
        <v>0</v>
      </c>
      <c r="T258" s="63">
        <f>COUNTIFS(AB_TF!F:F,"="&amp;A258,AB_TF!E:E,"Large*")</f>
        <v>0</v>
      </c>
      <c r="U258" s="64">
        <f t="shared" si="1"/>
        <v>0</v>
      </c>
    </row>
    <row r="259">
      <c r="A259" s="7">
        <f>IFERROR(__xludf.DUMMYFUNCTION("""COMPUTED_VALUE"""),462.0)</f>
        <v>462</v>
      </c>
      <c r="B259" s="7" t="str">
        <f>IFERROR(__xludf.DUMMYFUNCTION("""COMPUTED_VALUE"""),"Neha")</f>
        <v>Neha</v>
      </c>
      <c r="C259" s="7" t="str">
        <f>IFERROR(__xludf.DUMMYFUNCTION("""COMPUTED_VALUE"""),"Neha Khan")</f>
        <v>Neha Khan</v>
      </c>
      <c r="D259" s="7" t="str">
        <f>IFERROR(__xludf.DUMMYFUNCTION("""COMPUTED_VALUE"""),"She/her")</f>
        <v>She/her</v>
      </c>
      <c r="E259" s="7" t="str">
        <f>IFERROR(__xludf.DUMMYFUNCTION("""COMPUTED_VALUE"""),"South Asian ")</f>
        <v>South Asian </v>
      </c>
      <c r="F259" s="7" t="str">
        <f>IFERROR(__xludf.DUMMYFUNCTION("""COMPUTED_VALUE"""),"London")</f>
        <v>London</v>
      </c>
      <c r="G259" s="7" t="str">
        <f>IFERROR(__xludf.DUMMYFUNCTION("""COMPUTED_VALUE"""),"N/A")</f>
        <v>N/A</v>
      </c>
      <c r="H259" s="7" t="str">
        <f>IFERROR(__xludf.DUMMYFUNCTION("""COMPUTED_VALUE"""),"DJ")</f>
        <v>DJ</v>
      </c>
      <c r="I259" s="7" t="str">
        <f>IFERROR(__xludf.DUMMYFUNCTION("""COMPUTED_VALUE"""),"Minimal, deep, indie")</f>
        <v>Minimal, deep, indie</v>
      </c>
      <c r="J259" s="7" t="str">
        <f>IFERROR(__xludf.DUMMYFUNCTION("""COMPUTED_VALUE"""),"nehakhanldnuk@gmail.com")</f>
        <v>nehakhanldnuk@gmail.com</v>
      </c>
      <c r="K259" s="7" t="str">
        <f>IFERROR(__xludf.DUMMYFUNCTION("""COMPUTED_VALUE"""),"nehakhanxo")</f>
        <v>nehakhanxo</v>
      </c>
      <c r="L259" s="7" t="str">
        <f>IFERROR(__xludf.DUMMYFUNCTION("""COMPUTED_VALUE"""),"neha.khan")</f>
        <v>neha.khan</v>
      </c>
      <c r="M259" s="7"/>
      <c r="N259" s="7"/>
      <c r="O259" s="57" t="str">
        <f>IFERROR(__xludf.DUMMYFUNCTION("""COMPUTED_VALUE"""),"https://on.soundcloud.com/ZoRdvw57HXifrbGOhx")</f>
        <v>https://on.soundcloud.com/ZoRdvw57HXifrbGOhx</v>
      </c>
      <c r="P259" s="62">
        <f t="array" ref="P259">MAX(IF($A259=AB_TF!F:F,AB_TF!D:D))</f>
        <v>0</v>
      </c>
      <c r="Q259" s="63" t="str">
        <f t="array" ref="Q259">INDEX(AB_TF!C:C,MATCH(1,(AB_TF!F:F=A259)*(AB_TF!D:D=P259),0))</f>
        <v>#N/A</v>
      </c>
      <c r="R259" s="63">
        <f>COUNTIFS(AB_TF!F:F,"="&amp;A259,AB_TF!E:E,"Small*")</f>
        <v>0</v>
      </c>
      <c r="S259" s="63">
        <f>COUNTIFS(AB_TF!F:F,"="&amp;A259,AB_TF!E:E,"Medium*")</f>
        <v>0</v>
      </c>
      <c r="T259" s="63">
        <f>COUNTIFS(AB_TF!F:F,"="&amp;A259,AB_TF!E:E,"Large*")</f>
        <v>0</v>
      </c>
      <c r="U259" s="64">
        <f t="shared" si="1"/>
        <v>0</v>
      </c>
    </row>
    <row r="260">
      <c r="A260" s="7">
        <f>IFERROR(__xludf.DUMMYFUNCTION("""COMPUTED_VALUE"""),463.0)</f>
        <v>463</v>
      </c>
      <c r="B260" s="7" t="str">
        <f>IFERROR(__xludf.DUMMYFUNCTION("""COMPUTED_VALUE"""),"VIRI$$")</f>
        <v>VIRI$$</v>
      </c>
      <c r="C260" s="7"/>
      <c r="D260" s="7" t="str">
        <f>IFERROR(__xludf.DUMMYFUNCTION("""COMPUTED_VALUE"""),"she/her")</f>
        <v>she/her</v>
      </c>
      <c r="E260" s="7" t="str">
        <f>IFERROR(__xludf.DUMMYFUNCTION("""COMPUTED_VALUE"""),"Sri Lankan")</f>
        <v>Sri Lankan</v>
      </c>
      <c r="F260" s="7" t="str">
        <f>IFERROR(__xludf.DUMMYFUNCTION("""COMPUTED_VALUE"""),"London")</f>
        <v>London</v>
      </c>
      <c r="G260" s="7"/>
      <c r="H260" s="7" t="str">
        <f>IFERROR(__xludf.DUMMYFUNCTION("""COMPUTED_VALUE"""),"DJ")</f>
        <v>DJ</v>
      </c>
      <c r="I260" s="7" t="str">
        <f>IFERROR(__xludf.DUMMYFUNCTION("""COMPUTED_VALUE"""),"Global club - shatta, bouyon, baile funk, dancehall")</f>
        <v>Global club - shatta, bouyon, baile funk, dancehall</v>
      </c>
      <c r="J260" s="57" t="str">
        <f>IFERROR(__xludf.DUMMYFUNCTION("""COMPUTED_VALUE"""),"https://www.instagram.com/viriss___/")</f>
        <v>https://www.instagram.com/viriss___/</v>
      </c>
      <c r="K260" s="7" t="str">
        <f>IFERROR(__xludf.DUMMYFUNCTION("""COMPUTED_VALUE"""),"viriss___")</f>
        <v>viriss___</v>
      </c>
      <c r="L260" s="57" t="str">
        <f>IFERROR(__xludf.DUMMYFUNCTION("""COMPUTED_VALUE"""),"https://soundcloud.com/vir_iss")</f>
        <v>https://soundcloud.com/vir_iss</v>
      </c>
      <c r="M260" s="7"/>
      <c r="N260" s="7"/>
      <c r="O260" s="57" t="str">
        <f>IFERROR(__xludf.DUMMYFUNCTION("""COMPUTED_VALUE"""),"https://soundcloud.com/islaradio/viriss")</f>
        <v>https://soundcloud.com/islaradio/viriss</v>
      </c>
      <c r="P260" s="62">
        <f t="array" ref="P260">MAX(IF($A260=AB_TF!F:F,AB_TF!D:D))</f>
        <v>0</v>
      </c>
      <c r="Q260" s="63" t="str">
        <f t="array" ref="Q260">INDEX(AB_TF!C:C,MATCH(1,(AB_TF!F:F=A260)*(AB_TF!D:D=P260),0))</f>
        <v>#N/A</v>
      </c>
      <c r="R260" s="63">
        <f>COUNTIFS(AB_TF!F:F,"="&amp;A260,AB_TF!E:E,"Small*")</f>
        <v>0</v>
      </c>
      <c r="S260" s="63">
        <f>COUNTIFS(AB_TF!F:F,"="&amp;A260,AB_TF!E:E,"Medium*")</f>
        <v>0</v>
      </c>
      <c r="T260" s="63">
        <f>COUNTIFS(AB_TF!F:F,"="&amp;A260,AB_TF!E:E,"Large*")</f>
        <v>0</v>
      </c>
      <c r="U260" s="64">
        <f t="shared" si="1"/>
        <v>0</v>
      </c>
    </row>
    <row r="261">
      <c r="A261" s="7">
        <f>IFERROR(__xludf.DUMMYFUNCTION("""COMPUTED_VALUE"""),464.0)</f>
        <v>464</v>
      </c>
      <c r="B261" s="7" t="str">
        <f>IFERROR(__xludf.DUMMYFUNCTION("""COMPUTED_VALUE"""),"Jaz Imsky")</f>
        <v>Jaz Imsky</v>
      </c>
      <c r="C261" s="7" t="str">
        <f>IFERROR(__xludf.DUMMYFUNCTION("""COMPUTED_VALUE"""),"Jaz")</f>
        <v>Jaz</v>
      </c>
      <c r="D261" s="7" t="str">
        <f>IFERROR(__xludf.DUMMYFUNCTION("""COMPUTED_VALUE"""),"she/her")</f>
        <v>she/her</v>
      </c>
      <c r="E261" s="7" t="str">
        <f>IFERROR(__xludf.DUMMYFUNCTION("""COMPUTED_VALUE"""),"Sri Lankan")</f>
        <v>Sri Lankan</v>
      </c>
      <c r="F261" s="7" t="str">
        <f>IFERROR(__xludf.DUMMYFUNCTION("""COMPUTED_VALUE"""),"London")</f>
        <v>London</v>
      </c>
      <c r="G261" s="7"/>
      <c r="H261" s="7" t="str">
        <f>IFERROR(__xludf.DUMMYFUNCTION("""COMPUTED_VALUE"""),"DJ/Producer")</f>
        <v>DJ/Producer</v>
      </c>
      <c r="I261" s="7" t="str">
        <f>IFERROR(__xludf.DUMMYFUNCTION("""COMPUTED_VALUE"""),"Dubstep, grime, bass")</f>
        <v>Dubstep, grime, bass</v>
      </c>
      <c r="J261" s="7" t="str">
        <f>IFERROR(__xludf.DUMMYFUNCTION("""COMPUTED_VALUE"""),"tremayne@23degreesevents.com")</f>
        <v>tremayne@23degreesevents.com</v>
      </c>
      <c r="K261" s="7" t="str">
        <f>IFERROR(__xludf.DUMMYFUNCTION("""COMPUTED_VALUE"""),"jaz.imsky")</f>
        <v>jaz.imsky</v>
      </c>
      <c r="L261" s="7" t="str">
        <f>IFERROR(__xludf.DUMMYFUNCTION("""COMPUTED_VALUE"""),"jazimsky")</f>
        <v>jazimsky</v>
      </c>
      <c r="M261" s="7"/>
      <c r="N261" s="7"/>
      <c r="O261" s="7"/>
      <c r="P261" s="62">
        <f t="array" ref="P261">MAX(IF($A261=AB_TF!F:F,AB_TF!D:D))</f>
        <v>0</v>
      </c>
      <c r="Q261" s="63" t="str">
        <f t="array" ref="Q261">INDEX(AB_TF!C:C,MATCH(1,(AB_TF!F:F=A261)*(AB_TF!D:D=P261),0))</f>
        <v>#N/A</v>
      </c>
      <c r="R261" s="63">
        <f>COUNTIFS(AB_TF!F:F,"="&amp;A261,AB_TF!E:E,"Small*")</f>
        <v>0</v>
      </c>
      <c r="S261" s="63">
        <f>COUNTIFS(AB_TF!F:F,"="&amp;A261,AB_TF!E:E,"Medium*")</f>
        <v>0</v>
      </c>
      <c r="T261" s="63">
        <f>COUNTIFS(AB_TF!F:F,"="&amp;A261,AB_TF!E:E,"Large*")</f>
        <v>0</v>
      </c>
      <c r="U261" s="64">
        <f t="shared" si="1"/>
        <v>0</v>
      </c>
    </row>
    <row r="262">
      <c r="A262" s="7">
        <f>IFERROR(__xludf.DUMMYFUNCTION("""COMPUTED_VALUE"""),465.0)</f>
        <v>465</v>
      </c>
      <c r="B262" s="7" t="str">
        <f>IFERROR(__xludf.DUMMYFUNCTION("""COMPUTED_VALUE"""),"Smoove Kriminal")</f>
        <v>Smoove Kriminal</v>
      </c>
      <c r="C262" s="7"/>
      <c r="D262" s="7" t="str">
        <f>IFERROR(__xludf.DUMMYFUNCTION("""COMPUTED_VALUE"""),"he/him")</f>
        <v>he/him</v>
      </c>
      <c r="E262" s="7" t="str">
        <f>IFERROR(__xludf.DUMMYFUNCTION("""COMPUTED_VALUE"""),"South Asian")</f>
        <v>South Asian</v>
      </c>
      <c r="F262" s="7" t="str">
        <f>IFERROR(__xludf.DUMMYFUNCTION("""COMPUTED_VALUE"""),"London")</f>
        <v>London</v>
      </c>
      <c r="G262" s="7"/>
      <c r="H262" s="7" t="str">
        <f>IFERROR(__xludf.DUMMYFUNCTION("""COMPUTED_VALUE"""),"DJ/Producer")</f>
        <v>DJ/Producer</v>
      </c>
      <c r="I262" s="7" t="str">
        <f>IFERROR(__xludf.DUMMYFUNCTION("""COMPUTED_VALUE"""),"UK Funky, Afrohouse, Amapiano")</f>
        <v>UK Funky, Afrohouse, Amapiano</v>
      </c>
      <c r="J262" s="7" t="str">
        <f>IFERROR(__xludf.DUMMYFUNCTION("""COMPUTED_VALUE"""),"SmooveKriminal@hotmail.co.uk")</f>
        <v>SmooveKriminal@hotmail.co.uk</v>
      </c>
      <c r="K262" s="7" t="str">
        <f>IFERROR(__xludf.DUMMYFUNCTION("""COMPUTED_VALUE"""),"SmooveKriminal")</f>
        <v>SmooveKriminal</v>
      </c>
      <c r="L262" s="7" t="str">
        <f>IFERROR(__xludf.DUMMYFUNCTION("""COMPUTED_VALUE"""),"smoovekriminal")</f>
        <v>smoovekriminal</v>
      </c>
      <c r="M262" s="7"/>
      <c r="N262" s="7"/>
      <c r="O262" s="57" t="str">
        <f>IFERROR(__xludf.DUMMYFUNCTION("""COMPUTED_VALUE"""),"https://smoovekriminal.bandcamp.com/")</f>
        <v>https://smoovekriminal.bandcamp.com/</v>
      </c>
      <c r="P262" s="62">
        <f t="array" ref="P262">MAX(IF($A262=AB_TF!F:F,AB_TF!D:D))</f>
        <v>0</v>
      </c>
      <c r="Q262" s="63" t="str">
        <f t="array" ref="Q262">INDEX(AB_TF!C:C,MATCH(1,(AB_TF!F:F=A262)*(AB_TF!D:D=P262),0))</f>
        <v>#N/A</v>
      </c>
      <c r="R262" s="63">
        <f>COUNTIFS(AB_TF!F:F,"="&amp;A262,AB_TF!E:E,"Small*")</f>
        <v>0</v>
      </c>
      <c r="S262" s="63">
        <f>COUNTIFS(AB_TF!F:F,"="&amp;A262,AB_TF!E:E,"Medium*")</f>
        <v>0</v>
      </c>
      <c r="T262" s="63">
        <f>COUNTIFS(AB_TF!F:F,"="&amp;A262,AB_TF!E:E,"Large*")</f>
        <v>0</v>
      </c>
      <c r="U262" s="64">
        <f t="shared" si="1"/>
        <v>0</v>
      </c>
    </row>
    <row r="263">
      <c r="A263" s="7">
        <f>IFERROR(__xludf.DUMMYFUNCTION("""COMPUTED_VALUE"""),466.0)</f>
        <v>466</v>
      </c>
      <c r="B263" s="7" t="str">
        <f>IFERROR(__xludf.DUMMYFUNCTION("""COMPUTED_VALUE"""),"
ROHiNA ")</f>
        <v>
ROHiNA </v>
      </c>
      <c r="C263" s="7" t="str">
        <f>IFERROR(__xludf.DUMMYFUNCTION("""COMPUTED_VALUE"""),"Rohina")</f>
        <v>Rohina</v>
      </c>
      <c r="D263" s="7" t="str">
        <f>IFERROR(__xludf.DUMMYFUNCTION("""COMPUTED_VALUE"""),"she/they")</f>
        <v>she/they</v>
      </c>
      <c r="E263" s="7" t="str">
        <f>IFERROR(__xludf.DUMMYFUNCTION("""COMPUTED_VALUE"""),"Sri Lankan")</f>
        <v>Sri Lankan</v>
      </c>
      <c r="F263" s="7" t="str">
        <f>IFERROR(__xludf.DUMMYFUNCTION("""COMPUTED_VALUE"""),"London")</f>
        <v>London</v>
      </c>
      <c r="G263" s="7"/>
      <c r="H263" s="7" t="str">
        <f>IFERROR(__xludf.DUMMYFUNCTION("""COMPUTED_VALUE"""),"DJ")</f>
        <v>DJ</v>
      </c>
      <c r="I263" s="7" t="str">
        <f>IFERROR(__xludf.DUMMYFUNCTION("""COMPUTED_VALUE"""),"Global club - bassy, high energy, baile funk, soca")</f>
        <v>Global club - bassy, high energy, baile funk, soca</v>
      </c>
      <c r="J263" s="57" t="str">
        <f>IFERROR(__xludf.DUMMYFUNCTION("""COMPUTED_VALUE"""),"https://www.instagram.com/rohinacp/")</f>
        <v>https://www.instagram.com/rohinacp/</v>
      </c>
      <c r="K263" s="7" t="str">
        <f>IFERROR(__xludf.DUMMYFUNCTION("""COMPUTED_VALUE"""),"rohinacp")</f>
        <v>rohinacp</v>
      </c>
      <c r="L263" s="7" t="str">
        <f>IFERROR(__xludf.DUMMYFUNCTION("""COMPUTED_VALUE"""),"rohinacp")</f>
        <v>rohinacp</v>
      </c>
      <c r="M263" s="7"/>
      <c r="N263" s="7"/>
      <c r="O263" s="7"/>
      <c r="P263" s="62">
        <f t="array" ref="P263">MAX(IF($A263=AB_TF!F:F,AB_TF!D:D))</f>
        <v>0</v>
      </c>
      <c r="Q263" s="63" t="str">
        <f t="array" ref="Q263">INDEX(AB_TF!C:C,MATCH(1,(AB_TF!F:F=A263)*(AB_TF!D:D=P263),0))</f>
        <v>#N/A</v>
      </c>
      <c r="R263" s="63">
        <f>COUNTIFS(AB_TF!F:F,"="&amp;A263,AB_TF!E:E,"Small*")</f>
        <v>0</v>
      </c>
      <c r="S263" s="63">
        <f>COUNTIFS(AB_TF!F:F,"="&amp;A263,AB_TF!E:E,"Medium*")</f>
        <v>0</v>
      </c>
      <c r="T263" s="63">
        <f>COUNTIFS(AB_TF!F:F,"="&amp;A263,AB_TF!E:E,"Large*")</f>
        <v>0</v>
      </c>
      <c r="U263" s="64">
        <f t="shared" si="1"/>
        <v>0</v>
      </c>
    </row>
    <row r="264">
      <c r="A264" s="7">
        <f>IFERROR(__xludf.DUMMYFUNCTION("""COMPUTED_VALUE"""),467.0)</f>
        <v>467</v>
      </c>
      <c r="B264" s="7" t="str">
        <f>IFERROR(__xludf.DUMMYFUNCTION("""COMPUTED_VALUE"""),"Kabir")</f>
        <v>Kabir</v>
      </c>
      <c r="C264" s="7" t="str">
        <f>IFERROR(__xludf.DUMMYFUNCTION("""COMPUTED_VALUE"""),"Kabir")</f>
        <v>Kabir</v>
      </c>
      <c r="D264" s="7"/>
      <c r="E264" s="7" t="str">
        <f>IFERROR(__xludf.DUMMYFUNCTION("""COMPUTED_VALUE"""),"Punjabi/Indian")</f>
        <v>Punjabi/Indian</v>
      </c>
      <c r="F264" s="7" t="str">
        <f>IFERROR(__xludf.DUMMYFUNCTION("""COMPUTED_VALUE"""),"London")</f>
        <v>London</v>
      </c>
      <c r="G264" s="7"/>
      <c r="H264" s="7" t="str">
        <f>IFERROR(__xludf.DUMMYFUNCTION("""COMPUTED_VALUE"""),"DJ")</f>
        <v>DJ</v>
      </c>
      <c r="I264" s="7" t="str">
        <f>IFERROR(__xludf.DUMMYFUNCTION("""COMPUTED_VALUE"""),"Arab and Brazilian electronic music, Singeli and Shatta, Bollywood, UK club sounds, grime &amp; Panjabi garage")</f>
        <v>Arab and Brazilian electronic music, Singeli and Shatta, Bollywood, UK club sounds, grime &amp; Panjabi garage</v>
      </c>
      <c r="J264" s="57" t="str">
        <f>IFERROR(__xludf.DUMMYFUNCTION("""COMPUTED_VALUE"""),"https://www.instagram.com/kabirzjo/")</f>
        <v>https://www.instagram.com/kabirzjo/</v>
      </c>
      <c r="K264" s="7" t="str">
        <f>IFERROR(__xludf.DUMMYFUNCTION("""COMPUTED_VALUE"""),"kabirzjo")</f>
        <v>kabirzjo</v>
      </c>
      <c r="L264" s="7"/>
      <c r="M264" s="7"/>
      <c r="N264" s="7"/>
      <c r="O264" s="57" t="str">
        <f>IFERROR(__xludf.DUMMYFUNCTION("""COMPUTED_VALUE"""),"https://soundcloud.com/netil-radio/koshari-w-kabir-3rd-june-2025?in=netil-radio/sets/koshari-1st-tuesday-5-7pm")</f>
        <v>https://soundcloud.com/netil-radio/koshari-w-kabir-3rd-june-2025?in=netil-radio/sets/koshari-1st-tuesday-5-7pm</v>
      </c>
      <c r="P264" s="62">
        <f t="array" ref="P264">MAX(IF($A264=AB_TF!F:F,AB_TF!D:D))</f>
        <v>0</v>
      </c>
      <c r="Q264" s="63" t="str">
        <f t="array" ref="Q264">INDEX(AB_TF!C:C,MATCH(1,(AB_TF!F:F=A264)*(AB_TF!D:D=P264),0))</f>
        <v>#N/A</v>
      </c>
      <c r="R264" s="63">
        <f>COUNTIFS(AB_TF!F:F,"="&amp;A264,AB_TF!E:E,"Small*")</f>
        <v>0</v>
      </c>
      <c r="S264" s="63">
        <f>COUNTIFS(AB_TF!F:F,"="&amp;A264,AB_TF!E:E,"Medium*")</f>
        <v>0</v>
      </c>
      <c r="T264" s="63">
        <f>COUNTIFS(AB_TF!F:F,"="&amp;A264,AB_TF!E:E,"Large*")</f>
        <v>0</v>
      </c>
      <c r="U264" s="64">
        <f t="shared" si="1"/>
        <v>0</v>
      </c>
    </row>
    <row r="265">
      <c r="A265" s="7">
        <f>IFERROR(__xludf.DUMMYFUNCTION("""COMPUTED_VALUE"""),468.0)</f>
        <v>468</v>
      </c>
      <c r="B265" s="7" t="str">
        <f>IFERROR(__xludf.DUMMYFUNCTION("""COMPUTED_VALUE"""),"HTMLJones")</f>
        <v>HTMLJones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62">
        <f t="array" ref="P265">MAX(IF($A265=AB_TF!F:F,AB_TF!D:D))</f>
        <v>0</v>
      </c>
      <c r="Q265" s="63" t="str">
        <f t="array" ref="Q265">INDEX(AB_TF!C:C,MATCH(1,(AB_TF!F:F=A265)*(AB_TF!D:D=P265),0))</f>
        <v>#N/A</v>
      </c>
      <c r="R265" s="63">
        <f>COUNTIFS(AB_TF!F:F,"="&amp;A265,AB_TF!E:E,"Small*")</f>
        <v>0</v>
      </c>
      <c r="S265" s="63">
        <f>COUNTIFS(AB_TF!F:F,"="&amp;A265,AB_TF!E:E,"Medium*")</f>
        <v>0</v>
      </c>
      <c r="T265" s="63">
        <f>COUNTIFS(AB_TF!F:F,"="&amp;A265,AB_TF!E:E,"Large*")</f>
        <v>0</v>
      </c>
      <c r="U265" s="64">
        <f t="shared" si="1"/>
        <v>0</v>
      </c>
    </row>
    <row r="266">
      <c r="A266" s="7">
        <f>IFERROR(__xludf.DUMMYFUNCTION("""COMPUTED_VALUE"""),469.0)</f>
        <v>469</v>
      </c>
      <c r="B266" s="7" t="str">
        <f>IFERROR(__xludf.DUMMYFUNCTION("""COMPUTED_VALUE"""),"Garoess")</f>
        <v>Garoess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62">
        <f t="array" ref="P266">MAX(IF($A266=AB_TF!F:F,AB_TF!D:D))</f>
        <v>0</v>
      </c>
      <c r="Q266" s="63" t="str">
        <f t="array" ref="Q266">INDEX(AB_TF!C:C,MATCH(1,(AB_TF!F:F=A266)*(AB_TF!D:D=P266),0))</f>
        <v>#N/A</v>
      </c>
      <c r="R266" s="63">
        <f>COUNTIFS(AB_TF!F:F,"="&amp;A266,AB_TF!E:E,"Small*")</f>
        <v>0</v>
      </c>
      <c r="S266" s="63">
        <f>COUNTIFS(AB_TF!F:F,"="&amp;A266,AB_TF!E:E,"Medium*")</f>
        <v>0</v>
      </c>
      <c r="T266" s="63">
        <f>COUNTIFS(AB_TF!F:F,"="&amp;A266,AB_TF!E:E,"Large*")</f>
        <v>0</v>
      </c>
      <c r="U266" s="64">
        <f t="shared" si="1"/>
        <v>0</v>
      </c>
    </row>
    <row r="267">
      <c r="A267" s="7">
        <f>IFERROR(__xludf.DUMMYFUNCTION("""COMPUTED_VALUE"""),470.0)</f>
        <v>470</v>
      </c>
      <c r="B267" s="7" t="str">
        <f>IFERROR(__xludf.DUMMYFUNCTION("""COMPUTED_VALUE"""),"Phia500")</f>
        <v>Phia500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62">
        <f t="array" ref="P267">MAX(IF($A267=AB_TF!F:F,AB_TF!D:D))</f>
        <v>0</v>
      </c>
      <c r="Q267" s="63" t="str">
        <f t="array" ref="Q267">INDEX(AB_TF!C:C,MATCH(1,(AB_TF!F:F=A267)*(AB_TF!D:D=P267),0))</f>
        <v>#N/A</v>
      </c>
      <c r="R267" s="63">
        <f>COUNTIFS(AB_TF!F:F,"="&amp;A267,AB_TF!E:E,"Small*")</f>
        <v>0</v>
      </c>
      <c r="S267" s="63">
        <f>COUNTIFS(AB_TF!F:F,"="&amp;A267,AB_TF!E:E,"Medium*")</f>
        <v>0</v>
      </c>
      <c r="T267" s="63">
        <f>COUNTIFS(AB_TF!F:F,"="&amp;A267,AB_TF!E:E,"Large*")</f>
        <v>0</v>
      </c>
      <c r="U267" s="64">
        <f t="shared" si="1"/>
        <v>0</v>
      </c>
    </row>
    <row r="268">
      <c r="A268" s="7">
        <f>IFERROR(__xludf.DUMMYFUNCTION("""COMPUTED_VALUE"""),471.0)</f>
        <v>471</v>
      </c>
      <c r="B268" s="7" t="str">
        <f>IFERROR(__xludf.DUMMYFUNCTION("""COMPUTED_VALUE"""),"girlcalledsim")</f>
        <v>girlcalledsim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62">
        <f t="array" ref="P268">MAX(IF($A268=AB_TF!F:F,AB_TF!D:D))</f>
        <v>0</v>
      </c>
      <c r="Q268" s="63" t="str">
        <f t="array" ref="Q268">INDEX(AB_TF!C:C,MATCH(1,(AB_TF!F:F=A268)*(AB_TF!D:D=P268),0))</f>
        <v>#N/A</v>
      </c>
      <c r="R268" s="63">
        <f>COUNTIFS(AB_TF!F:F,"="&amp;A268,AB_TF!E:E,"Small*")</f>
        <v>0</v>
      </c>
      <c r="S268" s="63">
        <f>COUNTIFS(AB_TF!F:F,"="&amp;A268,AB_TF!E:E,"Medium*")</f>
        <v>0</v>
      </c>
      <c r="T268" s="63">
        <f>COUNTIFS(AB_TF!F:F,"="&amp;A268,AB_TF!E:E,"Large*")</f>
        <v>0</v>
      </c>
      <c r="U268" s="64">
        <f t="shared" si="1"/>
        <v>0</v>
      </c>
    </row>
    <row r="269">
      <c r="A269" s="7">
        <f>IFERROR(__xludf.DUMMYFUNCTION("""COMPUTED_VALUE"""),472.0)</f>
        <v>472</v>
      </c>
      <c r="B269" s="7" t="str">
        <f>IFERROR(__xludf.DUMMYFUNCTION("""COMPUTED_VALUE"""),"sun-san")</f>
        <v>sun-san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62">
        <f t="array" ref="P269">MAX(IF($A269=AB_TF!F:F,AB_TF!D:D))</f>
        <v>0</v>
      </c>
      <c r="Q269" s="63" t="str">
        <f t="array" ref="Q269">INDEX(AB_TF!C:C,MATCH(1,(AB_TF!F:F=A269)*(AB_TF!D:D=P269),0))</f>
        <v>#N/A</v>
      </c>
      <c r="R269" s="63">
        <f>COUNTIFS(AB_TF!F:F,"="&amp;A269,AB_TF!E:E,"Small*")</f>
        <v>0</v>
      </c>
      <c r="S269" s="63">
        <f>COUNTIFS(AB_TF!F:F,"="&amp;A269,AB_TF!E:E,"Medium*")</f>
        <v>0</v>
      </c>
      <c r="T269" s="63">
        <f>COUNTIFS(AB_TF!F:F,"="&amp;A269,AB_TF!E:E,"Large*")</f>
        <v>0</v>
      </c>
      <c r="U269" s="64">
        <f t="shared" si="1"/>
        <v>0</v>
      </c>
    </row>
    <row r="270">
      <c r="A270" s="7">
        <f>IFERROR(__xludf.DUMMYFUNCTION("""COMPUTED_VALUE"""),463.0)</f>
        <v>463</v>
      </c>
      <c r="B270" s="7" t="str">
        <f>IFERROR(__xludf.DUMMYFUNCTION("""COMPUTED_VALUE"""),"Neha")</f>
        <v>Neha</v>
      </c>
      <c r="C270" s="7" t="str">
        <f>IFERROR(__xludf.DUMMYFUNCTION("""COMPUTED_VALUE"""),"Neha")</f>
        <v>Neha</v>
      </c>
      <c r="D270" s="7" t="str">
        <f>IFERROR(__xludf.DUMMYFUNCTION("""COMPUTED_VALUE"""),"she/her")</f>
        <v>she/her</v>
      </c>
      <c r="E270" s="7" t="str">
        <f>IFERROR(__xludf.DUMMYFUNCTION("""COMPUTED_VALUE"""),"Pakistani")</f>
        <v>Pakistani</v>
      </c>
      <c r="F270" s="7" t="str">
        <f>IFERROR(__xludf.DUMMYFUNCTION("""COMPUTED_VALUE"""),"London")</f>
        <v>London</v>
      </c>
      <c r="G270" s="7" t="str">
        <f>IFERROR(__xludf.DUMMYFUNCTION("""COMPUTED_VALUE"""),"N/A")</f>
        <v>N/A</v>
      </c>
      <c r="H270" s="7" t="str">
        <f>IFERROR(__xludf.DUMMYFUNCTION("""COMPUTED_VALUE"""),"DJ")</f>
        <v>DJ</v>
      </c>
      <c r="I270" s="7" t="str">
        <f>IFERROR(__xludf.DUMMYFUNCTION("""COMPUTED_VALUE"""),"minimal, house, ")</f>
        <v>minimal, house, </v>
      </c>
      <c r="J270" s="7" t="str">
        <f>IFERROR(__xludf.DUMMYFUNCTION("""COMPUTED_VALUE"""),"nehakhanldnuk@gmail.com")</f>
        <v>nehakhanldnuk@gmail.com</v>
      </c>
      <c r="K270" s="7" t="str">
        <f>IFERROR(__xludf.DUMMYFUNCTION("""COMPUTED_VALUE"""),"@nehakhanxo")</f>
        <v>@nehakhanxo</v>
      </c>
      <c r="L270" s="57" t="str">
        <f>IFERROR(__xludf.DUMMYFUNCTION("""COMPUTED_VALUE"""),"https://soundcloud.com/neha-khan")</f>
        <v>https://soundcloud.com/neha-khan</v>
      </c>
      <c r="M270" s="7"/>
      <c r="N270" s="7"/>
      <c r="O270" s="57" t="str">
        <f>IFERROR(__xludf.DUMMYFUNCTION("""COMPUTED_VALUE"""),"https://www.youtube.com/watch?v=bNXxnyvPksw&amp;t=1s")</f>
        <v>https://www.youtube.com/watch?v=bNXxnyvPksw&amp;t=1s</v>
      </c>
      <c r="P270" s="62">
        <f t="array" ref="P270">MAX(IF($A270=AB_TF!F:F,AB_TF!D:D))</f>
        <v>0</v>
      </c>
      <c r="Q270" s="63" t="str">
        <f t="array" ref="Q270">INDEX(AB_TF!C:C,MATCH(1,(AB_TF!F:F=A270)*(AB_TF!D:D=P270),0))</f>
        <v>#N/A</v>
      </c>
      <c r="R270" s="63">
        <f>COUNTIFS(AB_TF!F:F,"="&amp;A270,AB_TF!E:E,"Small*")</f>
        <v>0</v>
      </c>
      <c r="S270" s="63">
        <f>COUNTIFS(AB_TF!F:F,"="&amp;A270,AB_TF!E:E,"Medium*")</f>
        <v>0</v>
      </c>
      <c r="T270" s="63">
        <f>COUNTIFS(AB_TF!F:F,"="&amp;A270,AB_TF!E:E,"Large*")</f>
        <v>0</v>
      </c>
      <c r="U270" s="64">
        <f t="shared" si="1"/>
        <v>0</v>
      </c>
    </row>
    <row r="271">
      <c r="A271" s="7">
        <f>IFERROR(__xludf.DUMMYFUNCTION("""COMPUTED_VALUE"""),464.0)</f>
        <v>464</v>
      </c>
      <c r="B271" s="7" t="str">
        <f>IFERROR(__xludf.DUMMYFUNCTION("""COMPUTED_VALUE"""),"Prithvi")</f>
        <v>Prithvi</v>
      </c>
      <c r="C271" s="7" t="str">
        <f>IFERROR(__xludf.DUMMYFUNCTION("""COMPUTED_VALUE"""),"Prithvi Kumar")</f>
        <v>Prithvi Kumar</v>
      </c>
      <c r="D271" s="7" t="str">
        <f>IFERROR(__xludf.DUMMYFUNCTION("""COMPUTED_VALUE"""),"He/Him")</f>
        <v>He/Him</v>
      </c>
      <c r="E271" s="7" t="str">
        <f>IFERROR(__xludf.DUMMYFUNCTION("""COMPUTED_VALUE"""),"Punjabi")</f>
        <v>Punjabi</v>
      </c>
      <c r="F271" s="7" t="str">
        <f>IFERROR(__xludf.DUMMYFUNCTION("""COMPUTED_VALUE"""),"London, Bristol, Manchester")</f>
        <v>London, Bristol, Manchester</v>
      </c>
      <c r="G271" s="7"/>
      <c r="H271" s="7" t="str">
        <f>IFERROR(__xludf.DUMMYFUNCTION("""COMPUTED_VALUE"""),"DJ")</f>
        <v>DJ</v>
      </c>
      <c r="I271" s="7" t="str">
        <f>IFERROR(__xludf.DUMMYFUNCTION("""COMPUTED_VALUE"""),"UKG, Jungle, House")</f>
        <v>UKG, Jungle, House</v>
      </c>
      <c r="J271" s="7" t="str">
        <f>IFERROR(__xludf.DUMMYFUNCTION("""COMPUTED_VALUE"""),"prithviuk1@gmail.com")</f>
        <v>prithviuk1@gmail.com</v>
      </c>
      <c r="K271" s="7" t="str">
        <f>IFERROR(__xludf.DUMMYFUNCTION("""COMPUTED_VALUE"""),"prithvi_uk")</f>
        <v>prithvi_uk</v>
      </c>
      <c r="L271" s="57" t="str">
        <f>IFERROR(__xludf.DUMMYFUNCTION("""COMPUTED_VALUE"""),"https://soundcloud.com/prithviuk")</f>
        <v>https://soundcloud.com/prithviuk</v>
      </c>
      <c r="M271" s="57" t="str">
        <f>IFERROR(__xludf.DUMMYFUNCTION("""COMPUTED_VALUE"""),"https://www.tiktok.com/@prithvi_vip")</f>
        <v>https://www.tiktok.com/@prithvi_vip</v>
      </c>
      <c r="N271" s="7"/>
      <c r="O271" s="7"/>
      <c r="P271" s="62">
        <f t="array" ref="P271">MAX(IF($A271=AB_TF!F:F,AB_TF!D:D))</f>
        <v>0</v>
      </c>
      <c r="Q271" s="63" t="str">
        <f t="array" ref="Q271">INDEX(AB_TF!C:C,MATCH(1,(AB_TF!F:F=A271)*(AB_TF!D:D=P271),0))</f>
        <v>#N/A</v>
      </c>
      <c r="R271" s="63">
        <f>COUNTIFS(AB_TF!F:F,"="&amp;A271,AB_TF!E:E,"Small*")</f>
        <v>0</v>
      </c>
      <c r="S271" s="63">
        <f>COUNTIFS(AB_TF!F:F,"="&amp;A271,AB_TF!E:E,"Medium*")</f>
        <v>0</v>
      </c>
      <c r="T271" s="63">
        <f>COUNTIFS(AB_TF!F:F,"="&amp;A271,AB_TF!E:E,"Large*")</f>
        <v>0</v>
      </c>
      <c r="U271" s="64">
        <f t="shared" si="1"/>
        <v>0</v>
      </c>
    </row>
    <row r="272">
      <c r="A272" s="7"/>
      <c r="B272" s="7" t="str">
        <f>IFERROR(__xludf.DUMMYFUNCTION("""COMPUTED_VALUE"""),"Alfaz")</f>
        <v>Alfaz</v>
      </c>
      <c r="C272" s="7" t="str">
        <f>IFERROR(__xludf.DUMMYFUNCTION("""COMPUTED_VALUE"""),"Alfaz Nurul")</f>
        <v>Alfaz Nurul</v>
      </c>
      <c r="D272" s="7" t="str">
        <f>IFERROR(__xludf.DUMMYFUNCTION("""COMPUTED_VALUE"""),"He/His")</f>
        <v>He/His</v>
      </c>
      <c r="E272" s="7" t="str">
        <f>IFERROR(__xludf.DUMMYFUNCTION("""COMPUTED_VALUE"""),"Bangladeshi Italian")</f>
        <v>Bangladeshi Italian</v>
      </c>
      <c r="F272" s="7" t="str">
        <f>IFERROR(__xludf.DUMMYFUNCTION("""COMPUTED_VALUE"""),"London")</f>
        <v>London</v>
      </c>
      <c r="G272" s="7"/>
      <c r="H272" s="7" t="str">
        <f>IFERROR(__xludf.DUMMYFUNCTION("""COMPUTED_VALUE"""),"DJ")</f>
        <v>DJ</v>
      </c>
      <c r="I272" s="7" t="str">
        <f>IFERROR(__xludf.DUMMYFUNCTION("""COMPUTED_VALUE"""),"House and Disco")</f>
        <v>House and Disco</v>
      </c>
      <c r="J272" s="7" t="str">
        <f>IFERROR(__xludf.DUMMYFUNCTION("""COMPUTED_VALUE"""),"salottosounds@gmail.com")</f>
        <v>salottosounds@gmail.com</v>
      </c>
      <c r="K272" s="7" t="str">
        <f>IFERROR(__xludf.DUMMYFUNCTION("""COMPUTED_VALUE"""),"@alfaznrl")</f>
        <v>@alfaznrl</v>
      </c>
      <c r="L272" s="7" t="str">
        <f>IFERROR(__xludf.DUMMYFUNCTION("""COMPUTED_VALUE"""),"https://soundcloud.com/alfaz-nurul and https://soundcloud.com/norulesukldn")</f>
        <v>https://soundcloud.com/alfaz-nurul and https://soundcloud.com/norulesukldn</v>
      </c>
      <c r="M272" s="7" t="str">
        <f>IFERROR(__xludf.DUMMYFUNCTION("""COMPUTED_VALUE"""),"salottosounds")</f>
        <v>salottosounds</v>
      </c>
      <c r="N272" s="7"/>
      <c r="O272" s="7" t="str">
        <f>IFERROR(__xludf.DUMMYFUNCTION("""COMPUTED_VALUE"""),"https://soundcloud.com/norulesukldn for my stuff that I have done with my brother as No Rules
for my events Salotto Sounds: https://soundcloud.com/salotto-sounds
My Personal https://soundcloud.com/alfaz-nurul")</f>
        <v>https://soundcloud.com/norulesukldn for my stuff that I have done with my brother as No Rules
for my events Salotto Sounds: https://soundcloud.com/salotto-sounds
My Personal https://soundcloud.com/alfaz-nurul</v>
      </c>
      <c r="P272" s="62">
        <f t="array" ref="P272">MAX(IF($A272=AB_TF!F:F,AB_TF!D:D))</f>
        <v>0</v>
      </c>
      <c r="Q272" s="63" t="str">
        <f t="array" ref="Q272">INDEX(AB_TF!C:C,MATCH(1,(AB_TF!F:F=A272)*(AB_TF!D:D=P272),0))</f>
        <v/>
      </c>
      <c r="R272" s="63">
        <f>COUNTIFS(AB_TF!F:F,"="&amp;A272,AB_TF!E:E,"Small*")</f>
        <v>0</v>
      </c>
      <c r="S272" s="63">
        <f>COUNTIFS(AB_TF!F:F,"="&amp;A272,AB_TF!E:E,"Medium*")</f>
        <v>0</v>
      </c>
      <c r="T272" s="63">
        <f>COUNTIFS(AB_TF!F:F,"="&amp;A272,AB_TF!E:E,"Large*")</f>
        <v>0</v>
      </c>
      <c r="U272" s="64">
        <f t="shared" si="1"/>
        <v>0</v>
      </c>
    </row>
    <row r="273">
      <c r="A273" s="7"/>
      <c r="B273" s="7" t="str">
        <f>IFERROR(__xludf.DUMMYFUNCTION("""COMPUTED_VALUE"""),"RX")</f>
        <v>RX</v>
      </c>
      <c r="C273" s="7" t="str">
        <f>IFERROR(__xludf.DUMMYFUNCTION("""COMPUTED_VALUE"""),"Raveena")</f>
        <v>Raveena</v>
      </c>
      <c r="D273" s="7" t="str">
        <f>IFERROR(__xludf.DUMMYFUNCTION("""COMPUTED_VALUE"""),"She/her")</f>
        <v>She/her</v>
      </c>
      <c r="E273" s="7" t="str">
        <f>IFERROR(__xludf.DUMMYFUNCTION("""COMPUTED_VALUE"""),"Panjabi, Indian")</f>
        <v>Panjabi, Indian</v>
      </c>
      <c r="F273" s="7" t="str">
        <f>IFERROR(__xludf.DUMMYFUNCTION("""COMPUTED_VALUE"""),"Birmingham, Wolverhampton")</f>
        <v>Birmingham, Wolverhampton</v>
      </c>
      <c r="G273" s="7"/>
      <c r="H273" s="7" t="str">
        <f>IFERROR(__xludf.DUMMYFUNCTION("""COMPUTED_VALUE"""),"DJ")</f>
        <v>DJ</v>
      </c>
      <c r="I273" s="7" t="str">
        <f>IFERROR(__xludf.DUMMYFUNCTION("""COMPUTED_VALUE"""),"UK funky, amapiano, afrobeats, house, rnb, hiphop, jungle, dnb, panjabi, hindi, grime, dub")</f>
        <v>UK funky, amapiano, afrobeats, house, rnb, hiphop, jungle, dnb, panjabi, hindi, grime, dub</v>
      </c>
      <c r="J273" s="7" t="str">
        <f>IFERROR(__xludf.DUMMYFUNCTION("""COMPUTED_VALUE"""),"rxveena7@gmail.com")</f>
        <v>rxveena7@gmail.com</v>
      </c>
      <c r="K273" s="7" t="str">
        <f>IFERROR(__xludf.DUMMYFUNCTION("""COMPUTED_VALUE"""),"@rxveena_")</f>
        <v>@rxveena_</v>
      </c>
      <c r="L273" s="57" t="str">
        <f>IFERROR(__xludf.DUMMYFUNCTION("""COMPUTED_VALUE"""),"https://on.soundcloud.com/RBFFSRYAW3tfCEAKsF")</f>
        <v>https://on.soundcloud.com/RBFFSRYAW3tfCEAKsF</v>
      </c>
      <c r="M273" s="7"/>
      <c r="N273" s="7"/>
      <c r="O273" s="57" t="str">
        <f>IFERROR(__xludf.DUMMYFUNCTION("""COMPUTED_VALUE"""),"https://on.soundcloud.com/Q4KdTq9gXW5chrIinH")</f>
        <v>https://on.soundcloud.com/Q4KdTq9gXW5chrIinH</v>
      </c>
      <c r="P273" s="62">
        <f t="array" ref="P273">MAX(IF($A273=AB_TF!F:F,AB_TF!D:D))</f>
        <v>0</v>
      </c>
      <c r="Q273" s="63" t="str">
        <f t="array" ref="Q273">INDEX(AB_TF!C:C,MATCH(1,(AB_TF!F:F=A273)*(AB_TF!D:D=P273),0))</f>
        <v/>
      </c>
      <c r="R273" s="63">
        <f>COUNTIFS(AB_TF!F:F,"="&amp;A273,AB_TF!E:E,"Small*")</f>
        <v>0</v>
      </c>
      <c r="S273" s="63">
        <f>COUNTIFS(AB_TF!F:F,"="&amp;A273,AB_TF!E:E,"Medium*")</f>
        <v>0</v>
      </c>
      <c r="T273" s="63">
        <f>COUNTIFS(AB_TF!F:F,"="&amp;A273,AB_TF!E:E,"Large*")</f>
        <v>0</v>
      </c>
      <c r="U273" s="64">
        <f t="shared" si="1"/>
        <v>0</v>
      </c>
    </row>
    <row r="274">
      <c r="A274" s="7"/>
      <c r="B274" s="7" t="str">
        <f>IFERROR(__xludf.DUMMYFUNCTION("""COMPUTED_VALUE"""),"PRI !!")</f>
        <v>PRI !!</v>
      </c>
      <c r="C274" s="7" t="str">
        <f>IFERROR(__xludf.DUMMYFUNCTION("""COMPUTED_VALUE"""),"Priya")</f>
        <v>Priya</v>
      </c>
      <c r="D274" s="7" t="str">
        <f>IFERROR(__xludf.DUMMYFUNCTION("""COMPUTED_VALUE"""),"She/they")</f>
        <v>She/they</v>
      </c>
      <c r="E274" s="7" t="str">
        <f>IFERROR(__xludf.DUMMYFUNCTION("""COMPUTED_VALUE"""),"Indian")</f>
        <v>Indian</v>
      </c>
      <c r="F274" s="7" t="str">
        <f>IFERROR(__xludf.DUMMYFUNCTION("""COMPUTED_VALUE"""),"London")</f>
        <v>London</v>
      </c>
      <c r="G274" s="7"/>
      <c r="H274" s="7" t="str">
        <f>IFERROR(__xludf.DUMMYFUNCTION("""COMPUTED_VALUE"""),"DJ")</f>
        <v>DJ</v>
      </c>
      <c r="I274" s="7" t="str">
        <f>IFERROR(__xludf.DUMMYFUNCTION("""COMPUTED_VALUE"""),"Percussive, 140, Jungle, Footwork")</f>
        <v>Percussive, 140, Jungle, Footwork</v>
      </c>
      <c r="J274" s="7" t="str">
        <f>IFERROR(__xludf.DUMMYFUNCTION("""COMPUTED_VALUE"""),"priyakkanungo@gmail.com")</f>
        <v>priyakkanungo@gmail.com</v>
      </c>
      <c r="K274" s="7" t="str">
        <f>IFERROR(__xludf.DUMMYFUNCTION("""COMPUTED_VALUE"""),"0121pri")</f>
        <v>0121pri</v>
      </c>
      <c r="L274" s="57" t="str">
        <f>IFERROR(__xludf.DUMMYFUNCTION("""COMPUTED_VALUE"""),"https://soundcloud.com/sigil-radio/dunya-w-pri-october-2025-sigil-radio")</f>
        <v>https://soundcloud.com/sigil-radio/dunya-w-pri-october-2025-sigil-radio</v>
      </c>
      <c r="M274" s="7" t="str">
        <f>IFERROR(__xludf.DUMMYFUNCTION("""COMPUTED_VALUE"""),"0121pri")</f>
        <v>0121pri</v>
      </c>
      <c r="N274" s="7"/>
      <c r="O274" s="57" t="str">
        <f>IFERROR(__xludf.DUMMYFUNCTION("""COMPUTED_VALUE"""),"https://www.youtube.com/watch?v=PMA1yLmBEcw&amp;t=413s")</f>
        <v>https://www.youtube.com/watch?v=PMA1yLmBEcw&amp;t=413s</v>
      </c>
      <c r="P274" s="62">
        <f t="array" ref="P274">MAX(IF($A274=AB_TF!F:F,AB_TF!D:D))</f>
        <v>0</v>
      </c>
      <c r="Q274" s="63" t="str">
        <f t="array" ref="Q274">INDEX(AB_TF!C:C,MATCH(1,(AB_TF!F:F=A274)*(AB_TF!D:D=P274),0))</f>
        <v/>
      </c>
      <c r="R274" s="63">
        <f>COUNTIFS(AB_TF!F:F,"="&amp;A274,AB_TF!E:E,"Small*")</f>
        <v>0</v>
      </c>
      <c r="S274" s="63">
        <f>COUNTIFS(AB_TF!F:F,"="&amp;A274,AB_TF!E:E,"Medium*")</f>
        <v>0</v>
      </c>
      <c r="T274" s="63">
        <f>COUNTIFS(AB_TF!F:F,"="&amp;A274,AB_TF!E:E,"Large*")</f>
        <v>0</v>
      </c>
      <c r="U274" s="64">
        <f t="shared" si="1"/>
        <v>0</v>
      </c>
    </row>
    <row r="275">
      <c r="A275" s="7">
        <f>IFERROR(__xludf.DUMMYFUNCTION("""COMPUTED_VALUE"""),468.0)</f>
        <v>468</v>
      </c>
      <c r="B275" s="7" t="str">
        <f>IFERROR(__xludf.DUMMYFUNCTION("""COMPUTED_VALUE"""),"amri")</f>
        <v>amri</v>
      </c>
      <c r="C275" s="7" t="str">
        <f>IFERROR(__xludf.DUMMYFUNCTION("""COMPUTED_VALUE"""),"Amrita")</f>
        <v>Amrita</v>
      </c>
      <c r="D275" s="7" t="str">
        <f>IFERROR(__xludf.DUMMYFUNCTION("""COMPUTED_VALUE"""),"She/Her")</f>
        <v>She/Her</v>
      </c>
      <c r="E275" s="7"/>
      <c r="F275" s="7" t="str">
        <f>IFERROR(__xludf.DUMMYFUNCTION("""COMPUTED_VALUE"""),"Bristol")</f>
        <v>Bristol</v>
      </c>
      <c r="G275" s="7"/>
      <c r="H275" s="7" t="str">
        <f>IFERROR(__xludf.DUMMYFUNCTION("""COMPUTED_VALUE"""),"Live Act")</f>
        <v>Live Act</v>
      </c>
      <c r="I275" s="7" t="str">
        <f>IFERROR(__xludf.DUMMYFUNCTION("""COMPUTED_VALUE"""),"Jazz Fusion")</f>
        <v>Jazz Fusion</v>
      </c>
      <c r="J275" s="7" t="str">
        <f>IFERROR(__xludf.DUMMYFUNCTION("""COMPUTED_VALUE"""),"taniyaamritha@gmail.com")</f>
        <v>taniyaamritha@gmail.com</v>
      </c>
      <c r="K275" s="7" t="str">
        <f>IFERROR(__xludf.DUMMYFUNCTION("""COMPUTED_VALUE"""),"amrisings")</f>
        <v>amrisings</v>
      </c>
      <c r="L275" s="7"/>
      <c r="M275" s="7" t="str">
        <f>IFERROR(__xludf.DUMMYFUNCTION("""COMPUTED_VALUE"""),"amrisings")</f>
        <v>amrisings</v>
      </c>
      <c r="N275" s="57" t="str">
        <f>IFERROR(__xludf.DUMMYFUNCTION("""COMPUTED_VALUE"""),"amrisings.com")</f>
        <v>amrisings.com</v>
      </c>
      <c r="O275" s="57" t="str">
        <f>IFERROR(__xludf.DUMMYFUNCTION("""COMPUTED_VALUE"""),"https://open.spotify.com/artist/0otmCDF5DZjqADtQT9aIkG?si=eGOHNnChSCqyYmfI7NzUyA")</f>
        <v>https://open.spotify.com/artist/0otmCDF5DZjqADtQT9aIkG?si=eGOHNnChSCqyYmfI7NzUyA</v>
      </c>
      <c r="P275" s="62">
        <f t="array" ref="P275">MAX(IF($A275=AB_TF!F:F,AB_TF!D:D))</f>
        <v>0</v>
      </c>
      <c r="Q275" s="63" t="str">
        <f t="array" ref="Q275">INDEX(AB_TF!C:C,MATCH(1,(AB_TF!F:F=A275)*(AB_TF!D:D=P275),0))</f>
        <v>#N/A</v>
      </c>
      <c r="R275" s="63">
        <f>COUNTIFS(AB_TF!F:F,"="&amp;A275,AB_TF!E:E,"Small*")</f>
        <v>0</v>
      </c>
      <c r="S275" s="63">
        <f>COUNTIFS(AB_TF!F:F,"="&amp;A275,AB_TF!E:E,"Medium*")</f>
        <v>0</v>
      </c>
      <c r="T275" s="63">
        <f>COUNTIFS(AB_TF!F:F,"="&amp;A275,AB_TF!E:E,"Large*")</f>
        <v>0</v>
      </c>
      <c r="U275" s="64">
        <f t="shared" si="1"/>
        <v>0</v>
      </c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62">
        <f t="array" ref="P276">MAX(IF($A276=AB_TF!F:F,AB_TF!D:D))</f>
        <v>0</v>
      </c>
      <c r="Q276" s="63" t="str">
        <f t="array" ref="Q276">INDEX(AB_TF!C:C,MATCH(1,(AB_TF!F:F=A276)*(AB_TF!D:D=P276),0))</f>
        <v/>
      </c>
      <c r="R276" s="63">
        <f>COUNTIFS(AB_TF!F:F,"="&amp;A276,AB_TF!E:E,"Small*")</f>
        <v>0</v>
      </c>
      <c r="S276" s="63">
        <f>COUNTIFS(AB_TF!F:F,"="&amp;A276,AB_TF!E:E,"Medium*")</f>
        <v>0</v>
      </c>
      <c r="T276" s="63">
        <f>COUNTIFS(AB_TF!F:F,"="&amp;A276,AB_TF!E:E,"Large*")</f>
        <v>0</v>
      </c>
      <c r="U276" s="64">
        <f t="shared" si="1"/>
        <v>0</v>
      </c>
    </row>
    <row r="277">
      <c r="P277" s="62">
        <f t="array" ref="P277">MAX(IF($A277=AB_TF!F:F,AB_TF!D:D))</f>
        <v>0</v>
      </c>
      <c r="Q277" s="63" t="str">
        <f t="array" ref="Q277">INDEX(AB_TF!C:C,MATCH(1,(AB_TF!F:F=A277)*(AB_TF!D:D=P277),0))</f>
        <v/>
      </c>
      <c r="R277" s="63">
        <f>COUNTIFS(AB_TF!F:F,"="&amp;A277,AB_TF!E:E,"Small*")</f>
        <v>0</v>
      </c>
      <c r="S277" s="63">
        <f>COUNTIFS(AB_TF!F:F,"="&amp;A277,AB_TF!E:E,"Medium*")</f>
        <v>0</v>
      </c>
      <c r="T277" s="63">
        <f>COUNTIFS(AB_TF!F:F,"="&amp;A277,AB_TF!E:E,"Large*")</f>
        <v>0</v>
      </c>
      <c r="U277" s="64">
        <f t="shared" si="1"/>
        <v>0</v>
      </c>
    </row>
    <row r="278">
      <c r="P278" s="62">
        <f t="array" ref="P278">MAX(IF($A278=AB_TF!F:F,AB_TF!D:D))</f>
        <v>0</v>
      </c>
      <c r="Q278" s="63" t="str">
        <f t="array" ref="Q278">INDEX(AB_TF!C:C,MATCH(1,(AB_TF!F:F=A278)*(AB_TF!D:D=P278),0))</f>
        <v/>
      </c>
      <c r="R278" s="63">
        <f>COUNTIFS(AB_TF!F:F,"="&amp;A278,AB_TF!E:E,"Small*")</f>
        <v>0</v>
      </c>
      <c r="S278" s="63">
        <f>COUNTIFS(AB_TF!F:F,"="&amp;A278,AB_TF!E:E,"Medium*")</f>
        <v>0</v>
      </c>
      <c r="T278" s="63">
        <f>COUNTIFS(AB_TF!F:F,"="&amp;A278,AB_TF!E:E,"Large*")</f>
        <v>0</v>
      </c>
      <c r="U278" s="64">
        <f t="shared" si="1"/>
        <v>0</v>
      </c>
    </row>
    <row r="279">
      <c r="P279" s="62">
        <f t="array" ref="P279">MAX(IF($A279=AB_TF!F:F,AB_TF!D:D))</f>
        <v>0</v>
      </c>
      <c r="Q279" s="63" t="str">
        <f t="array" ref="Q279">INDEX(AB_TF!C:C,MATCH(1,(AB_TF!F:F=A279)*(AB_TF!D:D=P279),0))</f>
        <v/>
      </c>
      <c r="R279" s="63">
        <f>COUNTIFS(AB_TF!F:F,"="&amp;A279,AB_TF!E:E,"Small*")</f>
        <v>0</v>
      </c>
      <c r="S279" s="63">
        <f>COUNTIFS(AB_TF!F:F,"="&amp;A279,AB_TF!E:E,"Medium*")</f>
        <v>0</v>
      </c>
      <c r="T279" s="63">
        <f>COUNTIFS(AB_TF!F:F,"="&amp;A279,AB_TF!E:E,"Large*")</f>
        <v>0</v>
      </c>
      <c r="U279" s="64">
        <f t="shared" si="1"/>
        <v>0</v>
      </c>
    </row>
    <row r="280">
      <c r="P280" s="62">
        <f t="array" ref="P280">MAX(IF($A280=AB_TF!F:F,AB_TF!D:D))</f>
        <v>0</v>
      </c>
      <c r="Q280" s="63" t="str">
        <f t="array" ref="Q280">INDEX(AB_TF!C:C,MATCH(1,(AB_TF!F:F=A280)*(AB_TF!D:D=P280),0))</f>
        <v/>
      </c>
      <c r="R280" s="63">
        <f>COUNTIFS(AB_TF!F:F,"="&amp;A280,AB_TF!E:E,"Small*")</f>
        <v>0</v>
      </c>
      <c r="S280" s="63">
        <f>COUNTIFS(AB_TF!F:F,"="&amp;A280,AB_TF!E:E,"Medium*")</f>
        <v>0</v>
      </c>
      <c r="T280" s="63">
        <f>COUNTIFS(AB_TF!F:F,"="&amp;A280,AB_TF!E:E,"Large*")</f>
        <v>0</v>
      </c>
      <c r="U280" s="64">
        <f t="shared" si="1"/>
        <v>0</v>
      </c>
    </row>
    <row r="281">
      <c r="P281" s="62">
        <f t="array" ref="P281">MAX(IF($A281=AB_TF!F:F,AB_TF!D:D))</f>
        <v>0</v>
      </c>
      <c r="Q281" s="63" t="str">
        <f t="array" ref="Q281">INDEX(AB_TF!C:C,MATCH(1,(AB_TF!F:F=A281)*(AB_TF!D:D=P281),0))</f>
        <v/>
      </c>
      <c r="R281" s="63">
        <f>COUNTIFS(AB_TF!F:F,"="&amp;A281,AB_TF!E:E,"Small*")</f>
        <v>0</v>
      </c>
      <c r="S281" s="63">
        <f>COUNTIFS(AB_TF!F:F,"="&amp;A281,AB_TF!E:E,"Medium*")</f>
        <v>0</v>
      </c>
      <c r="T281" s="63">
        <f>COUNTIFS(AB_TF!F:F,"="&amp;A281,AB_TF!E:E,"Large*")</f>
        <v>0</v>
      </c>
      <c r="U281" s="64">
        <f t="shared" si="1"/>
        <v>0</v>
      </c>
    </row>
    <row r="282">
      <c r="P282" s="62">
        <f t="array" ref="P282">MAX(IF($A282=AB_TF!F:F,AB_TF!D:D))</f>
        <v>0</v>
      </c>
      <c r="Q282" s="63" t="str">
        <f t="array" ref="Q282">INDEX(AB_TF!C:C,MATCH(1,(AB_TF!F:F=A282)*(AB_TF!D:D=P282),0))</f>
        <v/>
      </c>
      <c r="R282" s="63">
        <f>COUNTIFS(AB_TF!F:F,"="&amp;A282,AB_TF!E:E,"Small*")</f>
        <v>0</v>
      </c>
      <c r="S282" s="63">
        <f>COUNTIFS(AB_TF!F:F,"="&amp;A282,AB_TF!E:E,"Medium*")</f>
        <v>0</v>
      </c>
      <c r="T282" s="63">
        <f>COUNTIFS(AB_TF!F:F,"="&amp;A282,AB_TF!E:E,"Large*")</f>
        <v>0</v>
      </c>
      <c r="U282" s="64">
        <f t="shared" si="1"/>
        <v>0</v>
      </c>
    </row>
    <row r="283">
      <c r="P283" s="62">
        <f t="array" ref="P283">MAX(IF($A283=AB_TF!F:F,AB_TF!D:D))</f>
        <v>0</v>
      </c>
      <c r="Q283" s="63" t="str">
        <f t="array" ref="Q283">INDEX(AB_TF!C:C,MATCH(1,(AB_TF!F:F=A283)*(AB_TF!D:D=P283),0))</f>
        <v/>
      </c>
      <c r="R283" s="63">
        <f>COUNTIFS(AB_TF!F:F,"="&amp;A283,AB_TF!E:E,"Small*")</f>
        <v>0</v>
      </c>
      <c r="S283" s="63">
        <f>COUNTIFS(AB_TF!F:F,"="&amp;A283,AB_TF!E:E,"Medium*")</f>
        <v>0</v>
      </c>
      <c r="T283" s="63">
        <f>COUNTIFS(AB_TF!F:F,"="&amp;A283,AB_TF!E:E,"Large*")</f>
        <v>0</v>
      </c>
      <c r="U283" s="64">
        <f t="shared" si="1"/>
        <v>0</v>
      </c>
    </row>
    <row r="284">
      <c r="P284" s="62">
        <f t="array" ref="P284">MAX(IF($A284=AB_TF!F:F,AB_TF!D:D))</f>
        <v>0</v>
      </c>
      <c r="Q284" s="63" t="str">
        <f t="array" ref="Q284">INDEX(AB_TF!C:C,MATCH(1,(AB_TF!F:F=A284)*(AB_TF!D:D=P284),0))</f>
        <v/>
      </c>
      <c r="R284" s="63">
        <f>COUNTIFS(AB_TF!F:F,"="&amp;A284,AB_TF!E:E,"Small*")</f>
        <v>0</v>
      </c>
      <c r="S284" s="63">
        <f>COUNTIFS(AB_TF!F:F,"="&amp;A284,AB_TF!E:E,"Medium*")</f>
        <v>0</v>
      </c>
      <c r="T284" s="63">
        <f>COUNTIFS(AB_TF!F:F,"="&amp;A284,AB_TF!E:E,"Large*")</f>
        <v>0</v>
      </c>
      <c r="U284" s="64">
        <f t="shared" si="1"/>
        <v>0</v>
      </c>
    </row>
    <row r="285">
      <c r="P285" s="62">
        <f t="array" ref="P285">MAX(IF($A285=AB_TF!F:F,AB_TF!D:D))</f>
        <v>0</v>
      </c>
      <c r="Q285" s="63" t="str">
        <f t="array" ref="Q285">INDEX(AB_TF!C:C,MATCH(1,(AB_TF!F:F=A285)*(AB_TF!D:D=P285),0))</f>
        <v/>
      </c>
      <c r="R285" s="63">
        <f>COUNTIFS(AB_TF!F:F,"="&amp;A285,AB_TF!E:E,"Small*")</f>
        <v>0</v>
      </c>
      <c r="S285" s="63">
        <f>COUNTIFS(AB_TF!F:F,"="&amp;A285,AB_TF!E:E,"Medium*")</f>
        <v>0</v>
      </c>
      <c r="T285" s="63">
        <f>COUNTIFS(AB_TF!F:F,"="&amp;A285,AB_TF!E:E,"Large*")</f>
        <v>0</v>
      </c>
      <c r="U285" s="64">
        <f t="shared" si="1"/>
        <v>0</v>
      </c>
    </row>
    <row r="286">
      <c r="P286" s="62">
        <f t="array" ref="P286">MAX(IF($A286=AB_TF!F:F,AB_TF!D:D))</f>
        <v>0</v>
      </c>
      <c r="Q286" s="63" t="str">
        <f t="array" ref="Q286">INDEX(AB_TF!C:C,MATCH(1,(AB_TF!F:F=A286)*(AB_TF!D:D=P286),0))</f>
        <v/>
      </c>
      <c r="R286" s="63">
        <f>COUNTIFS(AB_TF!F:F,"="&amp;A286,AB_TF!E:E,"Small*")</f>
        <v>0</v>
      </c>
      <c r="S286" s="63">
        <f>COUNTIFS(AB_TF!F:F,"="&amp;A286,AB_TF!E:E,"Medium*")</f>
        <v>0</v>
      </c>
      <c r="T286" s="63">
        <f>COUNTIFS(AB_TF!F:F,"="&amp;A286,AB_TF!E:E,"Large*")</f>
        <v>0</v>
      </c>
      <c r="U286" s="64">
        <f t="shared" si="1"/>
        <v>0</v>
      </c>
    </row>
    <row r="287">
      <c r="P287" s="62">
        <f t="array" ref="P287">MAX(IF($A287=AB_TF!F:F,AB_TF!D:D))</f>
        <v>0</v>
      </c>
      <c r="Q287" s="63" t="str">
        <f t="array" ref="Q287">INDEX(AB_TF!C:C,MATCH(1,(AB_TF!F:F=A287)*(AB_TF!D:D=P287),0))</f>
        <v/>
      </c>
      <c r="R287" s="63">
        <f>COUNTIFS(AB_TF!F:F,"="&amp;A287,AB_TF!E:E,"Small*")</f>
        <v>0</v>
      </c>
      <c r="S287" s="63">
        <f>COUNTIFS(AB_TF!F:F,"="&amp;A287,AB_TF!E:E,"Medium*")</f>
        <v>0</v>
      </c>
      <c r="T287" s="63">
        <f>COUNTIFS(AB_TF!F:F,"="&amp;A287,AB_TF!E:E,"Large*")</f>
        <v>0</v>
      </c>
      <c r="U287" s="64">
        <f t="shared" si="1"/>
        <v>0</v>
      </c>
    </row>
    <row r="288">
      <c r="P288" s="62">
        <f t="array" ref="P288">MAX(IF($A288=AB_TF!F:F,AB_TF!D:D))</f>
        <v>0</v>
      </c>
      <c r="Q288" s="63" t="str">
        <f t="array" ref="Q288">INDEX(AB_TF!C:C,MATCH(1,(AB_TF!F:F=A288)*(AB_TF!D:D=P288),0))</f>
        <v/>
      </c>
      <c r="R288" s="63">
        <f>COUNTIFS(AB_TF!F:F,"="&amp;A288,AB_TF!E:E,"Small*")</f>
        <v>0</v>
      </c>
      <c r="S288" s="63">
        <f>COUNTIFS(AB_TF!F:F,"="&amp;A288,AB_TF!E:E,"Medium*")</f>
        <v>0</v>
      </c>
      <c r="T288" s="63">
        <f>COUNTIFS(AB_TF!F:F,"="&amp;A288,AB_TF!E:E,"Large*")</f>
        <v>0</v>
      </c>
      <c r="U288" s="64">
        <f t="shared" si="1"/>
        <v>0</v>
      </c>
    </row>
    <row r="289">
      <c r="P289" s="62">
        <f t="array" ref="P289">MAX(IF($A289=AB_TF!F:F,AB_TF!D:D))</f>
        <v>0</v>
      </c>
      <c r="Q289" s="63" t="str">
        <f t="array" ref="Q289">INDEX(AB_TF!C:C,MATCH(1,(AB_TF!F:F=A289)*(AB_TF!D:D=P289),0))</f>
        <v/>
      </c>
      <c r="R289" s="63">
        <f>COUNTIFS(AB_TF!F:F,"="&amp;A289,AB_TF!E:E,"Small*")</f>
        <v>0</v>
      </c>
      <c r="S289" s="63">
        <f>COUNTIFS(AB_TF!F:F,"="&amp;A289,AB_TF!E:E,"Medium*")</f>
        <v>0</v>
      </c>
      <c r="T289" s="63">
        <f>COUNTIFS(AB_TF!F:F,"="&amp;A289,AB_TF!E:E,"Large*")</f>
        <v>0</v>
      </c>
      <c r="U289" s="64">
        <f t="shared" si="1"/>
        <v>0</v>
      </c>
    </row>
    <row r="290">
      <c r="P290" s="62">
        <f t="array" ref="P290">MAX(IF($A290=AB_TF!F:F,AB_TF!D:D))</f>
        <v>0</v>
      </c>
      <c r="Q290" s="63" t="str">
        <f t="array" ref="Q290">INDEX(AB_TF!C:C,MATCH(1,(AB_TF!F:F=A290)*(AB_TF!D:D=P290),0))</f>
        <v/>
      </c>
      <c r="R290" s="63">
        <f>COUNTIFS(AB_TF!F:F,"="&amp;A290,AB_TF!E:E,"Small*")</f>
        <v>0</v>
      </c>
      <c r="S290" s="63">
        <f>COUNTIFS(AB_TF!F:F,"="&amp;A290,AB_TF!E:E,"Medium*")</f>
        <v>0</v>
      </c>
      <c r="T290" s="63">
        <f>COUNTIFS(AB_TF!F:F,"="&amp;A290,AB_TF!E:E,"Large*")</f>
        <v>0</v>
      </c>
      <c r="U290" s="64">
        <f t="shared" si="1"/>
        <v>0</v>
      </c>
    </row>
    <row r="291">
      <c r="P291" s="62">
        <f t="array" ref="P291">MAX(IF($A291=AB_TF!F:F,AB_TF!D:D))</f>
        <v>0</v>
      </c>
      <c r="Q291" s="63" t="str">
        <f t="array" ref="Q291">INDEX(AB_TF!C:C,MATCH(1,(AB_TF!F:F=A291)*(AB_TF!D:D=P291),0))</f>
        <v/>
      </c>
      <c r="R291" s="63">
        <f>COUNTIFS(AB_TF!F:F,"="&amp;A291,AB_TF!E:E,"Small*")</f>
        <v>0</v>
      </c>
      <c r="S291" s="63">
        <f>COUNTIFS(AB_TF!F:F,"="&amp;A291,AB_TF!E:E,"Medium*")</f>
        <v>0</v>
      </c>
      <c r="T291" s="63">
        <f>COUNTIFS(AB_TF!F:F,"="&amp;A291,AB_TF!E:E,"Large*")</f>
        <v>0</v>
      </c>
      <c r="U291" s="64">
        <f t="shared" si="1"/>
        <v>0</v>
      </c>
    </row>
    <row r="292">
      <c r="P292" s="62">
        <f t="array" ref="P292">MAX(IF($A292=AB_TF!F:F,AB_TF!D:D))</f>
        <v>0</v>
      </c>
      <c r="Q292" s="63" t="str">
        <f t="array" ref="Q292">INDEX(AB_TF!C:C,MATCH(1,(AB_TF!F:F=A292)*(AB_TF!D:D=P292),0))</f>
        <v/>
      </c>
      <c r="R292" s="63">
        <f>COUNTIFS(AB_TF!F:F,"="&amp;A292,AB_TF!E:E,"Small*")</f>
        <v>0</v>
      </c>
      <c r="S292" s="63">
        <f>COUNTIFS(AB_TF!F:F,"="&amp;A292,AB_TF!E:E,"Medium*")</f>
        <v>0</v>
      </c>
      <c r="T292" s="63">
        <f>COUNTIFS(AB_TF!F:F,"="&amp;A292,AB_TF!E:E,"Large*")</f>
        <v>0</v>
      </c>
      <c r="U292" s="64">
        <f t="shared" si="1"/>
        <v>0</v>
      </c>
    </row>
    <row r="293">
      <c r="P293" s="62">
        <f t="array" ref="P293">MAX(IF($A293=AB_TF!F:F,AB_TF!D:D))</f>
        <v>0</v>
      </c>
      <c r="Q293" s="63" t="str">
        <f t="array" ref="Q293">INDEX(AB_TF!C:C,MATCH(1,(AB_TF!F:F=A293)*(AB_TF!D:D=P293),0))</f>
        <v/>
      </c>
      <c r="R293" s="63">
        <f>COUNTIFS(AB_TF!F:F,"="&amp;A293,AB_TF!E:E,"Small*")</f>
        <v>0</v>
      </c>
      <c r="S293" s="63">
        <f>COUNTIFS(AB_TF!F:F,"="&amp;A293,AB_TF!E:E,"Medium*")</f>
        <v>0</v>
      </c>
      <c r="T293" s="63">
        <f>COUNTIFS(AB_TF!F:F,"="&amp;A293,AB_TF!E:E,"Large*")</f>
        <v>0</v>
      </c>
      <c r="U293" s="64">
        <f t="shared" si="1"/>
        <v>0</v>
      </c>
    </row>
    <row r="294">
      <c r="P294" s="62">
        <f t="array" ref="P294">MAX(IF($A294=AB_TF!F:F,AB_TF!D:D))</f>
        <v>0</v>
      </c>
      <c r="Q294" s="63" t="str">
        <f t="array" ref="Q294">INDEX(AB_TF!C:C,MATCH(1,(AB_TF!F:F=A294)*(AB_TF!D:D=P294),0))</f>
        <v/>
      </c>
      <c r="R294" s="63">
        <f>COUNTIFS(AB_TF!F:F,"="&amp;A294,AB_TF!E:E,"Small*")</f>
        <v>0</v>
      </c>
      <c r="S294" s="63">
        <f>COUNTIFS(AB_TF!F:F,"="&amp;A294,AB_TF!E:E,"Medium*")</f>
        <v>0</v>
      </c>
      <c r="T294" s="63">
        <f>COUNTIFS(AB_TF!F:F,"="&amp;A294,AB_TF!E:E,"Large*")</f>
        <v>0</v>
      </c>
      <c r="U294" s="64">
        <f t="shared" si="1"/>
        <v>0</v>
      </c>
    </row>
    <row r="295">
      <c r="P295" s="62">
        <f t="array" ref="P295">MAX(IF($A295=AB_TF!F:F,AB_TF!D:D))</f>
        <v>0</v>
      </c>
      <c r="Q295" s="63" t="str">
        <f t="array" ref="Q295">INDEX(AB_TF!C:C,MATCH(1,(AB_TF!F:F=A295)*(AB_TF!D:D=P295),0))</f>
        <v/>
      </c>
      <c r="R295" s="63">
        <f>COUNTIFS(AB_TF!F:F,"="&amp;A295,AB_TF!E:E,"Small*")</f>
        <v>0</v>
      </c>
      <c r="S295" s="63">
        <f>COUNTIFS(AB_TF!F:F,"="&amp;A295,AB_TF!E:E,"Medium*")</f>
        <v>0</v>
      </c>
      <c r="T295" s="63">
        <f>COUNTIFS(AB_TF!F:F,"="&amp;A295,AB_TF!E:E,"Large*")</f>
        <v>0</v>
      </c>
      <c r="U295" s="64">
        <f t="shared" si="1"/>
        <v>0</v>
      </c>
    </row>
    <row r="296">
      <c r="P296" s="62">
        <f t="array" ref="P296">MAX(IF($A296=AB_TF!F:F,AB_TF!D:D))</f>
        <v>0</v>
      </c>
      <c r="Q296" s="63" t="str">
        <f t="array" ref="Q296">INDEX(AB_TF!C:C,MATCH(1,(AB_TF!F:F=A296)*(AB_TF!D:D=P296),0))</f>
        <v/>
      </c>
      <c r="R296" s="63">
        <f>COUNTIFS(AB_TF!F:F,"="&amp;A296,AB_TF!E:E,"Small*")</f>
        <v>0</v>
      </c>
      <c r="S296" s="63">
        <f>COUNTIFS(AB_TF!F:F,"="&amp;A296,AB_TF!E:E,"Medium*")</f>
        <v>0</v>
      </c>
      <c r="T296" s="63">
        <f>COUNTIFS(AB_TF!F:F,"="&amp;A296,AB_TF!E:E,"Large*")</f>
        <v>0</v>
      </c>
      <c r="U296" s="64">
        <f t="shared" si="1"/>
        <v>0</v>
      </c>
    </row>
    <row r="297">
      <c r="P297" s="62">
        <f t="array" ref="P297">MAX(IF($A297=AB_TF!F:F,AB_TF!D:D))</f>
        <v>0</v>
      </c>
      <c r="Q297" s="63" t="str">
        <f t="array" ref="Q297">INDEX(AB_TF!C:C,MATCH(1,(AB_TF!F:F=A297)*(AB_TF!D:D=P297),0))</f>
        <v/>
      </c>
      <c r="R297" s="63">
        <f>COUNTIFS(AB_TF!F:F,"="&amp;A297,AB_TF!E:E,"Small*")</f>
        <v>0</v>
      </c>
      <c r="S297" s="63">
        <f>COUNTIFS(AB_TF!F:F,"="&amp;A297,AB_TF!E:E,"Medium*")</f>
        <v>0</v>
      </c>
      <c r="T297" s="63">
        <f>COUNTIFS(AB_TF!F:F,"="&amp;A297,AB_TF!E:E,"Large*")</f>
        <v>0</v>
      </c>
      <c r="U297" s="64">
        <f t="shared" si="1"/>
        <v>0</v>
      </c>
    </row>
    <row r="298">
      <c r="P298" s="62">
        <f t="array" ref="P298">MAX(IF($A298=AB_TF!F:F,AB_TF!D:D))</f>
        <v>0</v>
      </c>
      <c r="Q298" s="63" t="str">
        <f t="array" ref="Q298">INDEX(AB_TF!C:C,MATCH(1,(AB_TF!F:F=A298)*(AB_TF!D:D=P298),0))</f>
        <v/>
      </c>
      <c r="R298" s="63">
        <f>COUNTIFS(AB_TF!F:F,"="&amp;A298,AB_TF!E:E,"Small*")</f>
        <v>0</v>
      </c>
      <c r="S298" s="63">
        <f>COUNTIFS(AB_TF!F:F,"="&amp;A298,AB_TF!E:E,"Medium*")</f>
        <v>0</v>
      </c>
      <c r="T298" s="63">
        <f>COUNTIFS(AB_TF!F:F,"="&amp;A298,AB_TF!E:E,"Large*")</f>
        <v>0</v>
      </c>
      <c r="U298" s="64">
        <f t="shared" si="1"/>
        <v>0</v>
      </c>
    </row>
    <row r="299">
      <c r="P299" s="62">
        <f t="array" ref="P299">MAX(IF($A299=AB_TF!F:F,AB_TF!D:D))</f>
        <v>0</v>
      </c>
      <c r="Q299" s="63" t="str">
        <f t="array" ref="Q299">INDEX(AB_TF!C:C,MATCH(1,(AB_TF!F:F=A299)*(AB_TF!D:D=P299),0))</f>
        <v/>
      </c>
      <c r="R299" s="63">
        <f>COUNTIFS(AB_TF!F:F,"="&amp;A299,AB_TF!E:E,"Small*")</f>
        <v>0</v>
      </c>
      <c r="S299" s="63">
        <f>COUNTIFS(AB_TF!F:F,"="&amp;A299,AB_TF!E:E,"Medium*")</f>
        <v>0</v>
      </c>
      <c r="T299" s="63">
        <f>COUNTIFS(AB_TF!F:F,"="&amp;A299,AB_TF!E:E,"Large*")</f>
        <v>0</v>
      </c>
      <c r="U299" s="64">
        <f t="shared" si="1"/>
        <v>0</v>
      </c>
    </row>
    <row r="300">
      <c r="P300" s="62">
        <f t="array" ref="P300">MAX(IF($A300=AB_TF!F:F,AB_TF!D:D))</f>
        <v>0</v>
      </c>
      <c r="Q300" s="63" t="str">
        <f t="array" ref="Q300">INDEX(AB_TF!C:C,MATCH(1,(AB_TF!F:F=A300)*(AB_TF!D:D=P300),0))</f>
        <v/>
      </c>
      <c r="R300" s="63">
        <f>COUNTIFS(AB_TF!F:F,"="&amp;A300,AB_TF!E:E,"Small*")</f>
        <v>0</v>
      </c>
      <c r="S300" s="63">
        <f>COUNTIFS(AB_TF!F:F,"="&amp;A300,AB_TF!E:E,"Medium*")</f>
        <v>0</v>
      </c>
      <c r="T300" s="63">
        <f>COUNTIFS(AB_TF!F:F,"="&amp;A300,AB_TF!E:E,"Large*")</f>
        <v>0</v>
      </c>
      <c r="U300" s="64">
        <f t="shared" si="1"/>
        <v>0</v>
      </c>
    </row>
    <row r="301">
      <c r="P301" s="62">
        <f t="array" ref="P301">MAX(IF($A301=AB_TF!F:F,AB_TF!D:D))</f>
        <v>0</v>
      </c>
      <c r="Q301" s="63" t="str">
        <f t="array" ref="Q301">INDEX(AB_TF!C:C,MATCH(1,(AB_TF!F:F=A301)*(AB_TF!D:D=P301),0))</f>
        <v/>
      </c>
      <c r="R301" s="63">
        <f>COUNTIFS(AB_TF!F:F,"="&amp;A301,AB_TF!E:E,"Small*")</f>
        <v>0</v>
      </c>
      <c r="S301" s="63">
        <f>COUNTIFS(AB_TF!F:F,"="&amp;A301,AB_TF!E:E,"Medium*")</f>
        <v>0</v>
      </c>
      <c r="T301" s="63">
        <f>COUNTIFS(AB_TF!F:F,"="&amp;A301,AB_TF!E:E,"Large*")</f>
        <v>0</v>
      </c>
      <c r="U301" s="64">
        <f t="shared" si="1"/>
        <v>0</v>
      </c>
    </row>
    <row r="302">
      <c r="P302" s="62">
        <f t="array" ref="P302">MAX(IF($A302=AB_TF!F:F,AB_TF!D:D))</f>
        <v>0</v>
      </c>
      <c r="Q302" s="63" t="str">
        <f t="array" ref="Q302">INDEX(AB_TF!C:C,MATCH(1,(AB_TF!F:F=A302)*(AB_TF!D:D=P302),0))</f>
        <v/>
      </c>
      <c r="R302" s="63">
        <f>COUNTIFS(AB_TF!F:F,"="&amp;A302,AB_TF!E:E,"Small*")</f>
        <v>0</v>
      </c>
      <c r="S302" s="63">
        <f>COUNTIFS(AB_TF!F:F,"="&amp;A302,AB_TF!E:E,"Medium*")</f>
        <v>0</v>
      </c>
      <c r="T302" s="63">
        <f>COUNTIFS(AB_TF!F:F,"="&amp;A302,AB_TF!E:E,"Large*")</f>
        <v>0</v>
      </c>
      <c r="U302" s="64">
        <f t="shared" si="1"/>
        <v>0</v>
      </c>
    </row>
    <row r="303">
      <c r="P303" s="62">
        <f t="array" ref="P303">MAX(IF($A303=AB_TF!F:F,AB_TF!D:D))</f>
        <v>0</v>
      </c>
      <c r="Q303" s="63" t="str">
        <f t="array" ref="Q303">INDEX(AB_TF!C:C,MATCH(1,(AB_TF!F:F=A303)*(AB_TF!D:D=P303),0))</f>
        <v/>
      </c>
      <c r="R303" s="63">
        <f>COUNTIFS(AB_TF!F:F,"="&amp;A303,AB_TF!E:E,"Small*")</f>
        <v>0</v>
      </c>
      <c r="S303" s="63">
        <f>COUNTIFS(AB_TF!F:F,"="&amp;A303,AB_TF!E:E,"Medium*")</f>
        <v>0</v>
      </c>
      <c r="T303" s="63">
        <f>COUNTIFS(AB_TF!F:F,"="&amp;A303,AB_TF!E:E,"Large*")</f>
        <v>0</v>
      </c>
      <c r="U303" s="64">
        <f t="shared" si="1"/>
        <v>0</v>
      </c>
    </row>
    <row r="304">
      <c r="P304" s="62">
        <f t="array" ref="P304">MAX(IF($A304=AB_TF!F:F,AB_TF!D:D))</f>
        <v>0</v>
      </c>
      <c r="Q304" s="63" t="str">
        <f t="array" ref="Q304">INDEX(AB_TF!C:C,MATCH(1,(AB_TF!F:F=A304)*(AB_TF!D:D=P304),0))</f>
        <v/>
      </c>
      <c r="R304" s="63">
        <f>COUNTIFS(AB_TF!F:F,"="&amp;A304,AB_TF!E:E,"Small*")</f>
        <v>0</v>
      </c>
      <c r="S304" s="63">
        <f>COUNTIFS(AB_TF!F:F,"="&amp;A304,AB_TF!E:E,"Medium*")</f>
        <v>0</v>
      </c>
      <c r="T304" s="63">
        <f>COUNTIFS(AB_TF!F:F,"="&amp;A304,AB_TF!E:E,"Large*")</f>
        <v>0</v>
      </c>
      <c r="U304" s="64">
        <f t="shared" si="1"/>
        <v>0</v>
      </c>
    </row>
    <row r="305">
      <c r="P305" s="62">
        <f t="array" ref="P305">MAX(IF($A305=AB_TF!F:F,AB_TF!D:D))</f>
        <v>0</v>
      </c>
      <c r="Q305" s="63" t="str">
        <f t="array" ref="Q305">INDEX(AB_TF!C:C,MATCH(1,(AB_TF!F:F=A305)*(AB_TF!D:D=P305),0))</f>
        <v/>
      </c>
      <c r="R305" s="63">
        <f>COUNTIFS(AB_TF!F:F,"="&amp;A305,AB_TF!E:E,"Small*")</f>
        <v>0</v>
      </c>
      <c r="S305" s="63">
        <f>COUNTIFS(AB_TF!F:F,"="&amp;A305,AB_TF!E:E,"Medium*")</f>
        <v>0</v>
      </c>
      <c r="T305" s="63">
        <f>COUNTIFS(AB_TF!F:F,"="&amp;A305,AB_TF!E:E,"Large*")</f>
        <v>0</v>
      </c>
      <c r="U305" s="64">
        <f t="shared" si="1"/>
        <v>0</v>
      </c>
    </row>
    <row r="306">
      <c r="P306" s="62">
        <f t="array" ref="P306">MAX(IF($A306=AB_TF!F:F,AB_TF!D:D))</f>
        <v>0</v>
      </c>
      <c r="Q306" s="63" t="str">
        <f t="array" ref="Q306">INDEX(AB_TF!C:C,MATCH(1,(AB_TF!F:F=A306)*(AB_TF!D:D=P306),0))</f>
        <v/>
      </c>
      <c r="R306" s="63">
        <f>COUNTIFS(AB_TF!F:F,"="&amp;A306,AB_TF!E:E,"Small*")</f>
        <v>0</v>
      </c>
      <c r="S306" s="63">
        <f>COUNTIFS(AB_TF!F:F,"="&amp;A306,AB_TF!E:E,"Medium*")</f>
        <v>0</v>
      </c>
      <c r="T306" s="63">
        <f>COUNTIFS(AB_TF!F:F,"="&amp;A306,AB_TF!E:E,"Large*")</f>
        <v>0</v>
      </c>
      <c r="U306" s="64">
        <f t="shared" si="1"/>
        <v>0</v>
      </c>
    </row>
    <row r="307">
      <c r="P307" s="62">
        <f t="array" ref="P307">MAX(IF($A307=AB_TF!F:F,AB_TF!D:D))</f>
        <v>0</v>
      </c>
      <c r="Q307" s="63" t="str">
        <f t="array" ref="Q307">INDEX(AB_TF!C:C,MATCH(1,(AB_TF!F:F=A307)*(AB_TF!D:D=P307),0))</f>
        <v/>
      </c>
      <c r="R307" s="63">
        <f>COUNTIFS(AB_TF!F:F,"="&amp;A307,AB_TF!E:E,"Small*")</f>
        <v>0</v>
      </c>
      <c r="S307" s="63">
        <f>COUNTIFS(AB_TF!F:F,"="&amp;A307,AB_TF!E:E,"Medium*")</f>
        <v>0</v>
      </c>
      <c r="T307" s="63">
        <f>COUNTIFS(AB_TF!F:F,"="&amp;A307,AB_TF!E:E,"Large*")</f>
        <v>0</v>
      </c>
      <c r="U307" s="64">
        <f t="shared" si="1"/>
        <v>0</v>
      </c>
    </row>
    <row r="308">
      <c r="P308" s="62">
        <f t="array" ref="P308">MAX(IF($A308=AB_TF!F:F,AB_TF!D:D))</f>
        <v>0</v>
      </c>
      <c r="Q308" s="63" t="str">
        <f t="array" ref="Q308">INDEX(AB_TF!C:C,MATCH(1,(AB_TF!F:F=A308)*(AB_TF!D:D=P308),0))</f>
        <v/>
      </c>
      <c r="R308" s="63">
        <f>COUNTIFS(AB_TF!F:F,"="&amp;A308,AB_TF!E:E,"Small*")</f>
        <v>0</v>
      </c>
      <c r="S308" s="63">
        <f>COUNTIFS(AB_TF!F:F,"="&amp;A308,AB_TF!E:E,"Medium*")</f>
        <v>0</v>
      </c>
      <c r="T308" s="63">
        <f>COUNTIFS(AB_TF!F:F,"="&amp;A308,AB_TF!E:E,"Large*")</f>
        <v>0</v>
      </c>
      <c r="U308" s="64">
        <f t="shared" si="1"/>
        <v>0</v>
      </c>
    </row>
    <row r="309">
      <c r="P309" s="62">
        <f t="array" ref="P309">MAX(IF($A309=AB_TF!F:F,AB_TF!D:D))</f>
        <v>0</v>
      </c>
      <c r="Q309" s="63" t="str">
        <f t="array" ref="Q309">INDEX(AB_TF!C:C,MATCH(1,(AB_TF!F:F=A309)*(AB_TF!D:D=P309),0))</f>
        <v/>
      </c>
      <c r="R309" s="63">
        <f>COUNTIFS(AB_TF!F:F,"="&amp;A309,AB_TF!E:E,"Small*")</f>
        <v>0</v>
      </c>
      <c r="S309" s="63">
        <f>COUNTIFS(AB_TF!F:F,"="&amp;A309,AB_TF!E:E,"Medium*")</f>
        <v>0</v>
      </c>
      <c r="T309" s="63">
        <f>COUNTIFS(AB_TF!F:F,"="&amp;A309,AB_TF!E:E,"Large*")</f>
        <v>0</v>
      </c>
      <c r="U309" s="64">
        <f t="shared" si="1"/>
        <v>0</v>
      </c>
    </row>
    <row r="310">
      <c r="P310" s="62">
        <f t="array" ref="P310">MAX(IF($A310=AB_TF!F:F,AB_TF!D:D))</f>
        <v>0</v>
      </c>
      <c r="Q310" s="63" t="str">
        <f t="array" ref="Q310">INDEX(AB_TF!C:C,MATCH(1,(AB_TF!F:F=A310)*(AB_TF!D:D=P310),0))</f>
        <v/>
      </c>
      <c r="R310" s="63">
        <f>COUNTIFS(AB_TF!F:F,"="&amp;A310,AB_TF!E:E,"Small*")</f>
        <v>0</v>
      </c>
      <c r="S310" s="63">
        <f>COUNTIFS(AB_TF!F:F,"="&amp;A310,AB_TF!E:E,"Medium*")</f>
        <v>0</v>
      </c>
      <c r="T310" s="63">
        <f>COUNTIFS(AB_TF!F:F,"="&amp;A310,AB_TF!E:E,"Large*")</f>
        <v>0</v>
      </c>
      <c r="U310" s="64">
        <f t="shared" si="1"/>
        <v>0</v>
      </c>
    </row>
    <row r="311">
      <c r="P311" s="62">
        <f t="array" ref="P311">MAX(IF($A311=AB_TF!F:F,AB_TF!D:D))</f>
        <v>0</v>
      </c>
      <c r="Q311" s="63" t="str">
        <f t="array" ref="Q311">INDEX(AB_TF!C:C,MATCH(1,(AB_TF!F:F=A311)*(AB_TF!D:D=P311),0))</f>
        <v/>
      </c>
      <c r="R311" s="63">
        <f>COUNTIFS(AB_TF!F:F,"="&amp;A311,AB_TF!E:E,"Small*")</f>
        <v>0</v>
      </c>
      <c r="S311" s="63">
        <f>COUNTIFS(AB_TF!F:F,"="&amp;A311,AB_TF!E:E,"Medium*")</f>
        <v>0</v>
      </c>
      <c r="T311" s="63">
        <f>COUNTIFS(AB_TF!F:F,"="&amp;A311,AB_TF!E:E,"Large*")</f>
        <v>0</v>
      </c>
      <c r="U311" s="64">
        <f t="shared" si="1"/>
        <v>0</v>
      </c>
    </row>
    <row r="312">
      <c r="P312" s="62">
        <f t="array" ref="P312">MAX(IF($A312=AB_TF!F:F,AB_TF!D:D))</f>
        <v>0</v>
      </c>
      <c r="Q312" s="63" t="str">
        <f t="array" ref="Q312">INDEX(AB_TF!C:C,MATCH(1,(AB_TF!F:F=A312)*(AB_TF!D:D=P312),0))</f>
        <v/>
      </c>
      <c r="R312" s="63">
        <f>COUNTIFS(AB_TF!F:F,"="&amp;A312,AB_TF!E:E,"Small*")</f>
        <v>0</v>
      </c>
      <c r="S312" s="63">
        <f>COUNTIFS(AB_TF!F:F,"="&amp;A312,AB_TF!E:E,"Medium*")</f>
        <v>0</v>
      </c>
      <c r="T312" s="63">
        <f>COUNTIFS(AB_TF!F:F,"="&amp;A312,AB_TF!E:E,"Large*")</f>
        <v>0</v>
      </c>
      <c r="U312" s="64">
        <f t="shared" si="1"/>
        <v>0</v>
      </c>
    </row>
    <row r="313">
      <c r="P313" s="62">
        <f t="array" ref="P313">MAX(IF($A313=AB_TF!F:F,AB_TF!D:D))</f>
        <v>0</v>
      </c>
      <c r="Q313" s="63" t="str">
        <f t="array" ref="Q313">INDEX(AB_TF!C:C,MATCH(1,(AB_TF!F:F=A313)*(AB_TF!D:D=P313),0))</f>
        <v/>
      </c>
      <c r="R313" s="63">
        <f>COUNTIFS(AB_TF!F:F,"="&amp;A313,AB_TF!E:E,"Small*")</f>
        <v>0</v>
      </c>
      <c r="S313" s="63">
        <f>COUNTIFS(AB_TF!F:F,"="&amp;A313,AB_TF!E:E,"Medium*")</f>
        <v>0</v>
      </c>
      <c r="T313" s="63">
        <f>COUNTIFS(AB_TF!F:F,"="&amp;A313,AB_TF!E:E,"Large*")</f>
        <v>0</v>
      </c>
      <c r="U313" s="64">
        <f t="shared" si="1"/>
        <v>0</v>
      </c>
    </row>
    <row r="314">
      <c r="P314" s="62">
        <f t="array" ref="P314">MAX(IF($A314=AB_TF!F:F,AB_TF!D:D))</f>
        <v>0</v>
      </c>
      <c r="Q314" s="63" t="str">
        <f t="array" ref="Q314">INDEX(AB_TF!C:C,MATCH(1,(AB_TF!F:F=A314)*(AB_TF!D:D=P314),0))</f>
        <v/>
      </c>
      <c r="R314" s="63">
        <f>COUNTIFS(AB_TF!F:F,"="&amp;A314,AB_TF!E:E,"Small*")</f>
        <v>0</v>
      </c>
      <c r="S314" s="63">
        <f>COUNTIFS(AB_TF!F:F,"="&amp;A314,AB_TF!E:E,"Medium*")</f>
        <v>0</v>
      </c>
      <c r="T314" s="63">
        <f>COUNTIFS(AB_TF!F:F,"="&amp;A314,AB_TF!E:E,"Large*")</f>
        <v>0</v>
      </c>
      <c r="U314" s="64">
        <f t="shared" si="1"/>
        <v>0</v>
      </c>
    </row>
    <row r="315">
      <c r="P315" s="62">
        <f t="array" ref="P315">MAX(IF($A315=AB_TF!F:F,AB_TF!D:D))</f>
        <v>0</v>
      </c>
      <c r="Q315" s="63" t="str">
        <f t="array" ref="Q315">INDEX(AB_TF!C:C,MATCH(1,(AB_TF!F:F=A315)*(AB_TF!D:D=P315),0))</f>
        <v/>
      </c>
      <c r="R315" s="63">
        <f>COUNTIFS(AB_TF!F:F,"="&amp;A315,AB_TF!E:E,"Small*")</f>
        <v>0</v>
      </c>
      <c r="S315" s="63">
        <f>COUNTIFS(AB_TF!F:F,"="&amp;A315,AB_TF!E:E,"Medium*")</f>
        <v>0</v>
      </c>
      <c r="T315" s="63">
        <f>COUNTIFS(AB_TF!F:F,"="&amp;A315,AB_TF!E:E,"Large*")</f>
        <v>0</v>
      </c>
      <c r="U315" s="64">
        <f t="shared" si="1"/>
        <v>0</v>
      </c>
    </row>
    <row r="316">
      <c r="P316" s="62">
        <f t="array" ref="P316">MAX(IF($A316=AB_TF!F:F,AB_TF!D:D))</f>
        <v>0</v>
      </c>
      <c r="Q316" s="63" t="str">
        <f t="array" ref="Q316">INDEX(AB_TF!C:C,MATCH(1,(AB_TF!F:F=A316)*(AB_TF!D:D=P316),0))</f>
        <v/>
      </c>
      <c r="R316" s="63">
        <f>COUNTIFS(AB_TF!F:F,"="&amp;A316,AB_TF!E:E,"Small*")</f>
        <v>0</v>
      </c>
      <c r="S316" s="63">
        <f>COUNTIFS(AB_TF!F:F,"="&amp;A316,AB_TF!E:E,"Medium*")</f>
        <v>0</v>
      </c>
      <c r="T316" s="63">
        <f>COUNTIFS(AB_TF!F:F,"="&amp;A316,AB_TF!E:E,"Large*")</f>
        <v>0</v>
      </c>
      <c r="U316" s="64">
        <f t="shared" si="1"/>
        <v>0</v>
      </c>
    </row>
    <row r="317">
      <c r="P317" s="62">
        <f t="array" ref="P317">MAX(IF($A317=AB_TF!F:F,AB_TF!D:D))</f>
        <v>0</v>
      </c>
      <c r="Q317" s="63" t="str">
        <f t="array" ref="Q317">INDEX(AB_TF!C:C,MATCH(1,(AB_TF!F:F=A317)*(AB_TF!D:D=P317),0))</f>
        <v/>
      </c>
      <c r="R317" s="63">
        <f>COUNTIFS(AB_TF!F:F,"="&amp;A317,AB_TF!E:E,"Small*")</f>
        <v>0</v>
      </c>
      <c r="S317" s="63">
        <f>COUNTIFS(AB_TF!F:F,"="&amp;A317,AB_TF!E:E,"Medium*")</f>
        <v>0</v>
      </c>
      <c r="T317" s="63">
        <f>COUNTIFS(AB_TF!F:F,"="&amp;A317,AB_TF!E:E,"Large*")</f>
        <v>0</v>
      </c>
      <c r="U317" s="64">
        <f t="shared" si="1"/>
        <v>0</v>
      </c>
    </row>
    <row r="318">
      <c r="P318" s="62">
        <f t="array" ref="P318">MAX(IF($A318=AB_TF!F:F,AB_TF!D:D))</f>
        <v>0</v>
      </c>
      <c r="Q318" s="63" t="str">
        <f t="array" ref="Q318">INDEX(AB_TF!C:C,MATCH(1,(AB_TF!F:F=A318)*(AB_TF!D:D=P318),0))</f>
        <v/>
      </c>
      <c r="R318" s="63">
        <f>COUNTIFS(AB_TF!F:F,"="&amp;A318,AB_TF!E:E,"Small*")</f>
        <v>0</v>
      </c>
      <c r="S318" s="63">
        <f>COUNTIFS(AB_TF!F:F,"="&amp;A318,AB_TF!E:E,"Medium*")</f>
        <v>0</v>
      </c>
      <c r="T318" s="63">
        <f>COUNTIFS(AB_TF!F:F,"="&amp;A318,AB_TF!E:E,"Large*")</f>
        <v>0</v>
      </c>
      <c r="U318" s="64">
        <f t="shared" si="1"/>
        <v>0</v>
      </c>
    </row>
    <row r="319">
      <c r="P319" s="62">
        <f t="array" ref="P319">MAX(IF($A319=AB_TF!F:F,AB_TF!D:D))</f>
        <v>0</v>
      </c>
      <c r="Q319" s="63" t="str">
        <f t="array" ref="Q319">INDEX(AB_TF!C:C,MATCH(1,(AB_TF!F:F=A319)*(AB_TF!D:D=P319),0))</f>
        <v/>
      </c>
      <c r="R319" s="63">
        <f>COUNTIFS(AB_TF!F:F,"="&amp;A319,AB_TF!E:E,"Small*")</f>
        <v>0</v>
      </c>
      <c r="S319" s="63">
        <f>COUNTIFS(AB_TF!F:F,"="&amp;A319,AB_TF!E:E,"Medium*")</f>
        <v>0</v>
      </c>
      <c r="T319" s="63">
        <f>COUNTIFS(AB_TF!F:F,"="&amp;A319,AB_TF!E:E,"Large*")</f>
        <v>0</v>
      </c>
      <c r="U319" s="64">
        <f t="shared" si="1"/>
        <v>0</v>
      </c>
    </row>
    <row r="320">
      <c r="P320" s="62">
        <f t="array" ref="P320">MAX(IF($A320=AB_TF!F:F,AB_TF!D:D))</f>
        <v>0</v>
      </c>
      <c r="Q320" s="63" t="str">
        <f t="array" ref="Q320">INDEX(AB_TF!C:C,MATCH(1,(AB_TF!F:F=A320)*(AB_TF!D:D=P320),0))</f>
        <v/>
      </c>
      <c r="R320" s="63">
        <f>COUNTIFS(AB_TF!F:F,"="&amp;A320,AB_TF!E:E,"Small*")</f>
        <v>0</v>
      </c>
      <c r="S320" s="63">
        <f>COUNTIFS(AB_TF!F:F,"="&amp;A320,AB_TF!E:E,"Medium*")</f>
        <v>0</v>
      </c>
      <c r="T320" s="63">
        <f>COUNTIFS(AB_TF!F:F,"="&amp;A320,AB_TF!E:E,"Large*")</f>
        <v>0</v>
      </c>
      <c r="U320" s="64">
        <f t="shared" si="1"/>
        <v>0</v>
      </c>
    </row>
    <row r="321">
      <c r="P321" s="62">
        <f t="array" ref="P321">MAX(IF($A321=AB_TF!F:F,AB_TF!D:D))</f>
        <v>0</v>
      </c>
      <c r="Q321" s="63" t="str">
        <f t="array" ref="Q321">INDEX(AB_TF!C:C,MATCH(1,(AB_TF!F:F=A321)*(AB_TF!D:D=P321),0))</f>
        <v/>
      </c>
      <c r="R321" s="63">
        <f>COUNTIFS(AB_TF!F:F,"="&amp;A321,AB_TF!E:E,"Small*")</f>
        <v>0</v>
      </c>
      <c r="S321" s="63">
        <f>COUNTIFS(AB_TF!F:F,"="&amp;A321,AB_TF!E:E,"Medium*")</f>
        <v>0</v>
      </c>
      <c r="T321" s="63">
        <f>COUNTIFS(AB_TF!F:F,"="&amp;A321,AB_TF!E:E,"Large*")</f>
        <v>0</v>
      </c>
      <c r="U321" s="64">
        <f t="shared" si="1"/>
        <v>0</v>
      </c>
    </row>
    <row r="322">
      <c r="P322" s="62">
        <f t="array" ref="P322">MAX(IF($A322=AB_TF!F:F,AB_TF!D:D))</f>
        <v>0</v>
      </c>
      <c r="Q322" s="63" t="str">
        <f t="array" ref="Q322">INDEX(AB_TF!C:C,MATCH(1,(AB_TF!F:F=A322)*(AB_TF!D:D=P322),0))</f>
        <v/>
      </c>
      <c r="R322" s="63">
        <f>COUNTIFS(AB_TF!F:F,"="&amp;A322,AB_TF!E:E,"Small*")</f>
        <v>0</v>
      </c>
      <c r="S322" s="63">
        <f>COUNTIFS(AB_TF!F:F,"="&amp;A322,AB_TF!E:E,"Medium*")</f>
        <v>0</v>
      </c>
      <c r="T322" s="63">
        <f>COUNTIFS(AB_TF!F:F,"="&amp;A322,AB_TF!E:E,"Large*")</f>
        <v>0</v>
      </c>
      <c r="U322" s="64">
        <f t="shared" si="1"/>
        <v>0</v>
      </c>
    </row>
    <row r="323">
      <c r="P323" s="62">
        <f t="array" ref="P323">MAX(IF($A323=AB_TF!F:F,AB_TF!D:D))</f>
        <v>0</v>
      </c>
      <c r="Q323" s="63" t="str">
        <f t="array" ref="Q323">INDEX(AB_TF!C:C,MATCH(1,(AB_TF!F:F=A323)*(AB_TF!D:D=P323),0))</f>
        <v/>
      </c>
      <c r="R323" s="63">
        <f>COUNTIFS(AB_TF!F:F,"="&amp;A323,AB_TF!E:E,"Small*")</f>
        <v>0</v>
      </c>
      <c r="S323" s="63">
        <f>COUNTIFS(AB_TF!F:F,"="&amp;A323,AB_TF!E:E,"Medium*")</f>
        <v>0</v>
      </c>
      <c r="T323" s="63">
        <f>COUNTIFS(AB_TF!F:F,"="&amp;A323,AB_TF!E:E,"Large*")</f>
        <v>0</v>
      </c>
      <c r="U323" s="64">
        <f t="shared" si="1"/>
        <v>0</v>
      </c>
    </row>
    <row r="324">
      <c r="P324" s="62">
        <f t="array" ref="P324">MAX(IF($A324=AB_TF!F:F,AB_TF!D:D))</f>
        <v>0</v>
      </c>
      <c r="Q324" s="63" t="str">
        <f t="array" ref="Q324">INDEX(AB_TF!C:C,MATCH(1,(AB_TF!F:F=A324)*(AB_TF!D:D=P324),0))</f>
        <v/>
      </c>
      <c r="R324" s="63">
        <f>COUNTIFS(AB_TF!F:F,"="&amp;A324,AB_TF!E:E,"Small*")</f>
        <v>0</v>
      </c>
      <c r="S324" s="63">
        <f>COUNTIFS(AB_TF!F:F,"="&amp;A324,AB_TF!E:E,"Medium*")</f>
        <v>0</v>
      </c>
      <c r="T324" s="63">
        <f>COUNTIFS(AB_TF!F:F,"="&amp;A324,AB_TF!E:E,"Large*")</f>
        <v>0</v>
      </c>
      <c r="U324" s="64">
        <f t="shared" si="1"/>
        <v>0</v>
      </c>
    </row>
    <row r="325">
      <c r="P325" s="62">
        <f t="array" ref="P325">MAX(IF($A325=AB_TF!F:F,AB_TF!D:D))</f>
        <v>0</v>
      </c>
      <c r="Q325" s="63" t="str">
        <f t="array" ref="Q325">INDEX(AB_TF!C:C,MATCH(1,(AB_TF!F:F=A325)*(AB_TF!D:D=P325),0))</f>
        <v/>
      </c>
      <c r="R325" s="63">
        <f>COUNTIFS(AB_TF!F:F,"="&amp;A325,AB_TF!E:E,"Small*")</f>
        <v>0</v>
      </c>
      <c r="S325" s="63">
        <f>COUNTIFS(AB_TF!F:F,"="&amp;A325,AB_TF!E:E,"Medium*")</f>
        <v>0</v>
      </c>
      <c r="T325" s="63">
        <f>COUNTIFS(AB_TF!F:F,"="&amp;A325,AB_TF!E:E,"Large*")</f>
        <v>0</v>
      </c>
      <c r="U325" s="64">
        <f t="shared" si="1"/>
        <v>0</v>
      </c>
    </row>
    <row r="326">
      <c r="P326" s="62">
        <f t="array" ref="P326">MAX(IF($A326=AB_TF!F:F,AB_TF!D:D))</f>
        <v>0</v>
      </c>
      <c r="Q326" s="63" t="str">
        <f t="array" ref="Q326">INDEX(AB_TF!C:C,MATCH(1,(AB_TF!F:F=A326)*(AB_TF!D:D=P326),0))</f>
        <v/>
      </c>
      <c r="R326" s="63">
        <f>COUNTIFS(AB_TF!F:F,"="&amp;A326,AB_TF!E:E,"Small*")</f>
        <v>0</v>
      </c>
      <c r="S326" s="63">
        <f>COUNTIFS(AB_TF!F:F,"="&amp;A326,AB_TF!E:E,"Medium*")</f>
        <v>0</v>
      </c>
      <c r="T326" s="63">
        <f>COUNTIFS(AB_TF!F:F,"="&amp;A326,AB_TF!E:E,"Large*")</f>
        <v>0</v>
      </c>
      <c r="U326" s="64">
        <f t="shared" si="1"/>
        <v>0</v>
      </c>
    </row>
    <row r="327">
      <c r="P327" s="62">
        <f t="array" ref="P327">MAX(IF($A327=AB_TF!F:F,AB_TF!D:D))</f>
        <v>0</v>
      </c>
      <c r="Q327" s="63" t="str">
        <f t="array" ref="Q327">INDEX(AB_TF!C:C,MATCH(1,(AB_TF!F:F=A327)*(AB_TF!D:D=P327),0))</f>
        <v/>
      </c>
      <c r="R327" s="63">
        <f>COUNTIFS(AB_TF!F:F,"="&amp;A327,AB_TF!E:E,"Small*")</f>
        <v>0</v>
      </c>
      <c r="S327" s="63">
        <f>COUNTIFS(AB_TF!F:F,"="&amp;A327,AB_TF!E:E,"Medium*")</f>
        <v>0</v>
      </c>
      <c r="T327" s="63">
        <f>COUNTIFS(AB_TF!F:F,"="&amp;A327,AB_TF!E:E,"Large*")</f>
        <v>0</v>
      </c>
      <c r="U327" s="64">
        <f t="shared" si="1"/>
        <v>0</v>
      </c>
    </row>
    <row r="328">
      <c r="P328" s="62">
        <f t="array" ref="P328">MAX(IF($A328=AB_TF!F:F,AB_TF!D:D))</f>
        <v>0</v>
      </c>
      <c r="Q328" s="63" t="str">
        <f t="array" ref="Q328">INDEX(AB_TF!C:C,MATCH(1,(AB_TF!F:F=A328)*(AB_TF!D:D=P328),0))</f>
        <v/>
      </c>
      <c r="R328" s="63">
        <f>COUNTIFS(AB_TF!F:F,"="&amp;A328,AB_TF!E:E,"Small*")</f>
        <v>0</v>
      </c>
      <c r="S328" s="63">
        <f>COUNTIFS(AB_TF!F:F,"="&amp;A328,AB_TF!E:E,"Medium*")</f>
        <v>0</v>
      </c>
      <c r="T328" s="63">
        <f>COUNTIFS(AB_TF!F:F,"="&amp;A328,AB_TF!E:E,"Large*")</f>
        <v>0</v>
      </c>
      <c r="U328" s="64">
        <f t="shared" si="1"/>
        <v>0</v>
      </c>
    </row>
    <row r="329">
      <c r="P329" s="62">
        <f t="array" ref="P329">MAX(IF($A329=AB_TF!F:F,AB_TF!D:D))</f>
        <v>0</v>
      </c>
      <c r="Q329" s="63" t="str">
        <f t="array" ref="Q329">INDEX(AB_TF!C:C,MATCH(1,(AB_TF!F:F=A329)*(AB_TF!D:D=P329),0))</f>
        <v/>
      </c>
      <c r="R329" s="63">
        <f>COUNTIFS(AB_TF!F:F,"="&amp;A329,AB_TF!E:E,"Small*")</f>
        <v>0</v>
      </c>
      <c r="S329" s="63">
        <f>COUNTIFS(AB_TF!F:F,"="&amp;A329,AB_TF!E:E,"Medium*")</f>
        <v>0</v>
      </c>
      <c r="T329" s="63">
        <f>COUNTIFS(AB_TF!F:F,"="&amp;A329,AB_TF!E:E,"Large*")</f>
        <v>0</v>
      </c>
      <c r="U329" s="64">
        <f t="shared" si="1"/>
        <v>0</v>
      </c>
    </row>
    <row r="330">
      <c r="P330" s="62">
        <f t="array" ref="P330">MAX(IF($A330=AB_TF!F:F,AB_TF!D:D))</f>
        <v>0</v>
      </c>
      <c r="Q330" s="63" t="str">
        <f t="array" ref="Q330">INDEX(AB_TF!C:C,MATCH(1,(AB_TF!F:F=A330)*(AB_TF!D:D=P330),0))</f>
        <v/>
      </c>
      <c r="R330" s="63">
        <f>COUNTIFS(AB_TF!F:F,"="&amp;A330,AB_TF!E:E,"Small*")</f>
        <v>0</v>
      </c>
      <c r="S330" s="63">
        <f>COUNTIFS(AB_TF!F:F,"="&amp;A330,AB_TF!E:E,"Medium*")</f>
        <v>0</v>
      </c>
      <c r="T330" s="63">
        <f>COUNTIFS(AB_TF!F:F,"="&amp;A330,AB_TF!E:E,"Large*")</f>
        <v>0</v>
      </c>
      <c r="U330" s="64">
        <f t="shared" si="1"/>
        <v>0</v>
      </c>
    </row>
    <row r="331">
      <c r="P331" s="62">
        <f t="array" ref="P331">MAX(IF($A331=AB_TF!F:F,AB_TF!D:D))</f>
        <v>0</v>
      </c>
      <c r="Q331" s="63" t="str">
        <f t="array" ref="Q331">INDEX(AB_TF!C:C,MATCH(1,(AB_TF!F:F=A331)*(AB_TF!D:D=P331),0))</f>
        <v/>
      </c>
      <c r="R331" s="63">
        <f>COUNTIFS(AB_TF!F:F,"="&amp;A331,AB_TF!E:E,"Small*")</f>
        <v>0</v>
      </c>
      <c r="S331" s="63">
        <f>COUNTIFS(AB_TF!F:F,"="&amp;A331,AB_TF!E:E,"Medium*")</f>
        <v>0</v>
      </c>
      <c r="T331" s="63">
        <f>COUNTIFS(AB_TF!F:F,"="&amp;A331,AB_TF!E:E,"Large*")</f>
        <v>0</v>
      </c>
      <c r="U331" s="64">
        <f t="shared" si="1"/>
        <v>0</v>
      </c>
    </row>
    <row r="332">
      <c r="P332" s="62">
        <f t="array" ref="P332">MAX(IF($A332=AB_TF!F:F,AB_TF!D:D))</f>
        <v>0</v>
      </c>
      <c r="Q332" s="63" t="str">
        <f t="array" ref="Q332">INDEX(AB_TF!C:C,MATCH(1,(AB_TF!F:F=A332)*(AB_TF!D:D=P332),0))</f>
        <v/>
      </c>
      <c r="R332" s="63">
        <f>COUNTIFS(AB_TF!F:F,"="&amp;A332,AB_TF!E:E,"Small*")</f>
        <v>0</v>
      </c>
      <c r="S332" s="63">
        <f>COUNTIFS(AB_TF!F:F,"="&amp;A332,AB_TF!E:E,"Medium*")</f>
        <v>0</v>
      </c>
      <c r="T332" s="63">
        <f>COUNTIFS(AB_TF!F:F,"="&amp;A332,AB_TF!E:E,"Large*")</f>
        <v>0</v>
      </c>
      <c r="U332" s="64">
        <f t="shared" si="1"/>
        <v>0</v>
      </c>
    </row>
    <row r="333">
      <c r="P333" s="62">
        <f t="array" ref="P333">MAX(IF($A333=AB_TF!F:F,AB_TF!D:D))</f>
        <v>0</v>
      </c>
      <c r="Q333" s="63" t="str">
        <f t="array" ref="Q333">INDEX(AB_TF!C:C,MATCH(1,(AB_TF!F:F=A333)*(AB_TF!D:D=P333),0))</f>
        <v/>
      </c>
      <c r="R333" s="63">
        <f>COUNTIFS(AB_TF!F:F,"="&amp;A333,AB_TF!E:E,"Small*")</f>
        <v>0</v>
      </c>
      <c r="S333" s="63">
        <f>COUNTIFS(AB_TF!F:F,"="&amp;A333,AB_TF!E:E,"Medium*")</f>
        <v>0</v>
      </c>
      <c r="T333" s="63">
        <f>COUNTIFS(AB_TF!F:F,"="&amp;A333,AB_TF!E:E,"Large*")</f>
        <v>0</v>
      </c>
      <c r="U333" s="64">
        <f t="shared" si="1"/>
        <v>0</v>
      </c>
    </row>
    <row r="334">
      <c r="P334" s="62">
        <f t="array" ref="P334">MAX(IF($A334=AB_TF!F:F,AB_TF!D:D))</f>
        <v>0</v>
      </c>
      <c r="Q334" s="63" t="str">
        <f t="array" ref="Q334">INDEX(AB_TF!C:C,MATCH(1,(AB_TF!F:F=A334)*(AB_TF!D:D=P334),0))</f>
        <v/>
      </c>
      <c r="R334" s="63">
        <f>COUNTIFS(AB_TF!F:F,"="&amp;A334,AB_TF!E:E,"Small*")</f>
        <v>0</v>
      </c>
      <c r="S334" s="63">
        <f>COUNTIFS(AB_TF!F:F,"="&amp;A334,AB_TF!E:E,"Medium*")</f>
        <v>0</v>
      </c>
      <c r="T334" s="63">
        <f>COUNTIFS(AB_TF!F:F,"="&amp;A334,AB_TF!E:E,"Large*")</f>
        <v>0</v>
      </c>
      <c r="U334" s="64">
        <f t="shared" si="1"/>
        <v>0</v>
      </c>
    </row>
    <row r="335">
      <c r="P335" s="62">
        <f t="array" ref="P335">MAX(IF($A335=AB_TF!F:F,AB_TF!D:D))</f>
        <v>0</v>
      </c>
      <c r="Q335" s="63" t="str">
        <f t="array" ref="Q335">INDEX(AB_TF!C:C,MATCH(1,(AB_TF!F:F=A335)*(AB_TF!D:D=P335),0))</f>
        <v/>
      </c>
      <c r="R335" s="63">
        <f>COUNTIFS(AB_TF!F:F,"="&amp;A335,AB_TF!E:E,"Small*")</f>
        <v>0</v>
      </c>
      <c r="S335" s="63">
        <f>COUNTIFS(AB_TF!F:F,"="&amp;A335,AB_TF!E:E,"Medium*")</f>
        <v>0</v>
      </c>
      <c r="T335" s="63">
        <f>COUNTIFS(AB_TF!F:F,"="&amp;A335,AB_TF!E:E,"Large*")</f>
        <v>0</v>
      </c>
      <c r="U335" s="64">
        <f t="shared" si="1"/>
        <v>0</v>
      </c>
    </row>
    <row r="336">
      <c r="P336" s="62">
        <f t="array" ref="P336">MAX(IF($A336=AB_TF!F:F,AB_TF!D:D))</f>
        <v>0</v>
      </c>
      <c r="Q336" s="63" t="str">
        <f t="array" ref="Q336">INDEX(AB_TF!C:C,MATCH(1,(AB_TF!F:F=A336)*(AB_TF!D:D=P336),0))</f>
        <v/>
      </c>
      <c r="R336" s="63">
        <f>COUNTIFS(AB_TF!F:F,"="&amp;A336,AB_TF!E:E,"Small*")</f>
        <v>0</v>
      </c>
      <c r="S336" s="63">
        <f>COUNTIFS(AB_TF!F:F,"="&amp;A336,AB_TF!E:E,"Medium*")</f>
        <v>0</v>
      </c>
      <c r="T336" s="63">
        <f>COUNTIFS(AB_TF!F:F,"="&amp;A336,AB_TF!E:E,"Large*")</f>
        <v>0</v>
      </c>
      <c r="U336" s="64">
        <f t="shared" si="1"/>
        <v>0</v>
      </c>
    </row>
    <row r="337">
      <c r="P337" s="62">
        <f t="array" ref="P337">MAX(IF($A337=AB_TF!F:F,AB_TF!D:D))</f>
        <v>0</v>
      </c>
      <c r="Q337" s="63" t="str">
        <f t="array" ref="Q337">INDEX(AB_TF!C:C,MATCH(1,(AB_TF!F:F=A337)*(AB_TF!D:D=P337),0))</f>
        <v/>
      </c>
      <c r="R337" s="63">
        <f>COUNTIFS(AB_TF!F:F,"="&amp;A337,AB_TF!E:E,"Small*")</f>
        <v>0</v>
      </c>
      <c r="S337" s="63">
        <f>COUNTIFS(AB_TF!F:F,"="&amp;A337,AB_TF!E:E,"Medium*")</f>
        <v>0</v>
      </c>
      <c r="T337" s="63">
        <f>COUNTIFS(AB_TF!F:F,"="&amp;A337,AB_TF!E:E,"Large*")</f>
        <v>0</v>
      </c>
      <c r="U337" s="64">
        <f t="shared" si="1"/>
        <v>0</v>
      </c>
    </row>
    <row r="338">
      <c r="P338" s="62">
        <f t="array" ref="P338">MAX(IF($A338=AB_TF!F:F,AB_TF!D:D))</f>
        <v>0</v>
      </c>
      <c r="Q338" s="63" t="str">
        <f t="array" ref="Q338">INDEX(AB_TF!C:C,MATCH(1,(AB_TF!F:F=A338)*(AB_TF!D:D=P338),0))</f>
        <v/>
      </c>
      <c r="R338" s="63">
        <f>COUNTIFS(AB_TF!F:F,"="&amp;A338,AB_TF!E:E,"Small*")</f>
        <v>0</v>
      </c>
      <c r="S338" s="63">
        <f>COUNTIFS(AB_TF!F:F,"="&amp;A338,AB_TF!E:E,"Medium*")</f>
        <v>0</v>
      </c>
      <c r="T338" s="63">
        <f>COUNTIFS(AB_TF!F:F,"="&amp;A338,AB_TF!E:E,"Large*")</f>
        <v>0</v>
      </c>
      <c r="U338" s="64">
        <f t="shared" si="1"/>
        <v>0</v>
      </c>
    </row>
    <row r="339">
      <c r="P339" s="62">
        <f t="array" ref="P339">MAX(IF($A339=AB_TF!F:F,AB_TF!D:D))</f>
        <v>0</v>
      </c>
      <c r="Q339" s="63" t="str">
        <f t="array" ref="Q339">INDEX(AB_TF!C:C,MATCH(1,(AB_TF!F:F=A339)*(AB_TF!D:D=P339),0))</f>
        <v/>
      </c>
      <c r="R339" s="63">
        <f>COUNTIFS(AB_TF!F:F,"="&amp;A339,AB_TF!E:E,"Small*")</f>
        <v>0</v>
      </c>
      <c r="S339" s="63">
        <f>COUNTIFS(AB_TF!F:F,"="&amp;A339,AB_TF!E:E,"Medium*")</f>
        <v>0</v>
      </c>
      <c r="T339" s="63">
        <f>COUNTIFS(AB_TF!F:F,"="&amp;A339,AB_TF!E:E,"Large*")</f>
        <v>0</v>
      </c>
      <c r="U339" s="64">
        <f t="shared" si="1"/>
        <v>0</v>
      </c>
    </row>
    <row r="340">
      <c r="P340" s="62">
        <f t="array" ref="P340">MAX(IF($A340=AB_TF!F:F,AB_TF!D:D))</f>
        <v>0</v>
      </c>
      <c r="Q340" s="63" t="str">
        <f t="array" ref="Q340">INDEX(AB_TF!C:C,MATCH(1,(AB_TF!F:F=A340)*(AB_TF!D:D=P340),0))</f>
        <v/>
      </c>
      <c r="R340" s="63">
        <f>COUNTIFS(AB_TF!F:F,"="&amp;A340,AB_TF!E:E,"Small*")</f>
        <v>0</v>
      </c>
      <c r="S340" s="63">
        <f>COUNTIFS(AB_TF!F:F,"="&amp;A340,AB_TF!E:E,"Medium*")</f>
        <v>0</v>
      </c>
      <c r="T340" s="63">
        <f>COUNTIFS(AB_TF!F:F,"="&amp;A340,AB_TF!E:E,"Large*")</f>
        <v>0</v>
      </c>
      <c r="U340" s="64">
        <f t="shared" si="1"/>
        <v>0</v>
      </c>
    </row>
    <row r="341">
      <c r="P341" s="62">
        <f t="array" ref="P341">MAX(IF($A341=AB_TF!F:F,AB_TF!D:D))</f>
        <v>0</v>
      </c>
      <c r="Q341" s="63" t="str">
        <f t="array" ref="Q341">INDEX(AB_TF!C:C,MATCH(1,(AB_TF!F:F=A341)*(AB_TF!D:D=P341),0))</f>
        <v/>
      </c>
      <c r="R341" s="63">
        <f>COUNTIFS(AB_TF!F:F,"="&amp;A341,AB_TF!E:E,"Small*")</f>
        <v>0</v>
      </c>
      <c r="S341" s="63">
        <f>COUNTIFS(AB_TF!F:F,"="&amp;A341,AB_TF!E:E,"Medium*")</f>
        <v>0</v>
      </c>
      <c r="T341" s="63">
        <f>COUNTIFS(AB_TF!F:F,"="&amp;A341,AB_TF!E:E,"Large*")</f>
        <v>0</v>
      </c>
      <c r="U341" s="64">
        <f t="shared" si="1"/>
        <v>0</v>
      </c>
    </row>
    <row r="342">
      <c r="P342" s="62">
        <f t="array" ref="P342">MAX(IF($A342=AB_TF!F:F,AB_TF!D:D))</f>
        <v>0</v>
      </c>
      <c r="Q342" s="63" t="str">
        <f t="array" ref="Q342">INDEX(AB_TF!C:C,MATCH(1,(AB_TF!F:F=A342)*(AB_TF!D:D=P342),0))</f>
        <v/>
      </c>
      <c r="R342" s="63">
        <f>COUNTIFS(AB_TF!F:F,"="&amp;A342,AB_TF!E:E,"Small*")</f>
        <v>0</v>
      </c>
      <c r="S342" s="63">
        <f>COUNTIFS(AB_TF!F:F,"="&amp;A342,AB_TF!E:E,"Medium*")</f>
        <v>0</v>
      </c>
      <c r="T342" s="63">
        <f>COUNTIFS(AB_TF!F:F,"="&amp;A342,AB_TF!E:E,"Large*")</f>
        <v>0</v>
      </c>
      <c r="U342" s="64">
        <f t="shared" si="1"/>
        <v>0</v>
      </c>
    </row>
    <row r="343">
      <c r="P343" s="62">
        <f t="array" ref="P343">MAX(IF($A343=AB_TF!F:F,AB_TF!D:D))</f>
        <v>0</v>
      </c>
      <c r="Q343" s="63" t="str">
        <f t="array" ref="Q343">INDEX(AB_TF!C:C,MATCH(1,(AB_TF!F:F=A343)*(AB_TF!D:D=P343),0))</f>
        <v/>
      </c>
      <c r="R343" s="63">
        <f>COUNTIFS(AB_TF!F:F,"="&amp;A343,AB_TF!E:E,"Small*")</f>
        <v>0</v>
      </c>
      <c r="S343" s="63">
        <f>COUNTIFS(AB_TF!F:F,"="&amp;A343,AB_TF!E:E,"Medium*")</f>
        <v>0</v>
      </c>
      <c r="T343" s="63">
        <f>COUNTIFS(AB_TF!F:F,"="&amp;A343,AB_TF!E:E,"Large*")</f>
        <v>0</v>
      </c>
      <c r="U343" s="64">
        <f t="shared" si="1"/>
        <v>0</v>
      </c>
    </row>
    <row r="344">
      <c r="P344" s="62">
        <f t="array" ref="P344">MAX(IF($A344=AB_TF!F:F,AB_TF!D:D))</f>
        <v>0</v>
      </c>
      <c r="Q344" s="63" t="str">
        <f t="array" ref="Q344">INDEX(AB_TF!C:C,MATCH(1,(AB_TF!F:F=A344)*(AB_TF!D:D=P344),0))</f>
        <v/>
      </c>
      <c r="R344" s="63">
        <f>COUNTIFS(AB_TF!F:F,"="&amp;A344,AB_TF!E:E,"Small*")</f>
        <v>0</v>
      </c>
      <c r="S344" s="63">
        <f>COUNTIFS(AB_TF!F:F,"="&amp;A344,AB_TF!E:E,"Medium*")</f>
        <v>0</v>
      </c>
      <c r="T344" s="63">
        <f>COUNTIFS(AB_TF!F:F,"="&amp;A344,AB_TF!E:E,"Large*")</f>
        <v>0</v>
      </c>
      <c r="U344" s="64">
        <f t="shared" si="1"/>
        <v>0</v>
      </c>
    </row>
    <row r="345">
      <c r="P345" s="62">
        <f t="array" ref="P345">MAX(IF($A345=AB_TF!F:F,AB_TF!D:D))</f>
        <v>0</v>
      </c>
      <c r="Q345" s="63" t="str">
        <f t="array" ref="Q345">INDEX(AB_TF!C:C,MATCH(1,(AB_TF!F:F=A345)*(AB_TF!D:D=P345),0))</f>
        <v/>
      </c>
      <c r="R345" s="63">
        <f>COUNTIFS(AB_TF!F:F,"="&amp;A345,AB_TF!E:E,"Small*")</f>
        <v>0</v>
      </c>
      <c r="S345" s="63">
        <f>COUNTIFS(AB_TF!F:F,"="&amp;A345,AB_TF!E:E,"Medium*")</f>
        <v>0</v>
      </c>
      <c r="T345" s="63">
        <f>COUNTIFS(AB_TF!F:F,"="&amp;A345,AB_TF!E:E,"Large*")</f>
        <v>0</v>
      </c>
      <c r="U345" s="64">
        <f t="shared" si="1"/>
        <v>0</v>
      </c>
    </row>
    <row r="346">
      <c r="P346" s="62">
        <f t="array" ref="P346">MAX(IF($A346=AB_TF!F:F,AB_TF!D:D))</f>
        <v>0</v>
      </c>
      <c r="Q346" s="63" t="str">
        <f t="array" ref="Q346">INDEX(AB_TF!C:C,MATCH(1,(AB_TF!F:F=A346)*(AB_TF!D:D=P346),0))</f>
        <v/>
      </c>
      <c r="R346" s="63">
        <f>COUNTIFS(AB_TF!F:F,"="&amp;A346,AB_TF!E:E,"Small*")</f>
        <v>0</v>
      </c>
      <c r="S346" s="63">
        <f>COUNTIFS(AB_TF!F:F,"="&amp;A346,AB_TF!E:E,"Medium*")</f>
        <v>0</v>
      </c>
      <c r="T346" s="63">
        <f>COUNTIFS(AB_TF!F:F,"="&amp;A346,AB_TF!E:E,"Large*")</f>
        <v>0</v>
      </c>
      <c r="U346" s="64">
        <f t="shared" si="1"/>
        <v>0</v>
      </c>
    </row>
    <row r="347">
      <c r="P347" s="62">
        <f t="array" ref="P347">MAX(IF($A347=AB_TF!F:F,AB_TF!D:D))</f>
        <v>0</v>
      </c>
      <c r="Q347" s="63" t="str">
        <f t="array" ref="Q347">INDEX(AB_TF!C:C,MATCH(1,(AB_TF!F:F=A347)*(AB_TF!D:D=P347),0))</f>
        <v/>
      </c>
      <c r="R347" s="63">
        <f>COUNTIFS(AB_TF!F:F,"="&amp;A347,AB_TF!E:E,"Small*")</f>
        <v>0</v>
      </c>
      <c r="S347" s="63">
        <f>COUNTIFS(AB_TF!F:F,"="&amp;A347,AB_TF!E:E,"Medium*")</f>
        <v>0</v>
      </c>
      <c r="T347" s="63">
        <f>COUNTIFS(AB_TF!F:F,"="&amp;A347,AB_TF!E:E,"Large*")</f>
        <v>0</v>
      </c>
      <c r="U347" s="64">
        <f t="shared" si="1"/>
        <v>0</v>
      </c>
    </row>
    <row r="348">
      <c r="P348" s="62">
        <f t="array" ref="P348">MAX(IF($A348=AB_TF!F:F,AB_TF!D:D))</f>
        <v>0</v>
      </c>
      <c r="Q348" s="63" t="str">
        <f t="array" ref="Q348">INDEX(AB_TF!C:C,MATCH(1,(AB_TF!F:F=A348)*(AB_TF!D:D=P348),0))</f>
        <v/>
      </c>
      <c r="R348" s="63">
        <f>COUNTIFS(AB_TF!F:F,"="&amp;A348,AB_TF!E:E,"Small*")</f>
        <v>0</v>
      </c>
      <c r="S348" s="63">
        <f>COUNTIFS(AB_TF!F:F,"="&amp;A348,AB_TF!E:E,"Medium*")</f>
        <v>0</v>
      </c>
      <c r="T348" s="63">
        <f>COUNTIFS(AB_TF!F:F,"="&amp;A348,AB_TF!E:E,"Large*")</f>
        <v>0</v>
      </c>
      <c r="U348" s="64">
        <f t="shared" si="1"/>
        <v>0</v>
      </c>
    </row>
    <row r="349">
      <c r="P349" s="62">
        <f t="array" ref="P349">MAX(IF($A349=AB_TF!F:F,AB_TF!D:D))</f>
        <v>0</v>
      </c>
      <c r="Q349" s="63" t="str">
        <f t="array" ref="Q349">INDEX(AB_TF!C:C,MATCH(1,(AB_TF!F:F=A349)*(AB_TF!D:D=P349),0))</f>
        <v/>
      </c>
      <c r="R349" s="63">
        <f>COUNTIFS(AB_TF!F:F,"="&amp;A349,AB_TF!E:E,"Small*")</f>
        <v>0</v>
      </c>
      <c r="S349" s="63">
        <f>COUNTIFS(AB_TF!F:F,"="&amp;A349,AB_TF!E:E,"Medium*")</f>
        <v>0</v>
      </c>
      <c r="T349" s="63">
        <f>COUNTIFS(AB_TF!F:F,"="&amp;A349,AB_TF!E:E,"Large*")</f>
        <v>0</v>
      </c>
      <c r="U349" s="64">
        <f t="shared" si="1"/>
        <v>0</v>
      </c>
    </row>
    <row r="350">
      <c r="P350" s="62">
        <f t="array" ref="P350">MAX(IF($A350=AB_TF!F:F,AB_TF!D:D))</f>
        <v>0</v>
      </c>
      <c r="Q350" s="63" t="str">
        <f t="array" ref="Q350">INDEX(AB_TF!C:C,MATCH(1,(AB_TF!F:F=A350)*(AB_TF!D:D=P350),0))</f>
        <v/>
      </c>
      <c r="R350" s="63">
        <f>COUNTIFS(AB_TF!F:F,"="&amp;A350,AB_TF!E:E,"Small*")</f>
        <v>0</v>
      </c>
      <c r="S350" s="63">
        <f>COUNTIFS(AB_TF!F:F,"="&amp;A350,AB_TF!E:E,"Medium*")</f>
        <v>0</v>
      </c>
      <c r="T350" s="63">
        <f>COUNTIFS(AB_TF!F:F,"="&amp;A350,AB_TF!E:E,"Large*")</f>
        <v>0</v>
      </c>
      <c r="U350" s="64">
        <f t="shared" si="1"/>
        <v>0</v>
      </c>
    </row>
    <row r="351">
      <c r="P351" s="62">
        <f t="array" ref="P351">MAX(IF($A351=AB_TF!F:F,AB_TF!D:D))</f>
        <v>0</v>
      </c>
      <c r="Q351" s="63" t="str">
        <f t="array" ref="Q351">INDEX(AB_TF!C:C,MATCH(1,(AB_TF!F:F=A351)*(AB_TF!D:D=P351),0))</f>
        <v/>
      </c>
      <c r="R351" s="63">
        <f>COUNTIFS(AB_TF!F:F,"="&amp;A351,AB_TF!E:E,"Small*")</f>
        <v>0</v>
      </c>
      <c r="S351" s="63">
        <f>COUNTIFS(AB_TF!F:F,"="&amp;A351,AB_TF!E:E,"Medium*")</f>
        <v>0</v>
      </c>
      <c r="T351" s="63">
        <f>COUNTIFS(AB_TF!F:F,"="&amp;A351,AB_TF!E:E,"Large*")</f>
        <v>0</v>
      </c>
      <c r="U351" s="64">
        <f t="shared" si="1"/>
        <v>0</v>
      </c>
    </row>
    <row r="352">
      <c r="P352" s="62">
        <f t="array" ref="P352">MAX(IF($A352=AB_TF!F:F,AB_TF!D:D))</f>
        <v>0</v>
      </c>
      <c r="Q352" s="63" t="str">
        <f t="array" ref="Q352">INDEX(AB_TF!C:C,MATCH(1,(AB_TF!F:F=A352)*(AB_TF!D:D=P352),0))</f>
        <v/>
      </c>
      <c r="R352" s="63">
        <f>COUNTIFS(AB_TF!F:F,"="&amp;A352,AB_TF!E:E,"Small*")</f>
        <v>0</v>
      </c>
      <c r="S352" s="63">
        <f>COUNTIFS(AB_TF!F:F,"="&amp;A352,AB_TF!E:E,"Medium*")</f>
        <v>0</v>
      </c>
      <c r="T352" s="63">
        <f>COUNTIFS(AB_TF!F:F,"="&amp;A352,AB_TF!E:E,"Large*")</f>
        <v>0</v>
      </c>
      <c r="U352" s="64">
        <f t="shared" si="1"/>
        <v>0</v>
      </c>
    </row>
    <row r="353">
      <c r="P353" s="62">
        <f t="array" ref="P353">MAX(IF($A353=AB_TF!F:F,AB_TF!D:D))</f>
        <v>0</v>
      </c>
      <c r="Q353" s="63" t="str">
        <f t="array" ref="Q353">INDEX(AB_TF!C:C,MATCH(1,(AB_TF!F:F=A353)*(AB_TF!D:D=P353),0))</f>
        <v/>
      </c>
      <c r="R353" s="63">
        <f>COUNTIFS(AB_TF!F:F,"="&amp;A353,AB_TF!E:E,"Small*")</f>
        <v>0</v>
      </c>
      <c r="S353" s="63">
        <f>COUNTIFS(AB_TF!F:F,"="&amp;A353,AB_TF!E:E,"Medium*")</f>
        <v>0</v>
      </c>
      <c r="T353" s="63">
        <f>COUNTIFS(AB_TF!F:F,"="&amp;A353,AB_TF!E:E,"Large*")</f>
        <v>0</v>
      </c>
      <c r="U353" s="64">
        <f t="shared" si="1"/>
        <v>0</v>
      </c>
    </row>
    <row r="354">
      <c r="P354" s="62">
        <f t="array" ref="P354">MAX(IF($A354=AB_TF!F:F,AB_TF!D:D))</f>
        <v>0</v>
      </c>
      <c r="Q354" s="63" t="str">
        <f t="array" ref="Q354">INDEX(AB_TF!C:C,MATCH(1,(AB_TF!F:F=A354)*(AB_TF!D:D=P354),0))</f>
        <v/>
      </c>
      <c r="R354" s="63">
        <f>COUNTIFS(AB_TF!F:F,"="&amp;A354,AB_TF!E:E,"Small*")</f>
        <v>0</v>
      </c>
      <c r="S354" s="63">
        <f>COUNTIFS(AB_TF!F:F,"="&amp;A354,AB_TF!E:E,"Medium*")</f>
        <v>0</v>
      </c>
      <c r="T354" s="63">
        <f>COUNTIFS(AB_TF!F:F,"="&amp;A354,AB_TF!E:E,"Large*")</f>
        <v>0</v>
      </c>
      <c r="U354" s="64">
        <f t="shared" si="1"/>
        <v>0</v>
      </c>
    </row>
    <row r="355">
      <c r="P355" s="62">
        <f t="array" ref="P355">MAX(IF($A355=AB_TF!F:F,AB_TF!D:D))</f>
        <v>0</v>
      </c>
      <c r="Q355" s="63" t="str">
        <f t="array" ref="Q355">INDEX(AB_TF!C:C,MATCH(1,(AB_TF!F:F=A355)*(AB_TF!D:D=P355),0))</f>
        <v/>
      </c>
      <c r="R355" s="63">
        <f>COUNTIFS(AB_TF!F:F,"="&amp;A355,AB_TF!E:E,"Small*")</f>
        <v>0</v>
      </c>
      <c r="S355" s="63">
        <f>COUNTIFS(AB_TF!F:F,"="&amp;A355,AB_TF!E:E,"Medium*")</f>
        <v>0</v>
      </c>
      <c r="T355" s="63">
        <f>COUNTIFS(AB_TF!F:F,"="&amp;A355,AB_TF!E:E,"Large*")</f>
        <v>0</v>
      </c>
      <c r="U355" s="64">
        <f t="shared" si="1"/>
        <v>0</v>
      </c>
    </row>
    <row r="356">
      <c r="P356" s="62">
        <f t="array" ref="P356">MAX(IF($A356=AB_TF!F:F,AB_TF!D:D))</f>
        <v>0</v>
      </c>
      <c r="Q356" s="63" t="str">
        <f t="array" ref="Q356">INDEX(AB_TF!C:C,MATCH(1,(AB_TF!F:F=A356)*(AB_TF!D:D=P356),0))</f>
        <v/>
      </c>
      <c r="R356" s="63">
        <f>COUNTIFS(AB_TF!F:F,"="&amp;A356,AB_TF!E:E,"Small*")</f>
        <v>0</v>
      </c>
      <c r="S356" s="63">
        <f>COUNTIFS(AB_TF!F:F,"="&amp;A356,AB_TF!E:E,"Medium*")</f>
        <v>0</v>
      </c>
      <c r="T356" s="63">
        <f>COUNTIFS(AB_TF!F:F,"="&amp;A356,AB_TF!E:E,"Large*")</f>
        <v>0</v>
      </c>
      <c r="U356" s="64">
        <f t="shared" si="1"/>
        <v>0</v>
      </c>
    </row>
    <row r="357">
      <c r="P357" s="62">
        <f t="array" ref="P357">MAX(IF($A357=AB_TF!F:F,AB_TF!D:D))</f>
        <v>0</v>
      </c>
      <c r="Q357" s="63" t="str">
        <f t="array" ref="Q357">INDEX(AB_TF!C:C,MATCH(1,(AB_TF!F:F=A357)*(AB_TF!D:D=P357),0))</f>
        <v/>
      </c>
      <c r="R357" s="63">
        <f>COUNTIFS(AB_TF!F:F,"="&amp;A357,AB_TF!E:E,"Small*")</f>
        <v>0</v>
      </c>
      <c r="S357" s="63">
        <f>COUNTIFS(AB_TF!F:F,"="&amp;A357,AB_TF!E:E,"Medium*")</f>
        <v>0</v>
      </c>
      <c r="T357" s="63">
        <f>COUNTIFS(AB_TF!F:F,"="&amp;A357,AB_TF!E:E,"Large*")</f>
        <v>0</v>
      </c>
      <c r="U357" s="64">
        <f t="shared" si="1"/>
        <v>0</v>
      </c>
    </row>
    <row r="358">
      <c r="P358" s="62">
        <f t="array" ref="P358">MAX(IF($A358=AB_TF!F:F,AB_TF!D:D))</f>
        <v>0</v>
      </c>
      <c r="Q358" s="63" t="str">
        <f t="array" ref="Q358">INDEX(AB_TF!C:C,MATCH(1,(AB_TF!F:F=A358)*(AB_TF!D:D=P358),0))</f>
        <v/>
      </c>
      <c r="R358" s="63">
        <f>COUNTIFS(AB_TF!F:F,"="&amp;A358,AB_TF!E:E,"Small*")</f>
        <v>0</v>
      </c>
      <c r="S358" s="63">
        <f>COUNTIFS(AB_TF!F:F,"="&amp;A358,AB_TF!E:E,"Medium*")</f>
        <v>0</v>
      </c>
      <c r="T358" s="63">
        <f>COUNTIFS(AB_TF!F:F,"="&amp;A358,AB_TF!E:E,"Large*")</f>
        <v>0</v>
      </c>
      <c r="U358" s="64">
        <f t="shared" si="1"/>
        <v>0</v>
      </c>
    </row>
    <row r="359">
      <c r="P359" s="62">
        <f t="array" ref="P359">MAX(IF($A359=AB_TF!F:F,AB_TF!D:D))</f>
        <v>0</v>
      </c>
      <c r="Q359" s="63" t="str">
        <f t="array" ref="Q359">INDEX(AB_TF!C:C,MATCH(1,(AB_TF!F:F=A359)*(AB_TF!D:D=P359),0))</f>
        <v/>
      </c>
      <c r="R359" s="63">
        <f>COUNTIFS(AB_TF!F:F,"="&amp;A359,AB_TF!E:E,"Small*")</f>
        <v>0</v>
      </c>
      <c r="S359" s="63">
        <f>COUNTIFS(AB_TF!F:F,"="&amp;A359,AB_TF!E:E,"Medium*")</f>
        <v>0</v>
      </c>
      <c r="T359" s="63">
        <f>COUNTIFS(AB_TF!F:F,"="&amp;A359,AB_TF!E:E,"Large*")</f>
        <v>0</v>
      </c>
      <c r="U359" s="64">
        <f t="shared" si="1"/>
        <v>0</v>
      </c>
    </row>
    <row r="360">
      <c r="P360" s="62">
        <f t="array" ref="P360">MAX(IF($A360=AB_TF!F:F,AB_TF!D:D))</f>
        <v>0</v>
      </c>
      <c r="Q360" s="63" t="str">
        <f t="array" ref="Q360">INDEX(AB_TF!C:C,MATCH(1,(AB_TF!F:F=A360)*(AB_TF!D:D=P360),0))</f>
        <v/>
      </c>
      <c r="R360" s="63">
        <f>COUNTIFS(AB_TF!F:F,"="&amp;A360,AB_TF!E:E,"Small*")</f>
        <v>0</v>
      </c>
      <c r="S360" s="63">
        <f>COUNTIFS(AB_TF!F:F,"="&amp;A360,AB_TF!E:E,"Medium*")</f>
        <v>0</v>
      </c>
      <c r="T360" s="63">
        <f>COUNTIFS(AB_TF!F:F,"="&amp;A360,AB_TF!E:E,"Large*")</f>
        <v>0</v>
      </c>
      <c r="U360" s="64">
        <f t="shared" si="1"/>
        <v>0</v>
      </c>
    </row>
    <row r="361">
      <c r="P361" s="62">
        <f t="array" ref="P361">MAX(IF($A361=AB_TF!F:F,AB_TF!D:D))</f>
        <v>0</v>
      </c>
      <c r="Q361" s="63" t="str">
        <f t="array" ref="Q361">INDEX(AB_TF!C:C,MATCH(1,(AB_TF!F:F=A361)*(AB_TF!D:D=P361),0))</f>
        <v/>
      </c>
      <c r="R361" s="63">
        <f>COUNTIFS(AB_TF!F:F,"="&amp;A361,AB_TF!E:E,"Small*")</f>
        <v>0</v>
      </c>
      <c r="S361" s="63">
        <f>COUNTIFS(AB_TF!F:F,"="&amp;A361,AB_TF!E:E,"Medium*")</f>
        <v>0</v>
      </c>
      <c r="T361" s="63">
        <f>COUNTIFS(AB_TF!F:F,"="&amp;A361,AB_TF!E:E,"Large*")</f>
        <v>0</v>
      </c>
      <c r="U361" s="64">
        <f t="shared" si="1"/>
        <v>0</v>
      </c>
    </row>
    <row r="362">
      <c r="P362" s="62">
        <f t="array" ref="P362">MAX(IF($A362=AB_TF!F:F,AB_TF!D:D))</f>
        <v>0</v>
      </c>
      <c r="Q362" s="63" t="str">
        <f t="array" ref="Q362">INDEX(AB_TF!C:C,MATCH(1,(AB_TF!F:F=A362)*(AB_TF!D:D=P362),0))</f>
        <v/>
      </c>
      <c r="R362" s="63">
        <f>COUNTIFS(AB_TF!F:F,"="&amp;A362,AB_TF!E:E,"Small*")</f>
        <v>0</v>
      </c>
      <c r="S362" s="63">
        <f>COUNTIFS(AB_TF!F:F,"="&amp;A362,AB_TF!E:E,"Medium*")</f>
        <v>0</v>
      </c>
      <c r="T362" s="63">
        <f>COUNTIFS(AB_TF!F:F,"="&amp;A362,AB_TF!E:E,"Large*")</f>
        <v>0</v>
      </c>
      <c r="U362" s="64">
        <f t="shared" si="1"/>
        <v>0</v>
      </c>
    </row>
    <row r="363">
      <c r="P363" s="62">
        <f t="array" ref="P363">MAX(IF($A363=AB_TF!F:F,AB_TF!D:D))</f>
        <v>0</v>
      </c>
      <c r="Q363" s="63" t="str">
        <f t="array" ref="Q363">INDEX(AB_TF!C:C,MATCH(1,(AB_TF!F:F=A363)*(AB_TF!D:D=P363),0))</f>
        <v/>
      </c>
      <c r="R363" s="63">
        <f>COUNTIFS(AB_TF!F:F,"="&amp;A363,AB_TF!E:E,"Small*")</f>
        <v>0</v>
      </c>
      <c r="S363" s="63">
        <f>COUNTIFS(AB_TF!F:F,"="&amp;A363,AB_TF!E:E,"Medium*")</f>
        <v>0</v>
      </c>
      <c r="T363" s="63">
        <f>COUNTIFS(AB_TF!F:F,"="&amp;A363,AB_TF!E:E,"Large*")</f>
        <v>0</v>
      </c>
      <c r="U363" s="64">
        <f t="shared" si="1"/>
        <v>0</v>
      </c>
    </row>
    <row r="364">
      <c r="P364" s="62">
        <f t="array" ref="P364">MAX(IF($A364=AB_TF!F:F,AB_TF!D:D))</f>
        <v>0</v>
      </c>
      <c r="Q364" s="63" t="str">
        <f t="array" ref="Q364">INDEX(AB_TF!C:C,MATCH(1,(AB_TF!F:F=A364)*(AB_TF!D:D=P364),0))</f>
        <v/>
      </c>
      <c r="R364" s="63">
        <f>COUNTIFS(AB_TF!F:F,"="&amp;A364,AB_TF!E:E,"Small*")</f>
        <v>0</v>
      </c>
      <c r="S364" s="63">
        <f>COUNTIFS(AB_TF!F:F,"="&amp;A364,AB_TF!E:E,"Medium*")</f>
        <v>0</v>
      </c>
      <c r="T364" s="63">
        <f>COUNTIFS(AB_TF!F:F,"="&amp;A364,AB_TF!E:E,"Large*")</f>
        <v>0</v>
      </c>
      <c r="U364" s="64">
        <f t="shared" si="1"/>
        <v>0</v>
      </c>
    </row>
    <row r="365">
      <c r="P365" s="62">
        <f t="array" ref="P365">MAX(IF($A365=AB_TF!F:F,AB_TF!D:D))</f>
        <v>0</v>
      </c>
      <c r="Q365" s="63" t="str">
        <f t="array" ref="Q365">INDEX(AB_TF!C:C,MATCH(1,(AB_TF!F:F=A365)*(AB_TF!D:D=P365),0))</f>
        <v/>
      </c>
      <c r="R365" s="63">
        <f>COUNTIFS(AB_TF!F:F,"="&amp;A365,AB_TF!E:E,"Small*")</f>
        <v>0</v>
      </c>
      <c r="S365" s="63">
        <f>COUNTIFS(AB_TF!F:F,"="&amp;A365,AB_TF!E:E,"Medium*")</f>
        <v>0</v>
      </c>
      <c r="T365" s="63">
        <f>COUNTIFS(AB_TF!F:F,"="&amp;A365,AB_TF!E:E,"Large*")</f>
        <v>0</v>
      </c>
      <c r="U365" s="64">
        <f t="shared" si="1"/>
        <v>0</v>
      </c>
    </row>
    <row r="366">
      <c r="P366" s="62">
        <f t="array" ref="P366">MAX(IF($A366=AB_TF!F:F,AB_TF!D:D))</f>
        <v>0</v>
      </c>
      <c r="Q366" s="63" t="str">
        <f t="array" ref="Q366">INDEX(AB_TF!C:C,MATCH(1,(AB_TF!F:F=A366)*(AB_TF!D:D=P366),0))</f>
        <v/>
      </c>
      <c r="R366" s="63">
        <f>COUNTIFS(AB_TF!F:F,"="&amp;A366,AB_TF!E:E,"Small*")</f>
        <v>0</v>
      </c>
      <c r="S366" s="63">
        <f>COUNTIFS(AB_TF!F:F,"="&amp;A366,AB_TF!E:E,"Medium*")</f>
        <v>0</v>
      </c>
      <c r="T366" s="63">
        <f>COUNTIFS(AB_TF!F:F,"="&amp;A366,AB_TF!E:E,"Large*")</f>
        <v>0</v>
      </c>
      <c r="U366" s="64">
        <f t="shared" si="1"/>
        <v>0</v>
      </c>
    </row>
    <row r="367">
      <c r="P367" s="62">
        <f t="array" ref="P367">MAX(IF($A367=AB_TF!F:F,AB_TF!D:D))</f>
        <v>0</v>
      </c>
      <c r="Q367" s="63" t="str">
        <f t="array" ref="Q367">INDEX(AB_TF!C:C,MATCH(1,(AB_TF!F:F=A367)*(AB_TF!D:D=P367),0))</f>
        <v/>
      </c>
      <c r="R367" s="63">
        <f>COUNTIFS(AB_TF!F:F,"="&amp;A367,AB_TF!E:E,"Small*")</f>
        <v>0</v>
      </c>
      <c r="S367" s="63">
        <f>COUNTIFS(AB_TF!F:F,"="&amp;A367,AB_TF!E:E,"Medium*")</f>
        <v>0</v>
      </c>
      <c r="T367" s="63">
        <f>COUNTIFS(AB_TF!F:F,"="&amp;A367,AB_TF!E:E,"Large*")</f>
        <v>0</v>
      </c>
      <c r="U367" s="64">
        <f t="shared" si="1"/>
        <v>0</v>
      </c>
    </row>
    <row r="368">
      <c r="P368" s="62">
        <f t="array" ref="P368">MAX(IF($A368=AB_TF!F:F,AB_TF!D:D))</f>
        <v>0</v>
      </c>
      <c r="Q368" s="63" t="str">
        <f t="array" ref="Q368">INDEX(AB_TF!C:C,MATCH(1,(AB_TF!F:F=A368)*(AB_TF!D:D=P368),0))</f>
        <v/>
      </c>
      <c r="R368" s="63">
        <f>COUNTIFS(AB_TF!F:F,"="&amp;A368,AB_TF!E:E,"Small*")</f>
        <v>0</v>
      </c>
      <c r="S368" s="63">
        <f>COUNTIFS(AB_TF!F:F,"="&amp;A368,AB_TF!E:E,"Medium*")</f>
        <v>0</v>
      </c>
      <c r="T368" s="63">
        <f>COUNTIFS(AB_TF!F:F,"="&amp;A368,AB_TF!E:E,"Large*")</f>
        <v>0</v>
      </c>
      <c r="U368" s="64">
        <f t="shared" si="1"/>
        <v>0</v>
      </c>
    </row>
    <row r="369">
      <c r="P369" s="62">
        <f t="array" ref="P369">MAX(IF($A369=AB_TF!F:F,AB_TF!D:D))</f>
        <v>0</v>
      </c>
      <c r="Q369" s="63" t="str">
        <f t="array" ref="Q369">INDEX(AB_TF!C:C,MATCH(1,(AB_TF!F:F=A369)*(AB_TF!D:D=P369),0))</f>
        <v/>
      </c>
      <c r="R369" s="63">
        <f>COUNTIFS(AB_TF!F:F,"="&amp;A369,AB_TF!E:E,"Small*")</f>
        <v>0</v>
      </c>
      <c r="S369" s="63">
        <f>COUNTIFS(AB_TF!F:F,"="&amp;A369,AB_TF!E:E,"Medium*")</f>
        <v>0</v>
      </c>
      <c r="T369" s="63">
        <f>COUNTIFS(AB_TF!F:F,"="&amp;A369,AB_TF!E:E,"Large*")</f>
        <v>0</v>
      </c>
      <c r="U369" s="64">
        <f t="shared" si="1"/>
        <v>0</v>
      </c>
    </row>
    <row r="370">
      <c r="P370" s="62">
        <f t="array" ref="P370">MAX(IF($A370=AB_TF!F:F,AB_TF!D:D))</f>
        <v>0</v>
      </c>
      <c r="Q370" s="63" t="str">
        <f t="array" ref="Q370">INDEX(AB_TF!C:C,MATCH(1,(AB_TF!F:F=A370)*(AB_TF!D:D=P370),0))</f>
        <v/>
      </c>
      <c r="R370" s="63">
        <f>COUNTIFS(AB_TF!F:F,"="&amp;A370,AB_TF!E:E,"Small*")</f>
        <v>0</v>
      </c>
      <c r="S370" s="63">
        <f>COUNTIFS(AB_TF!F:F,"="&amp;A370,AB_TF!E:E,"Medium*")</f>
        <v>0</v>
      </c>
      <c r="T370" s="63">
        <f>COUNTIFS(AB_TF!F:F,"="&amp;A370,AB_TF!E:E,"Large*")</f>
        <v>0</v>
      </c>
      <c r="U370" s="64">
        <f t="shared" si="1"/>
        <v>0</v>
      </c>
    </row>
    <row r="371">
      <c r="P371" s="62">
        <f t="array" ref="P371">MAX(IF($A371=AB_TF!F:F,AB_TF!D:D))</f>
        <v>0</v>
      </c>
      <c r="Q371" s="63" t="str">
        <f t="array" ref="Q371">INDEX(AB_TF!C:C,MATCH(1,(AB_TF!F:F=A371)*(AB_TF!D:D=P371),0))</f>
        <v/>
      </c>
      <c r="R371" s="63">
        <f>COUNTIFS(AB_TF!F:F,"="&amp;A371,AB_TF!E:E,"Small*")</f>
        <v>0</v>
      </c>
      <c r="S371" s="63">
        <f>COUNTIFS(AB_TF!F:F,"="&amp;A371,AB_TF!E:E,"Medium*")</f>
        <v>0</v>
      </c>
      <c r="T371" s="63">
        <f>COUNTIFS(AB_TF!F:F,"="&amp;A371,AB_TF!E:E,"Large*")</f>
        <v>0</v>
      </c>
      <c r="U371" s="64">
        <f t="shared" si="1"/>
        <v>0</v>
      </c>
    </row>
    <row r="372">
      <c r="P372" s="62">
        <f t="array" ref="P372">MAX(IF($A372=AB_TF!F:F,AB_TF!D:D))</f>
        <v>0</v>
      </c>
      <c r="Q372" s="63" t="str">
        <f t="array" ref="Q372">INDEX(AB_TF!C:C,MATCH(1,(AB_TF!F:F=A372)*(AB_TF!D:D=P372),0))</f>
        <v/>
      </c>
      <c r="R372" s="63">
        <f>COUNTIFS(AB_TF!F:F,"="&amp;A372,AB_TF!E:E,"Small*")</f>
        <v>0</v>
      </c>
      <c r="S372" s="63">
        <f>COUNTIFS(AB_TF!F:F,"="&amp;A372,AB_TF!E:E,"Medium*")</f>
        <v>0</v>
      </c>
      <c r="T372" s="63">
        <f>COUNTIFS(AB_TF!F:F,"="&amp;A372,AB_TF!E:E,"Large*")</f>
        <v>0</v>
      </c>
      <c r="U372" s="64">
        <f t="shared" si="1"/>
        <v>0</v>
      </c>
    </row>
    <row r="373">
      <c r="P373" s="62">
        <f t="array" ref="P373">MAX(IF($A373=AB_TF!F:F,AB_TF!D:D))</f>
        <v>0</v>
      </c>
      <c r="Q373" s="63" t="str">
        <f t="array" ref="Q373">INDEX(AB_TF!C:C,MATCH(1,(AB_TF!F:F=A373)*(AB_TF!D:D=P373),0))</f>
        <v/>
      </c>
      <c r="R373" s="63">
        <f>COUNTIFS(AB_TF!F:F,"="&amp;A373,AB_TF!E:E,"Small*")</f>
        <v>0</v>
      </c>
      <c r="S373" s="63">
        <f>COUNTIFS(AB_TF!F:F,"="&amp;A373,AB_TF!E:E,"Medium*")</f>
        <v>0</v>
      </c>
      <c r="T373" s="63">
        <f>COUNTIFS(AB_TF!F:F,"="&amp;A373,AB_TF!E:E,"Large*")</f>
        <v>0</v>
      </c>
      <c r="U373" s="64">
        <f t="shared" si="1"/>
        <v>0</v>
      </c>
    </row>
    <row r="374">
      <c r="P374" s="62">
        <f t="array" ref="P374">MAX(IF($A374=AB_TF!F:F,AB_TF!D:D))</f>
        <v>0</v>
      </c>
      <c r="Q374" s="63" t="str">
        <f t="array" ref="Q374">INDEX(AB_TF!C:C,MATCH(1,(AB_TF!F:F=A374)*(AB_TF!D:D=P374),0))</f>
        <v/>
      </c>
      <c r="R374" s="63">
        <f>COUNTIFS(AB_TF!F:F,"="&amp;A374,AB_TF!E:E,"Small*")</f>
        <v>0</v>
      </c>
      <c r="S374" s="63">
        <f>COUNTIFS(AB_TF!F:F,"="&amp;A374,AB_TF!E:E,"Medium*")</f>
        <v>0</v>
      </c>
      <c r="T374" s="63">
        <f>COUNTIFS(AB_TF!F:F,"="&amp;A374,AB_TF!E:E,"Large*")</f>
        <v>0</v>
      </c>
      <c r="U374" s="64">
        <f t="shared" si="1"/>
        <v>0</v>
      </c>
    </row>
    <row r="375">
      <c r="P375" s="62">
        <f t="array" ref="P375">MAX(IF($A375=AB_TF!F:F,AB_TF!D:D))</f>
        <v>0</v>
      </c>
      <c r="Q375" s="63" t="str">
        <f t="array" ref="Q375">INDEX(AB_TF!C:C,MATCH(1,(AB_TF!F:F=A375)*(AB_TF!D:D=P375),0))</f>
        <v/>
      </c>
      <c r="R375" s="63">
        <f>COUNTIFS(AB_TF!F:F,"="&amp;A375,AB_TF!E:E,"Small*")</f>
        <v>0</v>
      </c>
      <c r="S375" s="63">
        <f>COUNTIFS(AB_TF!F:F,"="&amp;A375,AB_TF!E:E,"Medium*")</f>
        <v>0</v>
      </c>
      <c r="T375" s="63">
        <f>COUNTIFS(AB_TF!F:F,"="&amp;A375,AB_TF!E:E,"Large*")</f>
        <v>0</v>
      </c>
      <c r="U375" s="64">
        <f t="shared" si="1"/>
        <v>0</v>
      </c>
    </row>
    <row r="376">
      <c r="P376" s="62">
        <f t="array" ref="P376">MAX(IF($A376=AB_TF!F:F,AB_TF!D:D))</f>
        <v>0</v>
      </c>
      <c r="Q376" s="63" t="str">
        <f t="array" ref="Q376">INDEX(AB_TF!C:C,MATCH(1,(AB_TF!F:F=A376)*(AB_TF!D:D=P376),0))</f>
        <v/>
      </c>
      <c r="R376" s="63">
        <f>COUNTIFS(AB_TF!F:F,"="&amp;A376,AB_TF!E:E,"Small*")</f>
        <v>0</v>
      </c>
      <c r="S376" s="63">
        <f>COUNTIFS(AB_TF!F:F,"="&amp;A376,AB_TF!E:E,"Medium*")</f>
        <v>0</v>
      </c>
      <c r="T376" s="63">
        <f>COUNTIFS(AB_TF!F:F,"="&amp;A376,AB_TF!E:E,"Large*")</f>
        <v>0</v>
      </c>
      <c r="U376" s="64">
        <f t="shared" si="1"/>
        <v>0</v>
      </c>
    </row>
    <row r="377">
      <c r="P377" s="62">
        <f t="array" ref="P377">MAX(IF($A377=AB_TF!F:F,AB_TF!D:D))</f>
        <v>0</v>
      </c>
      <c r="Q377" s="63" t="str">
        <f t="array" ref="Q377">INDEX(AB_TF!C:C,MATCH(1,(AB_TF!F:F=A377)*(AB_TF!D:D=P377),0))</f>
        <v/>
      </c>
      <c r="R377" s="63">
        <f>COUNTIFS(AB_TF!F:F,"="&amp;A377,AB_TF!E:E,"Small*")</f>
        <v>0</v>
      </c>
      <c r="S377" s="63">
        <f>COUNTIFS(AB_TF!F:F,"="&amp;A377,AB_TF!E:E,"Medium*")</f>
        <v>0</v>
      </c>
      <c r="T377" s="63">
        <f>COUNTIFS(AB_TF!F:F,"="&amp;A377,AB_TF!E:E,"Large*")</f>
        <v>0</v>
      </c>
      <c r="U377" s="64">
        <f t="shared" si="1"/>
        <v>0</v>
      </c>
    </row>
    <row r="378">
      <c r="P378" s="62">
        <f t="array" ref="P378">MAX(IF($A378=AB_TF!F:F,AB_TF!D:D))</f>
        <v>0</v>
      </c>
      <c r="Q378" s="63" t="str">
        <f t="array" ref="Q378">INDEX(AB_TF!C:C,MATCH(1,(AB_TF!F:F=A378)*(AB_TF!D:D=P378),0))</f>
        <v/>
      </c>
      <c r="R378" s="63">
        <f>COUNTIFS(AB_TF!F:F,"="&amp;A378,AB_TF!E:E,"Small*")</f>
        <v>0</v>
      </c>
      <c r="S378" s="63">
        <f>COUNTIFS(AB_TF!F:F,"="&amp;A378,AB_TF!E:E,"Medium*")</f>
        <v>0</v>
      </c>
      <c r="T378" s="63">
        <f>COUNTIFS(AB_TF!F:F,"="&amp;A378,AB_TF!E:E,"Large*")</f>
        <v>0</v>
      </c>
      <c r="U378" s="64">
        <f t="shared" si="1"/>
        <v>0</v>
      </c>
    </row>
    <row r="379">
      <c r="P379" s="62">
        <f t="array" ref="P379">MAX(IF($A379=AB_TF!F:F,AB_TF!D:D))</f>
        <v>0</v>
      </c>
      <c r="Q379" s="63" t="str">
        <f t="array" ref="Q379">INDEX(AB_TF!C:C,MATCH(1,(AB_TF!F:F=A379)*(AB_TF!D:D=P379),0))</f>
        <v/>
      </c>
      <c r="R379" s="63">
        <f>COUNTIFS(AB_TF!F:F,"="&amp;A379,AB_TF!E:E,"Small*")</f>
        <v>0</v>
      </c>
      <c r="S379" s="63">
        <f>COUNTIFS(AB_TF!F:F,"="&amp;A379,AB_TF!E:E,"Medium*")</f>
        <v>0</v>
      </c>
      <c r="T379" s="63">
        <f>COUNTIFS(AB_TF!F:F,"="&amp;A379,AB_TF!E:E,"Large*")</f>
        <v>0</v>
      </c>
      <c r="U379" s="64">
        <f t="shared" si="1"/>
        <v>0</v>
      </c>
    </row>
    <row r="380">
      <c r="P380" s="62">
        <f t="array" ref="P380">MAX(IF($A380=AB_TF!F:F,AB_TF!D:D))</f>
        <v>0</v>
      </c>
      <c r="Q380" s="63" t="str">
        <f t="array" ref="Q380">INDEX(AB_TF!C:C,MATCH(1,(AB_TF!F:F=A380)*(AB_TF!D:D=P380),0))</f>
        <v/>
      </c>
      <c r="R380" s="63">
        <f>COUNTIFS(AB_TF!F:F,"="&amp;A380,AB_TF!E:E,"Small*")</f>
        <v>0</v>
      </c>
      <c r="S380" s="63">
        <f>COUNTIFS(AB_TF!F:F,"="&amp;A380,AB_TF!E:E,"Medium*")</f>
        <v>0</v>
      </c>
      <c r="T380" s="63">
        <f>COUNTIFS(AB_TF!F:F,"="&amp;A380,AB_TF!E:E,"Large*")</f>
        <v>0</v>
      </c>
      <c r="U380" s="64">
        <f t="shared" si="1"/>
        <v>0</v>
      </c>
    </row>
    <row r="381">
      <c r="P381" s="62">
        <f t="array" ref="P381">MAX(IF($A381=AB_TF!F:F,AB_TF!D:D))</f>
        <v>0</v>
      </c>
      <c r="Q381" s="63" t="str">
        <f t="array" ref="Q381">INDEX(AB_TF!C:C,MATCH(1,(AB_TF!F:F=A381)*(AB_TF!D:D=P381),0))</f>
        <v/>
      </c>
      <c r="R381" s="63">
        <f>COUNTIFS(AB_TF!F:F,"="&amp;A381,AB_TF!E:E,"Small*")</f>
        <v>0</v>
      </c>
      <c r="S381" s="63">
        <f>COUNTIFS(AB_TF!F:F,"="&amp;A381,AB_TF!E:E,"Medium*")</f>
        <v>0</v>
      </c>
      <c r="T381" s="63">
        <f>COUNTIFS(AB_TF!F:F,"="&amp;A381,AB_TF!E:E,"Large*")</f>
        <v>0</v>
      </c>
      <c r="U381" s="64">
        <f t="shared" si="1"/>
        <v>0</v>
      </c>
    </row>
    <row r="382">
      <c r="P382" s="62">
        <f t="array" ref="P382">MAX(IF($A382=AB_TF!F:F,AB_TF!D:D))</f>
        <v>0</v>
      </c>
      <c r="Q382" s="63" t="str">
        <f t="array" ref="Q382">INDEX(AB_TF!C:C,MATCH(1,(AB_TF!F:F=A382)*(AB_TF!D:D=P382),0))</f>
        <v/>
      </c>
      <c r="R382" s="63">
        <f>COUNTIFS(AB_TF!F:F,"="&amp;A382,AB_TF!E:E,"Small*")</f>
        <v>0</v>
      </c>
      <c r="S382" s="63">
        <f>COUNTIFS(AB_TF!F:F,"="&amp;A382,AB_TF!E:E,"Medium*")</f>
        <v>0</v>
      </c>
      <c r="T382" s="63">
        <f>COUNTIFS(AB_TF!F:F,"="&amp;A382,AB_TF!E:E,"Large*")</f>
        <v>0</v>
      </c>
      <c r="U382" s="64">
        <f t="shared" si="1"/>
        <v>0</v>
      </c>
    </row>
    <row r="383">
      <c r="P383" s="62">
        <f t="array" ref="P383">MAX(IF($A383=AB_TF!F:F,AB_TF!D:D))</f>
        <v>0</v>
      </c>
      <c r="Q383" s="63" t="str">
        <f t="array" ref="Q383">INDEX(AB_TF!C:C,MATCH(1,(AB_TF!F:F=A383)*(AB_TF!D:D=P383),0))</f>
        <v/>
      </c>
      <c r="R383" s="63">
        <f>COUNTIFS(AB_TF!F:F,"="&amp;A383,AB_TF!E:E,"Small*")</f>
        <v>0</v>
      </c>
      <c r="S383" s="63">
        <f>COUNTIFS(AB_TF!F:F,"="&amp;A383,AB_TF!E:E,"Medium*")</f>
        <v>0</v>
      </c>
      <c r="T383" s="63">
        <f>COUNTIFS(AB_TF!F:F,"="&amp;A383,AB_TF!E:E,"Large*")</f>
        <v>0</v>
      </c>
      <c r="U383" s="64">
        <f t="shared" si="1"/>
        <v>0</v>
      </c>
    </row>
    <row r="384">
      <c r="P384" s="62">
        <f t="array" ref="P384">MAX(IF($A384=AB_TF!F:F,AB_TF!D:D))</f>
        <v>0</v>
      </c>
      <c r="Q384" s="63" t="str">
        <f t="array" ref="Q384">INDEX(AB_TF!C:C,MATCH(1,(AB_TF!F:F=A384)*(AB_TF!D:D=P384),0))</f>
        <v/>
      </c>
      <c r="R384" s="63">
        <f>COUNTIFS(AB_TF!F:F,"="&amp;A384,AB_TF!E:E,"Small*")</f>
        <v>0</v>
      </c>
      <c r="S384" s="63">
        <f>COUNTIFS(AB_TF!F:F,"="&amp;A384,AB_TF!E:E,"Medium*")</f>
        <v>0</v>
      </c>
      <c r="T384" s="63">
        <f>COUNTIFS(AB_TF!F:F,"="&amp;A384,AB_TF!E:E,"Large*")</f>
        <v>0</v>
      </c>
      <c r="U384" s="64">
        <f t="shared" si="1"/>
        <v>0</v>
      </c>
    </row>
    <row r="385">
      <c r="P385" s="62">
        <f t="array" ref="P385">MAX(IF($A385=AB_TF!F:F,AB_TF!D:D))</f>
        <v>0</v>
      </c>
      <c r="Q385" s="63" t="str">
        <f t="array" ref="Q385">INDEX(AB_TF!C:C,MATCH(1,(AB_TF!F:F=A385)*(AB_TF!D:D=P385),0))</f>
        <v/>
      </c>
      <c r="R385" s="63">
        <f>COUNTIFS(AB_TF!F:F,"="&amp;A385,AB_TF!E:E,"Small*")</f>
        <v>0</v>
      </c>
      <c r="S385" s="63">
        <f>COUNTIFS(AB_TF!F:F,"="&amp;A385,AB_TF!E:E,"Medium*")</f>
        <v>0</v>
      </c>
      <c r="T385" s="63">
        <f>COUNTIFS(AB_TF!F:F,"="&amp;A385,AB_TF!E:E,"Large*")</f>
        <v>0</v>
      </c>
      <c r="U385" s="64">
        <f t="shared" si="1"/>
        <v>0</v>
      </c>
    </row>
    <row r="386">
      <c r="P386" s="62">
        <f t="array" ref="P386">MAX(IF($A386=AB_TF!F:F,AB_TF!D:D))</f>
        <v>0</v>
      </c>
      <c r="Q386" s="63" t="str">
        <f t="array" ref="Q386">INDEX(AB_TF!C:C,MATCH(1,(AB_TF!F:F=A386)*(AB_TF!D:D=P386),0))</f>
        <v/>
      </c>
      <c r="R386" s="63">
        <f>COUNTIFS(AB_TF!F:F,"="&amp;A386,AB_TF!E:E,"Small*")</f>
        <v>0</v>
      </c>
      <c r="S386" s="63">
        <f>COUNTIFS(AB_TF!F:F,"="&amp;A386,AB_TF!E:E,"Medium*")</f>
        <v>0</v>
      </c>
      <c r="T386" s="63">
        <f>COUNTIFS(AB_TF!F:F,"="&amp;A386,AB_TF!E:E,"Large*")</f>
        <v>0</v>
      </c>
      <c r="U386" s="64">
        <f t="shared" si="1"/>
        <v>0</v>
      </c>
    </row>
    <row r="387">
      <c r="P387" s="62">
        <f t="array" ref="P387">MAX(IF($A387=AB_TF!F:F,AB_TF!D:D))</f>
        <v>0</v>
      </c>
      <c r="Q387" s="63" t="str">
        <f t="array" ref="Q387">INDEX(AB_TF!C:C,MATCH(1,(AB_TF!F:F=A387)*(AB_TF!D:D=P387),0))</f>
        <v/>
      </c>
      <c r="R387" s="63">
        <f>COUNTIFS(AB_TF!F:F,"="&amp;A387,AB_TF!E:E,"Small*")</f>
        <v>0</v>
      </c>
      <c r="S387" s="63">
        <f>COUNTIFS(AB_TF!F:F,"="&amp;A387,AB_TF!E:E,"Medium*")</f>
        <v>0</v>
      </c>
      <c r="T387" s="63">
        <f>COUNTIFS(AB_TF!F:F,"="&amp;A387,AB_TF!E:E,"Large*")</f>
        <v>0</v>
      </c>
      <c r="U387" s="64">
        <f t="shared" si="1"/>
        <v>0</v>
      </c>
    </row>
    <row r="388">
      <c r="P388" s="62">
        <f t="array" ref="P388">MAX(IF($A388=AB_TF!F:F,AB_TF!D:D))</f>
        <v>0</v>
      </c>
      <c r="Q388" s="63" t="str">
        <f t="array" ref="Q388">INDEX(AB_TF!C:C,MATCH(1,(AB_TF!F:F=A388)*(AB_TF!D:D=P388),0))</f>
        <v/>
      </c>
      <c r="R388" s="63">
        <f>COUNTIFS(AB_TF!F:F,"="&amp;A388,AB_TF!E:E,"Small*")</f>
        <v>0</v>
      </c>
      <c r="S388" s="63">
        <f>COUNTIFS(AB_TF!F:F,"="&amp;A388,AB_TF!E:E,"Medium*")</f>
        <v>0</v>
      </c>
      <c r="T388" s="63">
        <f>COUNTIFS(AB_TF!F:F,"="&amp;A388,AB_TF!E:E,"Large*")</f>
        <v>0</v>
      </c>
      <c r="U388" s="64">
        <f t="shared" si="1"/>
        <v>0</v>
      </c>
    </row>
    <row r="389">
      <c r="P389" s="62">
        <f t="array" ref="P389">MAX(IF($A389=AB_TF!F:F,AB_TF!D:D))</f>
        <v>0</v>
      </c>
      <c r="Q389" s="63" t="str">
        <f t="array" ref="Q389">INDEX(AB_TF!C:C,MATCH(1,(AB_TF!F:F=A389)*(AB_TF!D:D=P389),0))</f>
        <v/>
      </c>
      <c r="R389" s="63">
        <f>COUNTIFS(AB_TF!F:F,"="&amp;A389,AB_TF!E:E,"Small*")</f>
        <v>0</v>
      </c>
      <c r="S389" s="63">
        <f>COUNTIFS(AB_TF!F:F,"="&amp;A389,AB_TF!E:E,"Medium*")</f>
        <v>0</v>
      </c>
      <c r="T389" s="63">
        <f>COUNTIFS(AB_TF!F:F,"="&amp;A389,AB_TF!E:E,"Large*")</f>
        <v>0</v>
      </c>
      <c r="U389" s="64">
        <f t="shared" si="1"/>
        <v>0</v>
      </c>
    </row>
    <row r="390">
      <c r="P390" s="62">
        <f t="array" ref="P390">MAX(IF($A390=AB_TF!F:F,AB_TF!D:D))</f>
        <v>0</v>
      </c>
      <c r="Q390" s="63" t="str">
        <f t="array" ref="Q390">INDEX(AB_TF!C:C,MATCH(1,(AB_TF!F:F=A390)*(AB_TF!D:D=P390),0))</f>
        <v/>
      </c>
      <c r="R390" s="63">
        <f>COUNTIFS(AB_TF!F:F,"="&amp;A390,AB_TF!E:E,"Small*")</f>
        <v>0</v>
      </c>
      <c r="S390" s="63">
        <f>COUNTIFS(AB_TF!F:F,"="&amp;A390,AB_TF!E:E,"Medium*")</f>
        <v>0</v>
      </c>
      <c r="T390" s="63">
        <f>COUNTIFS(AB_TF!F:F,"="&amp;A390,AB_TF!E:E,"Large*")</f>
        <v>0</v>
      </c>
      <c r="U390" s="64">
        <f t="shared" si="1"/>
        <v>0</v>
      </c>
    </row>
    <row r="391">
      <c r="P391" s="62">
        <f t="array" ref="P391">MAX(IF($A391=AB_TF!F:F,AB_TF!D:D))</f>
        <v>0</v>
      </c>
      <c r="Q391" s="63" t="str">
        <f t="array" ref="Q391">INDEX(AB_TF!C:C,MATCH(1,(AB_TF!F:F=A391)*(AB_TF!D:D=P391),0))</f>
        <v/>
      </c>
      <c r="R391" s="63">
        <f>COUNTIFS(AB_TF!F:F,"="&amp;A391,AB_TF!E:E,"Small*")</f>
        <v>0</v>
      </c>
      <c r="S391" s="63">
        <f>COUNTIFS(AB_TF!F:F,"="&amp;A391,AB_TF!E:E,"Medium*")</f>
        <v>0</v>
      </c>
      <c r="T391" s="63">
        <f>COUNTIFS(AB_TF!F:F,"="&amp;A391,AB_TF!E:E,"Large*")</f>
        <v>0</v>
      </c>
      <c r="U391" s="64">
        <f t="shared" si="1"/>
        <v>0</v>
      </c>
    </row>
    <row r="392">
      <c r="P392" s="62">
        <f t="array" ref="P392">MAX(IF($A392=AB_TF!F:F,AB_TF!D:D))</f>
        <v>0</v>
      </c>
      <c r="Q392" s="63" t="str">
        <f t="array" ref="Q392">INDEX(AB_TF!C:C,MATCH(1,(AB_TF!F:F=A392)*(AB_TF!D:D=P392),0))</f>
        <v/>
      </c>
      <c r="R392" s="63">
        <f>COUNTIFS(AB_TF!F:F,"="&amp;A392,AB_TF!E:E,"Small*")</f>
        <v>0</v>
      </c>
      <c r="S392" s="63">
        <f>COUNTIFS(AB_TF!F:F,"="&amp;A392,AB_TF!E:E,"Medium*")</f>
        <v>0</v>
      </c>
      <c r="T392" s="63">
        <f>COUNTIFS(AB_TF!F:F,"="&amp;A392,AB_TF!E:E,"Large*")</f>
        <v>0</v>
      </c>
      <c r="U392" s="64">
        <f t="shared" si="1"/>
        <v>0</v>
      </c>
    </row>
    <row r="393">
      <c r="P393" s="62">
        <f t="array" ref="P393">MAX(IF($A393=AB_TF!F:F,AB_TF!D:D))</f>
        <v>0</v>
      </c>
      <c r="Q393" s="63" t="str">
        <f t="array" ref="Q393">INDEX(AB_TF!C:C,MATCH(1,(AB_TF!F:F=A393)*(AB_TF!D:D=P393),0))</f>
        <v/>
      </c>
      <c r="R393" s="63">
        <f>COUNTIFS(AB_TF!F:F,"="&amp;A393,AB_TF!E:E,"Small*")</f>
        <v>0</v>
      </c>
      <c r="S393" s="63">
        <f>COUNTIFS(AB_TF!F:F,"="&amp;A393,AB_TF!E:E,"Medium*")</f>
        <v>0</v>
      </c>
      <c r="T393" s="63">
        <f>COUNTIFS(AB_TF!F:F,"="&amp;A393,AB_TF!E:E,"Large*")</f>
        <v>0</v>
      </c>
      <c r="U393" s="64">
        <f t="shared" si="1"/>
        <v>0</v>
      </c>
    </row>
    <row r="394">
      <c r="P394" s="62">
        <f t="array" ref="P394">MAX(IF($A394=AB_TF!F:F,AB_TF!D:D))</f>
        <v>0</v>
      </c>
      <c r="Q394" s="63" t="str">
        <f t="array" ref="Q394">INDEX(AB_TF!C:C,MATCH(1,(AB_TF!F:F=A394)*(AB_TF!D:D=P394),0))</f>
        <v/>
      </c>
      <c r="R394" s="63">
        <f>COUNTIFS(AB_TF!F:F,"="&amp;A394,AB_TF!E:E,"Small*")</f>
        <v>0</v>
      </c>
      <c r="S394" s="63">
        <f>COUNTIFS(AB_TF!F:F,"="&amp;A394,AB_TF!E:E,"Medium*")</f>
        <v>0</v>
      </c>
      <c r="T394" s="63">
        <f>COUNTIFS(AB_TF!F:F,"="&amp;A394,AB_TF!E:E,"Large*")</f>
        <v>0</v>
      </c>
      <c r="U394" s="64">
        <f t="shared" si="1"/>
        <v>0</v>
      </c>
    </row>
    <row r="395">
      <c r="P395" s="62">
        <f t="array" ref="P395">MAX(IF($A395=AB_TF!F:F,AB_TF!D:D))</f>
        <v>0</v>
      </c>
      <c r="Q395" s="63" t="str">
        <f t="array" ref="Q395">INDEX(AB_TF!C:C,MATCH(1,(AB_TF!F:F=A395)*(AB_TF!D:D=P395),0))</f>
        <v/>
      </c>
      <c r="R395" s="63">
        <f>COUNTIFS(AB_TF!F:F,"="&amp;A395,AB_TF!E:E,"Small*")</f>
        <v>0</v>
      </c>
      <c r="S395" s="63">
        <f>COUNTIFS(AB_TF!F:F,"="&amp;A395,AB_TF!E:E,"Medium*")</f>
        <v>0</v>
      </c>
      <c r="T395" s="63">
        <f>COUNTIFS(AB_TF!F:F,"="&amp;A395,AB_TF!E:E,"Large*")</f>
        <v>0</v>
      </c>
      <c r="U395" s="64">
        <f t="shared" si="1"/>
        <v>0</v>
      </c>
    </row>
    <row r="396">
      <c r="P396" s="62">
        <f t="array" ref="P396">MAX(IF($A396=AB_TF!F:F,AB_TF!D:D))</f>
        <v>0</v>
      </c>
      <c r="Q396" s="63" t="str">
        <f t="array" ref="Q396">INDEX(AB_TF!C:C,MATCH(1,(AB_TF!F:F=A396)*(AB_TF!D:D=P396),0))</f>
        <v/>
      </c>
      <c r="R396" s="63">
        <f>COUNTIFS(AB_TF!F:F,"="&amp;A396,AB_TF!E:E,"Small*")</f>
        <v>0</v>
      </c>
      <c r="S396" s="63">
        <f>COUNTIFS(AB_TF!F:F,"="&amp;A396,AB_TF!E:E,"Medium*")</f>
        <v>0</v>
      </c>
      <c r="T396" s="63">
        <f>COUNTIFS(AB_TF!F:F,"="&amp;A396,AB_TF!E:E,"Large*")</f>
        <v>0</v>
      </c>
      <c r="U396" s="64">
        <f t="shared" si="1"/>
        <v>0</v>
      </c>
    </row>
    <row r="397">
      <c r="P397" s="62">
        <f t="array" ref="P397">MAX(IF($A397=AB_TF!F:F,AB_TF!D:D))</f>
        <v>0</v>
      </c>
      <c r="Q397" s="63" t="str">
        <f t="array" ref="Q397">INDEX(AB_TF!C:C,MATCH(1,(AB_TF!F:F=A397)*(AB_TF!D:D=P397),0))</f>
        <v/>
      </c>
      <c r="R397" s="63">
        <f>COUNTIFS(AB_TF!F:F,"="&amp;A397,AB_TF!E:E,"Small*")</f>
        <v>0</v>
      </c>
      <c r="S397" s="63">
        <f>COUNTIFS(AB_TF!F:F,"="&amp;A397,AB_TF!E:E,"Medium*")</f>
        <v>0</v>
      </c>
      <c r="T397" s="63">
        <f>COUNTIFS(AB_TF!F:F,"="&amp;A397,AB_TF!E:E,"Large*")</f>
        <v>0</v>
      </c>
      <c r="U397" s="64">
        <f t="shared" si="1"/>
        <v>0</v>
      </c>
    </row>
    <row r="398">
      <c r="P398" s="62">
        <f t="array" ref="P398">MAX(IF($A398=AB_TF!F:F,AB_TF!D:D))</f>
        <v>0</v>
      </c>
      <c r="Q398" s="63" t="str">
        <f t="array" ref="Q398">INDEX(AB_TF!C:C,MATCH(1,(AB_TF!F:F=A398)*(AB_TF!D:D=P398),0))</f>
        <v/>
      </c>
      <c r="R398" s="63">
        <f>COUNTIFS(AB_TF!F:F,"="&amp;A398,AB_TF!E:E,"Small*")</f>
        <v>0</v>
      </c>
      <c r="S398" s="63">
        <f>COUNTIFS(AB_TF!F:F,"="&amp;A398,AB_TF!E:E,"Medium*")</f>
        <v>0</v>
      </c>
      <c r="T398" s="63">
        <f>COUNTIFS(AB_TF!F:F,"="&amp;A398,AB_TF!E:E,"Large*")</f>
        <v>0</v>
      </c>
      <c r="U398" s="64">
        <f t="shared" si="1"/>
        <v>0</v>
      </c>
    </row>
    <row r="399">
      <c r="P399" s="62">
        <f t="array" ref="P399">MAX(IF($A399=AB_TF!F:F,AB_TF!D:D))</f>
        <v>0</v>
      </c>
      <c r="Q399" s="63" t="str">
        <f t="array" ref="Q399">INDEX(AB_TF!C:C,MATCH(1,(AB_TF!F:F=A399)*(AB_TF!D:D=P399),0))</f>
        <v/>
      </c>
      <c r="R399" s="63">
        <f>COUNTIFS(AB_TF!F:F,"="&amp;A399,AB_TF!E:E,"Small*")</f>
        <v>0</v>
      </c>
      <c r="S399" s="63">
        <f>COUNTIFS(AB_TF!F:F,"="&amp;A399,AB_TF!E:E,"Medium*")</f>
        <v>0</v>
      </c>
      <c r="T399" s="63">
        <f>COUNTIFS(AB_TF!F:F,"="&amp;A399,AB_TF!E:E,"Large*")</f>
        <v>0</v>
      </c>
      <c r="U399" s="64">
        <f t="shared" si="1"/>
        <v>0</v>
      </c>
    </row>
    <row r="400">
      <c r="P400" s="62">
        <f t="array" ref="P400">MAX(IF($A400=AB_TF!F:F,AB_TF!D:D))</f>
        <v>0</v>
      </c>
      <c r="Q400" s="63" t="str">
        <f t="array" ref="Q400">INDEX(AB_TF!C:C,MATCH(1,(AB_TF!F:F=A400)*(AB_TF!D:D=P400),0))</f>
        <v/>
      </c>
      <c r="R400" s="63">
        <f>COUNTIFS(AB_TF!F:F,"="&amp;A400,AB_TF!E:E,"Small*")</f>
        <v>0</v>
      </c>
      <c r="S400" s="63">
        <f>COUNTIFS(AB_TF!F:F,"="&amp;A400,AB_TF!E:E,"Medium*")</f>
        <v>0</v>
      </c>
      <c r="T400" s="63">
        <f>COUNTIFS(AB_TF!F:F,"="&amp;A400,AB_TF!E:E,"Large*")</f>
        <v>0</v>
      </c>
      <c r="U400" s="64">
        <f t="shared" si="1"/>
        <v>0</v>
      </c>
    </row>
    <row r="401">
      <c r="P401" s="62">
        <f t="array" ref="P401">MAX(IF($A401=AB_TF!F:F,AB_TF!D:D))</f>
        <v>0</v>
      </c>
      <c r="Q401" s="63" t="str">
        <f t="array" ref="Q401">INDEX(AB_TF!C:C,MATCH(1,(AB_TF!F:F=A401)*(AB_TF!D:D=P401),0))</f>
        <v/>
      </c>
      <c r="R401" s="63">
        <f>COUNTIFS(AB_TF!F:F,"="&amp;A401,AB_TF!E:E,"Small*")</f>
        <v>0</v>
      </c>
      <c r="S401" s="63">
        <f>COUNTIFS(AB_TF!F:F,"="&amp;A401,AB_TF!E:E,"Medium*")</f>
        <v>0</v>
      </c>
      <c r="T401" s="63">
        <f>COUNTIFS(AB_TF!F:F,"="&amp;A401,AB_TF!E:E,"Large*")</f>
        <v>0</v>
      </c>
      <c r="U401" s="64">
        <f t="shared" si="1"/>
        <v>0</v>
      </c>
    </row>
    <row r="402">
      <c r="P402" s="62">
        <f t="array" ref="P402">MAX(IF($A402=AB_TF!F:F,AB_TF!D:D))</f>
        <v>0</v>
      </c>
      <c r="Q402" s="63" t="str">
        <f t="array" ref="Q402">INDEX(AB_TF!C:C,MATCH(1,(AB_TF!F:F=A402)*(AB_TF!D:D=P402),0))</f>
        <v/>
      </c>
      <c r="R402" s="63">
        <f>COUNTIFS(AB_TF!F:F,"="&amp;A402,AB_TF!E:E,"Small*")</f>
        <v>0</v>
      </c>
      <c r="S402" s="63">
        <f>COUNTIFS(AB_TF!F:F,"="&amp;A402,AB_TF!E:E,"Medium*")</f>
        <v>0</v>
      </c>
      <c r="T402" s="63">
        <f>COUNTIFS(AB_TF!F:F,"="&amp;A402,AB_TF!E:E,"Large*")</f>
        <v>0</v>
      </c>
      <c r="U402" s="64">
        <f t="shared" si="1"/>
        <v>0</v>
      </c>
    </row>
    <row r="403">
      <c r="P403" s="62">
        <f t="array" ref="P403">MAX(IF($A403=AB_TF!F:F,AB_TF!D:D))</f>
        <v>0</v>
      </c>
      <c r="Q403" s="63" t="str">
        <f t="array" ref="Q403">INDEX(AB_TF!C:C,MATCH(1,(AB_TF!F:F=A403)*(AB_TF!D:D=P403),0))</f>
        <v/>
      </c>
      <c r="R403" s="63">
        <f>COUNTIFS(AB_TF!F:F,"="&amp;A403,AB_TF!E:E,"Small*")</f>
        <v>0</v>
      </c>
      <c r="S403" s="63">
        <f>COUNTIFS(AB_TF!F:F,"="&amp;A403,AB_TF!E:E,"Medium*")</f>
        <v>0</v>
      </c>
      <c r="T403" s="63">
        <f>COUNTIFS(AB_TF!F:F,"="&amp;A403,AB_TF!E:E,"Large*")</f>
        <v>0</v>
      </c>
      <c r="U403" s="64">
        <f t="shared" si="1"/>
        <v>0</v>
      </c>
    </row>
    <row r="404">
      <c r="P404" s="62">
        <f t="array" ref="P404">MAX(IF($A404=AB_TF!F:F,AB_TF!D:D))</f>
        <v>0</v>
      </c>
      <c r="Q404" s="63" t="str">
        <f t="array" ref="Q404">INDEX(AB_TF!C:C,MATCH(1,(AB_TF!F:F=A404)*(AB_TF!D:D=P404),0))</f>
        <v/>
      </c>
      <c r="R404" s="63">
        <f>COUNTIFS(AB_TF!F:F,"="&amp;A404,AB_TF!E:E,"Small*")</f>
        <v>0</v>
      </c>
      <c r="S404" s="63">
        <f>COUNTIFS(AB_TF!F:F,"="&amp;A404,AB_TF!E:E,"Medium*")</f>
        <v>0</v>
      </c>
      <c r="T404" s="63">
        <f>COUNTIFS(AB_TF!F:F,"="&amp;A404,AB_TF!E:E,"Large*")</f>
        <v>0</v>
      </c>
      <c r="U404" s="64">
        <f t="shared" si="1"/>
        <v>0</v>
      </c>
    </row>
    <row r="405">
      <c r="P405" s="62">
        <f t="array" ref="P405">MAX(IF($A405=AB_TF!F:F,AB_TF!D:D))</f>
        <v>0</v>
      </c>
      <c r="Q405" s="63" t="str">
        <f t="array" ref="Q405">INDEX(AB_TF!C:C,MATCH(1,(AB_TF!F:F=A405)*(AB_TF!D:D=P405),0))</f>
        <v/>
      </c>
      <c r="R405" s="63">
        <f>COUNTIFS(AB_TF!F:F,"="&amp;A405,AB_TF!E:E,"Small*")</f>
        <v>0</v>
      </c>
      <c r="S405" s="63">
        <f>COUNTIFS(AB_TF!F:F,"="&amp;A405,AB_TF!E:E,"Medium*")</f>
        <v>0</v>
      </c>
      <c r="T405" s="63">
        <f>COUNTIFS(AB_TF!F:F,"="&amp;A405,AB_TF!E:E,"Large*")</f>
        <v>0</v>
      </c>
      <c r="U405" s="64">
        <f t="shared" si="1"/>
        <v>0</v>
      </c>
    </row>
    <row r="406">
      <c r="P406" s="62">
        <f t="array" ref="P406">MAX(IF($A406=AB_TF!F:F,AB_TF!D:D))</f>
        <v>0</v>
      </c>
      <c r="Q406" s="63" t="str">
        <f t="array" ref="Q406">INDEX(AB_TF!C:C,MATCH(1,(AB_TF!F:F=A406)*(AB_TF!D:D=P406),0))</f>
        <v/>
      </c>
      <c r="R406" s="63">
        <f>COUNTIFS(AB_TF!F:F,"="&amp;A406,AB_TF!E:E,"Small*")</f>
        <v>0</v>
      </c>
      <c r="S406" s="63">
        <f>COUNTIFS(AB_TF!F:F,"="&amp;A406,AB_TF!E:E,"Medium*")</f>
        <v>0</v>
      </c>
      <c r="T406" s="63">
        <f>COUNTIFS(AB_TF!F:F,"="&amp;A406,AB_TF!E:E,"Large*")</f>
        <v>0</v>
      </c>
      <c r="U406" s="64">
        <f t="shared" si="1"/>
        <v>0</v>
      </c>
    </row>
    <row r="407">
      <c r="P407" s="62">
        <f t="array" ref="P407">MAX(IF($A407=AB_TF!F:F,AB_TF!D:D))</f>
        <v>0</v>
      </c>
      <c r="Q407" s="63" t="str">
        <f t="array" ref="Q407">INDEX(AB_TF!C:C,MATCH(1,(AB_TF!F:F=A407)*(AB_TF!D:D=P407),0))</f>
        <v/>
      </c>
      <c r="R407" s="63">
        <f>COUNTIFS(AB_TF!F:F,"="&amp;A407,AB_TF!E:E,"Small*")</f>
        <v>0</v>
      </c>
      <c r="S407" s="63">
        <f>COUNTIFS(AB_TF!F:F,"="&amp;A407,AB_TF!E:E,"Medium*")</f>
        <v>0</v>
      </c>
      <c r="T407" s="63">
        <f>COUNTIFS(AB_TF!F:F,"="&amp;A407,AB_TF!E:E,"Large*")</f>
        <v>0</v>
      </c>
      <c r="U407" s="64">
        <f t="shared" si="1"/>
        <v>0</v>
      </c>
    </row>
    <row r="408">
      <c r="P408" s="62">
        <f t="array" ref="P408">MAX(IF($A408=AB_TF!F:F,AB_TF!D:D))</f>
        <v>0</v>
      </c>
      <c r="Q408" s="63" t="str">
        <f t="array" ref="Q408">INDEX(AB_TF!C:C,MATCH(1,(AB_TF!F:F=A408)*(AB_TF!D:D=P408),0))</f>
        <v/>
      </c>
      <c r="R408" s="63">
        <f>COUNTIFS(AB_TF!F:F,"="&amp;A408,AB_TF!E:E,"Small*")</f>
        <v>0</v>
      </c>
      <c r="S408" s="63">
        <f>COUNTIFS(AB_TF!F:F,"="&amp;A408,AB_TF!E:E,"Medium*")</f>
        <v>0</v>
      </c>
      <c r="T408" s="63">
        <f>COUNTIFS(AB_TF!F:F,"="&amp;A408,AB_TF!E:E,"Large*")</f>
        <v>0</v>
      </c>
      <c r="U408" s="64">
        <f t="shared" si="1"/>
        <v>0</v>
      </c>
    </row>
    <row r="409">
      <c r="P409" s="62">
        <f t="array" ref="P409">MAX(IF($A409=AB_TF!F:F,AB_TF!D:D))</f>
        <v>0</v>
      </c>
      <c r="Q409" s="63" t="str">
        <f t="array" ref="Q409">INDEX(AB_TF!C:C,MATCH(1,(AB_TF!F:F=A409)*(AB_TF!D:D=P409),0))</f>
        <v/>
      </c>
      <c r="R409" s="63">
        <f>COUNTIFS(AB_TF!F:F,"="&amp;A409,AB_TF!E:E,"Small*")</f>
        <v>0</v>
      </c>
      <c r="S409" s="63">
        <f>COUNTIFS(AB_TF!F:F,"="&amp;A409,AB_TF!E:E,"Medium*")</f>
        <v>0</v>
      </c>
      <c r="T409" s="63">
        <f>COUNTIFS(AB_TF!F:F,"="&amp;A409,AB_TF!E:E,"Large*")</f>
        <v>0</v>
      </c>
      <c r="U409" s="64">
        <f t="shared" si="1"/>
        <v>0</v>
      </c>
    </row>
    <row r="410">
      <c r="P410" s="62">
        <f t="array" ref="P410">MAX(IF($A410=AB_TF!F:F,AB_TF!D:D))</f>
        <v>0</v>
      </c>
      <c r="Q410" s="63" t="str">
        <f t="array" ref="Q410">INDEX(AB_TF!C:C,MATCH(1,(AB_TF!F:F=A410)*(AB_TF!D:D=P410),0))</f>
        <v/>
      </c>
      <c r="R410" s="63">
        <f>COUNTIFS(AB_TF!F:F,"="&amp;A410,AB_TF!E:E,"Small*")</f>
        <v>0</v>
      </c>
      <c r="S410" s="63">
        <f>COUNTIFS(AB_TF!F:F,"="&amp;A410,AB_TF!E:E,"Medium*")</f>
        <v>0</v>
      </c>
      <c r="T410" s="63">
        <f>COUNTIFS(AB_TF!F:F,"="&amp;A410,AB_TF!E:E,"Large*")</f>
        <v>0</v>
      </c>
      <c r="U410" s="64">
        <f t="shared" si="1"/>
        <v>0</v>
      </c>
    </row>
    <row r="411">
      <c r="P411" s="62">
        <f t="array" ref="P411">MAX(IF($A411=AB_TF!F:F,AB_TF!D:D))</f>
        <v>0</v>
      </c>
      <c r="Q411" s="63" t="str">
        <f t="array" ref="Q411">INDEX(AB_TF!C:C,MATCH(1,(AB_TF!F:F=A411)*(AB_TF!D:D=P411),0))</f>
        <v/>
      </c>
      <c r="R411" s="63">
        <f>COUNTIFS(AB_TF!F:F,"="&amp;A411,AB_TF!E:E,"Small*")</f>
        <v>0</v>
      </c>
      <c r="S411" s="63">
        <f>COUNTIFS(AB_TF!F:F,"="&amp;A411,AB_TF!E:E,"Medium*")</f>
        <v>0</v>
      </c>
      <c r="T411" s="63">
        <f>COUNTIFS(AB_TF!F:F,"="&amp;A411,AB_TF!E:E,"Large*")</f>
        <v>0</v>
      </c>
      <c r="U411" s="64">
        <f t="shared" si="1"/>
        <v>0</v>
      </c>
    </row>
    <row r="412">
      <c r="P412" s="62">
        <f t="array" ref="P412">MAX(IF($A412=AB_TF!F:F,AB_TF!D:D))</f>
        <v>0</v>
      </c>
      <c r="Q412" s="63" t="str">
        <f t="array" ref="Q412">INDEX(AB_TF!C:C,MATCH(1,(AB_TF!F:F=A412)*(AB_TF!D:D=P412),0))</f>
        <v/>
      </c>
      <c r="R412" s="63">
        <f>COUNTIFS(AB_TF!F:F,"="&amp;A412,AB_TF!E:E,"Small*")</f>
        <v>0</v>
      </c>
      <c r="S412" s="63">
        <f>COUNTIFS(AB_TF!F:F,"="&amp;A412,AB_TF!E:E,"Medium*")</f>
        <v>0</v>
      </c>
      <c r="T412" s="63">
        <f>COUNTIFS(AB_TF!F:F,"="&amp;A412,AB_TF!E:E,"Large*")</f>
        <v>0</v>
      </c>
      <c r="U412" s="64">
        <f t="shared" si="1"/>
        <v>0</v>
      </c>
    </row>
    <row r="413">
      <c r="P413" s="62">
        <f t="array" ref="P413">MAX(IF($A413=AB_TF!F:F,AB_TF!D:D))</f>
        <v>0</v>
      </c>
      <c r="Q413" s="63" t="str">
        <f t="array" ref="Q413">INDEX(AB_TF!C:C,MATCH(1,(AB_TF!F:F=A413)*(AB_TF!D:D=P413),0))</f>
        <v/>
      </c>
      <c r="R413" s="63">
        <f>COUNTIFS(AB_TF!F:F,"="&amp;A413,AB_TF!E:E,"Small*")</f>
        <v>0</v>
      </c>
      <c r="S413" s="63">
        <f>COUNTIFS(AB_TF!F:F,"="&amp;A413,AB_TF!E:E,"Medium*")</f>
        <v>0</v>
      </c>
      <c r="T413" s="63">
        <f>COUNTIFS(AB_TF!F:F,"="&amp;A413,AB_TF!E:E,"Large*")</f>
        <v>0</v>
      </c>
      <c r="U413" s="64">
        <f t="shared" si="1"/>
        <v>0</v>
      </c>
    </row>
    <row r="414">
      <c r="P414" s="62">
        <f t="array" ref="P414">MAX(IF($A414=AB_TF!F:F,AB_TF!D:D))</f>
        <v>0</v>
      </c>
      <c r="Q414" s="63" t="str">
        <f t="array" ref="Q414">INDEX(AB_TF!C:C,MATCH(1,(AB_TF!F:F=A414)*(AB_TF!D:D=P414),0))</f>
        <v/>
      </c>
      <c r="R414" s="63">
        <f>COUNTIFS(AB_TF!F:F,"="&amp;A414,AB_TF!E:E,"Small*")</f>
        <v>0</v>
      </c>
      <c r="S414" s="63">
        <f>COUNTIFS(AB_TF!F:F,"="&amp;A414,AB_TF!E:E,"Medium*")</f>
        <v>0</v>
      </c>
      <c r="T414" s="63">
        <f>COUNTIFS(AB_TF!F:F,"="&amp;A414,AB_TF!E:E,"Large*")</f>
        <v>0</v>
      </c>
      <c r="U414" s="64">
        <f t="shared" si="1"/>
        <v>0</v>
      </c>
    </row>
    <row r="415">
      <c r="P415" s="62">
        <f t="array" ref="P415">MAX(IF($A415=AB_TF!F:F,AB_TF!D:D))</f>
        <v>0</v>
      </c>
      <c r="Q415" s="63" t="str">
        <f t="array" ref="Q415">INDEX(AB_TF!C:C,MATCH(1,(AB_TF!F:F=A415)*(AB_TF!D:D=P415),0))</f>
        <v/>
      </c>
      <c r="R415" s="63">
        <f>COUNTIFS(AB_TF!F:F,"="&amp;A415,AB_TF!E:E,"Small*")</f>
        <v>0</v>
      </c>
      <c r="S415" s="63">
        <f>COUNTIFS(AB_TF!F:F,"="&amp;A415,AB_TF!E:E,"Medium*")</f>
        <v>0</v>
      </c>
      <c r="T415" s="63">
        <f>COUNTIFS(AB_TF!F:F,"="&amp;A415,AB_TF!E:E,"Large*")</f>
        <v>0</v>
      </c>
      <c r="U415" s="64">
        <f t="shared" si="1"/>
        <v>0</v>
      </c>
    </row>
    <row r="416">
      <c r="P416" s="62">
        <f t="array" ref="P416">MAX(IF($A416=AB_TF!F:F,AB_TF!D:D))</f>
        <v>0</v>
      </c>
      <c r="Q416" s="63" t="str">
        <f t="array" ref="Q416">INDEX(AB_TF!C:C,MATCH(1,(AB_TF!F:F=A416)*(AB_TF!D:D=P416),0))</f>
        <v/>
      </c>
      <c r="R416" s="63">
        <f>COUNTIFS(AB_TF!F:F,"="&amp;A416,AB_TF!E:E,"Small*")</f>
        <v>0</v>
      </c>
      <c r="S416" s="63">
        <f>COUNTIFS(AB_TF!F:F,"="&amp;A416,AB_TF!E:E,"Medium*")</f>
        <v>0</v>
      </c>
      <c r="T416" s="63">
        <f>COUNTIFS(AB_TF!F:F,"="&amp;A416,AB_TF!E:E,"Large*")</f>
        <v>0</v>
      </c>
      <c r="U416" s="64">
        <f t="shared" si="1"/>
        <v>0</v>
      </c>
    </row>
    <row r="417">
      <c r="P417" s="62">
        <f t="array" ref="P417">MAX(IF($A417=AB_TF!F:F,AB_TF!D:D))</f>
        <v>0</v>
      </c>
      <c r="Q417" s="63" t="str">
        <f t="array" ref="Q417">INDEX(AB_TF!C:C,MATCH(1,(AB_TF!F:F=A417)*(AB_TF!D:D=P417),0))</f>
        <v/>
      </c>
      <c r="R417" s="63">
        <f>COUNTIFS(AB_TF!F:F,"="&amp;A417,AB_TF!E:E,"Small*")</f>
        <v>0</v>
      </c>
      <c r="S417" s="63">
        <f>COUNTIFS(AB_TF!F:F,"="&amp;A417,AB_TF!E:E,"Medium*")</f>
        <v>0</v>
      </c>
      <c r="T417" s="63">
        <f>COUNTIFS(AB_TF!F:F,"="&amp;A417,AB_TF!E:E,"Large*")</f>
        <v>0</v>
      </c>
      <c r="U417" s="64">
        <f t="shared" si="1"/>
        <v>0</v>
      </c>
    </row>
    <row r="418">
      <c r="P418" s="62">
        <f t="array" ref="P418">MAX(IF($A418=AB_TF!F:F,AB_TF!D:D))</f>
        <v>0</v>
      </c>
      <c r="Q418" s="63" t="str">
        <f t="array" ref="Q418">INDEX(AB_TF!C:C,MATCH(1,(AB_TF!F:F=A418)*(AB_TF!D:D=P418),0))</f>
        <v/>
      </c>
      <c r="R418" s="63">
        <f>COUNTIFS(AB_TF!F:F,"="&amp;A418,AB_TF!E:E,"Small*")</f>
        <v>0</v>
      </c>
      <c r="S418" s="63">
        <f>COUNTIFS(AB_TF!F:F,"="&amp;A418,AB_TF!E:E,"Medium*")</f>
        <v>0</v>
      </c>
      <c r="T418" s="63">
        <f>COUNTIFS(AB_TF!F:F,"="&amp;A418,AB_TF!E:E,"Large*")</f>
        <v>0</v>
      </c>
      <c r="U418" s="64">
        <f t="shared" si="1"/>
        <v>0</v>
      </c>
    </row>
    <row r="419">
      <c r="P419" s="62">
        <f t="array" ref="P419">MAX(IF($A419=AB_TF!F:F,AB_TF!D:D))</f>
        <v>0</v>
      </c>
      <c r="Q419" s="63" t="str">
        <f t="array" ref="Q419">INDEX(AB_TF!C:C,MATCH(1,(AB_TF!F:F=A419)*(AB_TF!D:D=P419),0))</f>
        <v/>
      </c>
      <c r="R419" s="63">
        <f>COUNTIFS(AB_TF!F:F,"="&amp;A419,AB_TF!E:E,"Small*")</f>
        <v>0</v>
      </c>
      <c r="S419" s="63">
        <f>COUNTIFS(AB_TF!F:F,"="&amp;A419,AB_TF!E:E,"Medium*")</f>
        <v>0</v>
      </c>
      <c r="T419" s="63">
        <f>COUNTIFS(AB_TF!F:F,"="&amp;A419,AB_TF!E:E,"Large*")</f>
        <v>0</v>
      </c>
      <c r="U419" s="64">
        <f t="shared" si="1"/>
        <v>0</v>
      </c>
    </row>
    <row r="420">
      <c r="P420" s="62">
        <f t="array" ref="P420">MAX(IF($A420=AB_TF!F:F,AB_TF!D:D))</f>
        <v>0</v>
      </c>
      <c r="Q420" s="63" t="str">
        <f t="array" ref="Q420">INDEX(AB_TF!C:C,MATCH(1,(AB_TF!F:F=A420)*(AB_TF!D:D=P420),0))</f>
        <v/>
      </c>
      <c r="R420" s="63">
        <f>COUNTIFS(AB_TF!F:F,"="&amp;A420,AB_TF!E:E,"Small*")</f>
        <v>0</v>
      </c>
      <c r="S420" s="63">
        <f>COUNTIFS(AB_TF!F:F,"="&amp;A420,AB_TF!E:E,"Medium*")</f>
        <v>0</v>
      </c>
      <c r="T420" s="63">
        <f>COUNTIFS(AB_TF!F:F,"="&amp;A420,AB_TF!E:E,"Large*")</f>
        <v>0</v>
      </c>
      <c r="U420" s="64">
        <f t="shared" si="1"/>
        <v>0</v>
      </c>
    </row>
    <row r="421">
      <c r="P421" s="62">
        <f t="array" ref="P421">MAX(IF($A421=AB_TF!F:F,AB_TF!D:D))</f>
        <v>0</v>
      </c>
      <c r="Q421" s="63" t="str">
        <f t="array" ref="Q421">INDEX(AB_TF!C:C,MATCH(1,(AB_TF!F:F=A421)*(AB_TF!D:D=P421),0))</f>
        <v/>
      </c>
      <c r="R421" s="63">
        <f>COUNTIFS(AB_TF!F:F,"="&amp;A421,AB_TF!E:E,"Small*")</f>
        <v>0</v>
      </c>
      <c r="S421" s="63">
        <f>COUNTIFS(AB_TF!F:F,"="&amp;A421,AB_TF!E:E,"Medium*")</f>
        <v>0</v>
      </c>
      <c r="T421" s="63">
        <f>COUNTIFS(AB_TF!F:F,"="&amp;A421,AB_TF!E:E,"Large*")</f>
        <v>0</v>
      </c>
      <c r="U421" s="64">
        <f t="shared" si="1"/>
        <v>0</v>
      </c>
    </row>
    <row r="422">
      <c r="P422" s="62">
        <f t="array" ref="P422">MAX(IF($A422=AB_TF!F:F,AB_TF!D:D))</f>
        <v>0</v>
      </c>
      <c r="Q422" s="63" t="str">
        <f t="array" ref="Q422">INDEX(AB_TF!C:C,MATCH(1,(AB_TF!F:F=A422)*(AB_TF!D:D=P422),0))</f>
        <v/>
      </c>
      <c r="R422" s="63">
        <f>COUNTIFS(AB_TF!F:F,"="&amp;A422,AB_TF!E:E,"Small*")</f>
        <v>0</v>
      </c>
      <c r="S422" s="63">
        <f>COUNTIFS(AB_TF!F:F,"="&amp;A422,AB_TF!E:E,"Medium*")</f>
        <v>0</v>
      </c>
      <c r="T422" s="63">
        <f>COUNTIFS(AB_TF!F:F,"="&amp;A422,AB_TF!E:E,"Large*")</f>
        <v>0</v>
      </c>
      <c r="U422" s="64">
        <f t="shared" si="1"/>
        <v>0</v>
      </c>
    </row>
    <row r="423">
      <c r="P423" s="62">
        <f t="array" ref="P423">MAX(IF($A423=AB_TF!F:F,AB_TF!D:D))</f>
        <v>0</v>
      </c>
      <c r="Q423" s="63" t="str">
        <f t="array" ref="Q423">INDEX(AB_TF!C:C,MATCH(1,(AB_TF!F:F=A423)*(AB_TF!D:D=P423),0))</f>
        <v/>
      </c>
      <c r="R423" s="63">
        <f>COUNTIFS(AB_TF!F:F,"="&amp;A423,AB_TF!E:E,"Small*")</f>
        <v>0</v>
      </c>
      <c r="S423" s="63">
        <f>COUNTIFS(AB_TF!F:F,"="&amp;A423,AB_TF!E:E,"Medium*")</f>
        <v>0</v>
      </c>
      <c r="T423" s="63">
        <f>COUNTIFS(AB_TF!F:F,"="&amp;A423,AB_TF!E:E,"Large*")</f>
        <v>0</v>
      </c>
      <c r="U423" s="64">
        <f t="shared" si="1"/>
        <v>0</v>
      </c>
    </row>
    <row r="424">
      <c r="P424" s="62">
        <f t="array" ref="P424">MAX(IF($A424=AB_TF!F:F,AB_TF!D:D))</f>
        <v>0</v>
      </c>
      <c r="Q424" s="63" t="str">
        <f t="array" ref="Q424">INDEX(AB_TF!C:C,MATCH(1,(AB_TF!F:F=A424)*(AB_TF!D:D=P424),0))</f>
        <v/>
      </c>
      <c r="R424" s="63">
        <f>COUNTIFS(AB_TF!F:F,"="&amp;A424,AB_TF!E:E,"Small*")</f>
        <v>0</v>
      </c>
      <c r="S424" s="63">
        <f>COUNTIFS(AB_TF!F:F,"="&amp;A424,AB_TF!E:E,"Medium*")</f>
        <v>0</v>
      </c>
      <c r="T424" s="63">
        <f>COUNTIFS(AB_TF!F:F,"="&amp;A424,AB_TF!E:E,"Large*")</f>
        <v>0</v>
      </c>
      <c r="U424" s="64">
        <f t="shared" si="1"/>
        <v>0</v>
      </c>
    </row>
    <row r="425">
      <c r="P425" s="62">
        <f t="array" ref="P425">MAX(IF($A425=AB_TF!F:F,AB_TF!D:D))</f>
        <v>0</v>
      </c>
      <c r="Q425" s="63" t="str">
        <f t="array" ref="Q425">INDEX(AB_TF!C:C,MATCH(1,(AB_TF!F:F=A425)*(AB_TF!D:D=P425),0))</f>
        <v/>
      </c>
      <c r="R425" s="63">
        <f>COUNTIFS(AB_TF!F:F,"="&amp;A425,AB_TF!E:E,"Small*")</f>
        <v>0</v>
      </c>
      <c r="S425" s="63">
        <f>COUNTIFS(AB_TF!F:F,"="&amp;A425,AB_TF!E:E,"Medium*")</f>
        <v>0</v>
      </c>
      <c r="T425" s="63">
        <f>COUNTIFS(AB_TF!F:F,"="&amp;A425,AB_TF!E:E,"Large*")</f>
        <v>0</v>
      </c>
      <c r="U425" s="64">
        <f t="shared" si="1"/>
        <v>0</v>
      </c>
    </row>
    <row r="426">
      <c r="P426" s="62">
        <f t="array" ref="P426">MAX(IF($A426=AB_TF!F:F,AB_TF!D:D))</f>
        <v>0</v>
      </c>
      <c r="Q426" s="63" t="str">
        <f t="array" ref="Q426">INDEX(AB_TF!C:C,MATCH(1,(AB_TF!F:F=A426)*(AB_TF!D:D=P426),0))</f>
        <v/>
      </c>
      <c r="R426" s="63">
        <f>COUNTIFS(AB_TF!F:F,"="&amp;A426,AB_TF!E:E,"Small*")</f>
        <v>0</v>
      </c>
      <c r="S426" s="63">
        <f>COUNTIFS(AB_TF!F:F,"="&amp;A426,AB_TF!E:E,"Medium*")</f>
        <v>0</v>
      </c>
      <c r="T426" s="63">
        <f>COUNTIFS(AB_TF!F:F,"="&amp;A426,AB_TF!E:E,"Large*")</f>
        <v>0</v>
      </c>
      <c r="U426" s="64">
        <f t="shared" si="1"/>
        <v>0</v>
      </c>
    </row>
    <row r="427">
      <c r="P427" s="62">
        <f t="array" ref="P427">MAX(IF($A427=AB_TF!F:F,AB_TF!D:D))</f>
        <v>0</v>
      </c>
      <c r="Q427" s="63" t="str">
        <f t="array" ref="Q427">INDEX(AB_TF!C:C,MATCH(1,(AB_TF!F:F=A427)*(AB_TF!D:D=P427),0))</f>
        <v/>
      </c>
      <c r="R427" s="63">
        <f>COUNTIFS(AB_TF!F:F,"="&amp;A427,AB_TF!E:E,"Small*")</f>
        <v>0</v>
      </c>
      <c r="S427" s="63">
        <f>COUNTIFS(AB_TF!F:F,"="&amp;A427,AB_TF!E:E,"Medium*")</f>
        <v>0</v>
      </c>
      <c r="T427" s="63">
        <f>COUNTIFS(AB_TF!F:F,"="&amp;A427,AB_TF!E:E,"Large*")</f>
        <v>0</v>
      </c>
      <c r="U427" s="64">
        <f t="shared" si="1"/>
        <v>0</v>
      </c>
    </row>
    <row r="428">
      <c r="P428" s="62">
        <f t="array" ref="P428">MAX(IF($A428=AB_TF!F:F,AB_TF!D:D))</f>
        <v>0</v>
      </c>
      <c r="Q428" s="63" t="str">
        <f t="array" ref="Q428">INDEX(AB_TF!C:C,MATCH(1,(AB_TF!F:F=A428)*(AB_TF!D:D=P428),0))</f>
        <v/>
      </c>
      <c r="R428" s="63">
        <f>COUNTIFS(AB_TF!F:F,"="&amp;A428,AB_TF!E:E,"Small*")</f>
        <v>0</v>
      </c>
      <c r="S428" s="63">
        <f>COUNTIFS(AB_TF!F:F,"="&amp;A428,AB_TF!E:E,"Medium*")</f>
        <v>0</v>
      </c>
      <c r="T428" s="63">
        <f>COUNTIFS(AB_TF!F:F,"="&amp;A428,AB_TF!E:E,"Large*")</f>
        <v>0</v>
      </c>
      <c r="U428" s="64">
        <f t="shared" si="1"/>
        <v>0</v>
      </c>
    </row>
    <row r="429">
      <c r="P429" s="62">
        <f t="array" ref="P429">MAX(IF($A429=AB_TF!F:F,AB_TF!D:D))</f>
        <v>0</v>
      </c>
      <c r="Q429" s="63" t="str">
        <f t="array" ref="Q429">INDEX(AB_TF!C:C,MATCH(1,(AB_TF!F:F=A429)*(AB_TF!D:D=P429),0))</f>
        <v/>
      </c>
      <c r="R429" s="63">
        <f>COUNTIFS(AB_TF!F:F,"="&amp;A429,AB_TF!E:E,"Small*")</f>
        <v>0</v>
      </c>
      <c r="S429" s="63">
        <f>COUNTIFS(AB_TF!F:F,"="&amp;A429,AB_TF!E:E,"Medium*")</f>
        <v>0</v>
      </c>
      <c r="T429" s="63">
        <f>COUNTIFS(AB_TF!F:F,"="&amp;A429,AB_TF!E:E,"Large*")</f>
        <v>0</v>
      </c>
      <c r="U429" s="64">
        <f t="shared" si="1"/>
        <v>0</v>
      </c>
    </row>
    <row r="430">
      <c r="P430" s="62">
        <f t="array" ref="P430">MAX(IF($A430=AB_TF!F:F,AB_TF!D:D))</f>
        <v>0</v>
      </c>
      <c r="Q430" s="63" t="str">
        <f t="array" ref="Q430">INDEX(AB_TF!C:C,MATCH(1,(AB_TF!F:F=A430)*(AB_TF!D:D=P430),0))</f>
        <v/>
      </c>
      <c r="R430" s="63">
        <f>COUNTIFS(AB_TF!F:F,"="&amp;A430,AB_TF!E:E,"Small*")</f>
        <v>0</v>
      </c>
      <c r="S430" s="63">
        <f>COUNTIFS(AB_TF!F:F,"="&amp;A430,AB_TF!E:E,"Medium*")</f>
        <v>0</v>
      </c>
      <c r="T430" s="63">
        <f>COUNTIFS(AB_TF!F:F,"="&amp;A430,AB_TF!E:E,"Large*")</f>
        <v>0</v>
      </c>
      <c r="U430" s="64">
        <f t="shared" si="1"/>
        <v>0</v>
      </c>
    </row>
    <row r="431">
      <c r="P431" s="62">
        <f t="array" ref="P431">MAX(IF($A431=AB_TF!F:F,AB_TF!D:D))</f>
        <v>0</v>
      </c>
      <c r="Q431" s="63" t="str">
        <f t="array" ref="Q431">INDEX(AB_TF!C:C,MATCH(1,(AB_TF!F:F=A431)*(AB_TF!D:D=P431),0))</f>
        <v/>
      </c>
      <c r="R431" s="63">
        <f>COUNTIFS(AB_TF!F:F,"="&amp;A431,AB_TF!E:E,"Small*")</f>
        <v>0</v>
      </c>
      <c r="S431" s="63">
        <f>COUNTIFS(AB_TF!F:F,"="&amp;A431,AB_TF!E:E,"Medium*")</f>
        <v>0</v>
      </c>
      <c r="T431" s="63">
        <f>COUNTIFS(AB_TF!F:F,"="&amp;A431,AB_TF!E:E,"Large*")</f>
        <v>0</v>
      </c>
      <c r="U431" s="64">
        <f t="shared" si="1"/>
        <v>0</v>
      </c>
    </row>
    <row r="432">
      <c r="P432" s="62">
        <f t="array" ref="P432">MAX(IF($A432=AB_TF!F:F,AB_TF!D:D))</f>
        <v>0</v>
      </c>
      <c r="Q432" s="63" t="str">
        <f t="array" ref="Q432">INDEX(AB_TF!C:C,MATCH(1,(AB_TF!F:F=A432)*(AB_TF!D:D=P432),0))</f>
        <v/>
      </c>
      <c r="R432" s="63">
        <f>COUNTIFS(AB_TF!F:F,"="&amp;A432,AB_TF!E:E,"Small*")</f>
        <v>0</v>
      </c>
      <c r="S432" s="63">
        <f>COUNTIFS(AB_TF!F:F,"="&amp;A432,AB_TF!E:E,"Medium*")</f>
        <v>0</v>
      </c>
      <c r="T432" s="63">
        <f>COUNTIFS(AB_TF!F:F,"="&amp;A432,AB_TF!E:E,"Large*")</f>
        <v>0</v>
      </c>
      <c r="U432" s="64">
        <f t="shared" si="1"/>
        <v>0</v>
      </c>
    </row>
    <row r="433">
      <c r="P433" s="62">
        <f t="array" ref="P433">MAX(IF($A433=AB_TF!F:F,AB_TF!D:D))</f>
        <v>0</v>
      </c>
      <c r="Q433" s="63" t="str">
        <f t="array" ref="Q433">INDEX(AB_TF!C:C,MATCH(1,(AB_TF!F:F=A433)*(AB_TF!D:D=P433),0))</f>
        <v/>
      </c>
      <c r="R433" s="63">
        <f>COUNTIFS(AB_TF!F:F,"="&amp;A433,AB_TF!E:E,"Small*")</f>
        <v>0</v>
      </c>
      <c r="S433" s="63">
        <f>COUNTIFS(AB_TF!F:F,"="&amp;A433,AB_TF!E:E,"Medium*")</f>
        <v>0</v>
      </c>
      <c r="T433" s="63">
        <f>COUNTIFS(AB_TF!F:F,"="&amp;A433,AB_TF!E:E,"Large*")</f>
        <v>0</v>
      </c>
      <c r="U433" s="64">
        <f t="shared" si="1"/>
        <v>0</v>
      </c>
    </row>
    <row r="434">
      <c r="P434" s="62">
        <f t="array" ref="P434">MAX(IF($A434=AB_TF!F:F,AB_TF!D:D))</f>
        <v>0</v>
      </c>
      <c r="Q434" s="63" t="str">
        <f t="array" ref="Q434">INDEX(AB_TF!C:C,MATCH(1,(AB_TF!F:F=A434)*(AB_TF!D:D=P434),0))</f>
        <v/>
      </c>
      <c r="R434" s="63">
        <f>COUNTIFS(AB_TF!F:F,"="&amp;A434,AB_TF!E:E,"Small*")</f>
        <v>0</v>
      </c>
      <c r="S434" s="63">
        <f>COUNTIFS(AB_TF!F:F,"="&amp;A434,AB_TF!E:E,"Medium*")</f>
        <v>0</v>
      </c>
      <c r="T434" s="63">
        <f>COUNTIFS(AB_TF!F:F,"="&amp;A434,AB_TF!E:E,"Large*")</f>
        <v>0</v>
      </c>
      <c r="U434" s="64">
        <f t="shared" si="1"/>
        <v>0</v>
      </c>
    </row>
    <row r="435">
      <c r="P435" s="62">
        <f t="array" ref="P435">MAX(IF($A435=AB_TF!F:F,AB_TF!D:D))</f>
        <v>0</v>
      </c>
      <c r="Q435" s="63" t="str">
        <f t="array" ref="Q435">INDEX(AB_TF!C:C,MATCH(1,(AB_TF!F:F=A435)*(AB_TF!D:D=P435),0))</f>
        <v/>
      </c>
      <c r="R435" s="63">
        <f>COUNTIFS(AB_TF!F:F,"="&amp;A435,AB_TF!E:E,"Small*")</f>
        <v>0</v>
      </c>
      <c r="S435" s="63">
        <f>COUNTIFS(AB_TF!F:F,"="&amp;A435,AB_TF!E:E,"Medium*")</f>
        <v>0</v>
      </c>
      <c r="T435" s="63">
        <f>COUNTIFS(AB_TF!F:F,"="&amp;A435,AB_TF!E:E,"Large*")</f>
        <v>0</v>
      </c>
      <c r="U435" s="64">
        <f t="shared" si="1"/>
        <v>0</v>
      </c>
    </row>
    <row r="436">
      <c r="P436" s="62">
        <f t="array" ref="P436">MAX(IF($A436=AB_TF!F:F,AB_TF!D:D))</f>
        <v>0</v>
      </c>
      <c r="Q436" s="63" t="str">
        <f t="array" ref="Q436">INDEX(AB_TF!C:C,MATCH(1,(AB_TF!F:F=A436)*(AB_TF!D:D=P436),0))</f>
        <v/>
      </c>
      <c r="R436" s="63">
        <f>COUNTIFS(AB_TF!F:F,"="&amp;A436,AB_TF!E:E,"Small*")</f>
        <v>0</v>
      </c>
      <c r="S436" s="63">
        <f>COUNTIFS(AB_TF!F:F,"="&amp;A436,AB_TF!E:E,"Medium*")</f>
        <v>0</v>
      </c>
      <c r="T436" s="63">
        <f>COUNTIFS(AB_TF!F:F,"="&amp;A436,AB_TF!E:E,"Large*")</f>
        <v>0</v>
      </c>
      <c r="U436" s="64">
        <f t="shared" si="1"/>
        <v>0</v>
      </c>
    </row>
    <row r="437">
      <c r="P437" s="62">
        <f t="array" ref="P437">MAX(IF($A437=AB_TF!F:F,AB_TF!D:D))</f>
        <v>0</v>
      </c>
      <c r="Q437" s="63" t="str">
        <f t="array" ref="Q437">INDEX(AB_TF!C:C,MATCH(1,(AB_TF!F:F=A437)*(AB_TF!D:D=P437),0))</f>
        <v/>
      </c>
      <c r="R437" s="63">
        <f>COUNTIFS(AB_TF!F:F,"="&amp;A437,AB_TF!E:E,"Small*")</f>
        <v>0</v>
      </c>
      <c r="S437" s="63">
        <f>COUNTIFS(AB_TF!F:F,"="&amp;A437,AB_TF!E:E,"Medium*")</f>
        <v>0</v>
      </c>
      <c r="T437" s="63">
        <f>COUNTIFS(AB_TF!F:F,"="&amp;A437,AB_TF!E:E,"Large*")</f>
        <v>0</v>
      </c>
      <c r="U437" s="64">
        <f t="shared" si="1"/>
        <v>0</v>
      </c>
    </row>
    <row r="438">
      <c r="P438" s="62">
        <f t="array" ref="P438">MAX(IF($A438=AB_TF!F:F,AB_TF!D:D))</f>
        <v>0</v>
      </c>
      <c r="Q438" s="63" t="str">
        <f t="array" ref="Q438">INDEX(AB_TF!C:C,MATCH(1,(AB_TF!F:F=A438)*(AB_TF!D:D=P438),0))</f>
        <v/>
      </c>
      <c r="R438" s="63">
        <f>COUNTIFS(AB_TF!F:F,"="&amp;A438,AB_TF!E:E,"Small*")</f>
        <v>0</v>
      </c>
      <c r="S438" s="63">
        <f>COUNTIFS(AB_TF!F:F,"="&amp;A438,AB_TF!E:E,"Medium*")</f>
        <v>0</v>
      </c>
      <c r="T438" s="63">
        <f>COUNTIFS(AB_TF!F:F,"="&amp;A438,AB_TF!E:E,"Large*")</f>
        <v>0</v>
      </c>
      <c r="U438" s="64">
        <f t="shared" si="1"/>
        <v>0</v>
      </c>
    </row>
    <row r="439">
      <c r="P439" s="62">
        <f t="array" ref="P439">MAX(IF($A439=AB_TF!F:F,AB_TF!D:D))</f>
        <v>0</v>
      </c>
      <c r="Q439" s="63" t="str">
        <f t="array" ref="Q439">INDEX(AB_TF!C:C,MATCH(1,(AB_TF!F:F=A439)*(AB_TF!D:D=P439),0))</f>
        <v/>
      </c>
      <c r="R439" s="63">
        <f>COUNTIFS(AB_TF!F:F,"="&amp;A439,AB_TF!E:E,"Small*")</f>
        <v>0</v>
      </c>
      <c r="S439" s="63">
        <f>COUNTIFS(AB_TF!F:F,"="&amp;A439,AB_TF!E:E,"Medium*")</f>
        <v>0</v>
      </c>
      <c r="T439" s="63">
        <f>COUNTIFS(AB_TF!F:F,"="&amp;A439,AB_TF!E:E,"Large*")</f>
        <v>0</v>
      </c>
      <c r="U439" s="64">
        <f t="shared" si="1"/>
        <v>0</v>
      </c>
    </row>
    <row r="440">
      <c r="P440" s="62">
        <f t="array" ref="P440">MAX(IF($A440=AB_TF!F:F,AB_TF!D:D))</f>
        <v>0</v>
      </c>
      <c r="Q440" s="63" t="str">
        <f t="array" ref="Q440">INDEX(AB_TF!C:C,MATCH(1,(AB_TF!F:F=A440)*(AB_TF!D:D=P440),0))</f>
        <v/>
      </c>
      <c r="R440" s="63">
        <f>COUNTIFS(AB_TF!F:F,"="&amp;A440,AB_TF!E:E,"Small*")</f>
        <v>0</v>
      </c>
      <c r="S440" s="63">
        <f>COUNTIFS(AB_TF!F:F,"="&amp;A440,AB_TF!E:E,"Medium*")</f>
        <v>0</v>
      </c>
      <c r="T440" s="63">
        <f>COUNTIFS(AB_TF!F:F,"="&amp;A440,AB_TF!E:E,"Large*")</f>
        <v>0</v>
      </c>
      <c r="U440" s="64">
        <f t="shared" si="1"/>
        <v>0</v>
      </c>
    </row>
    <row r="441">
      <c r="P441" s="62">
        <f t="array" ref="P441">MAX(IF($A441=AB_TF!F:F,AB_TF!D:D))</f>
        <v>0</v>
      </c>
      <c r="Q441" s="63" t="str">
        <f t="array" ref="Q441">INDEX(AB_TF!C:C,MATCH(1,(AB_TF!F:F=A441)*(AB_TF!D:D=P441),0))</f>
        <v/>
      </c>
      <c r="R441" s="63">
        <f>COUNTIFS(AB_TF!F:F,"="&amp;A441,AB_TF!E:E,"Small*")</f>
        <v>0</v>
      </c>
      <c r="S441" s="63">
        <f>COUNTIFS(AB_TF!F:F,"="&amp;A441,AB_TF!E:E,"Medium*")</f>
        <v>0</v>
      </c>
      <c r="T441" s="63">
        <f>COUNTIFS(AB_TF!F:F,"="&amp;A441,AB_TF!E:E,"Large*")</f>
        <v>0</v>
      </c>
      <c r="U441" s="64">
        <f t="shared" si="1"/>
        <v>0</v>
      </c>
    </row>
    <row r="442">
      <c r="P442" s="62">
        <f t="array" ref="P442">MAX(IF($A442=AB_TF!F:F,AB_TF!D:D))</f>
        <v>0</v>
      </c>
      <c r="Q442" s="63" t="str">
        <f t="array" ref="Q442">INDEX(AB_TF!C:C,MATCH(1,(AB_TF!F:F=A442)*(AB_TF!D:D=P442),0))</f>
        <v/>
      </c>
      <c r="R442" s="63">
        <f>COUNTIFS(AB_TF!F:F,"="&amp;A442,AB_TF!E:E,"Small*")</f>
        <v>0</v>
      </c>
      <c r="S442" s="63">
        <f>COUNTIFS(AB_TF!F:F,"="&amp;A442,AB_TF!E:E,"Medium*")</f>
        <v>0</v>
      </c>
      <c r="T442" s="63">
        <f>COUNTIFS(AB_TF!F:F,"="&amp;A442,AB_TF!E:E,"Large*")</f>
        <v>0</v>
      </c>
      <c r="U442" s="64">
        <f t="shared" si="1"/>
        <v>0</v>
      </c>
    </row>
    <row r="443">
      <c r="P443" s="62">
        <f t="array" ref="P443">MAX(IF($A443=AB_TF!F:F,AB_TF!D:D))</f>
        <v>0</v>
      </c>
      <c r="Q443" s="63" t="str">
        <f t="array" ref="Q443">INDEX(AB_TF!C:C,MATCH(1,(AB_TF!F:F=A443)*(AB_TF!D:D=P443),0))</f>
        <v/>
      </c>
      <c r="R443" s="63">
        <f>COUNTIFS(AB_TF!F:F,"="&amp;A443,AB_TF!E:E,"Small*")</f>
        <v>0</v>
      </c>
      <c r="S443" s="63">
        <f>COUNTIFS(AB_TF!F:F,"="&amp;A443,AB_TF!E:E,"Medium*")</f>
        <v>0</v>
      </c>
      <c r="T443" s="63">
        <f>COUNTIFS(AB_TF!F:F,"="&amp;A443,AB_TF!E:E,"Large*")</f>
        <v>0</v>
      </c>
      <c r="U443" s="64">
        <f t="shared" si="1"/>
        <v>0</v>
      </c>
    </row>
    <row r="444">
      <c r="P444" s="62">
        <f t="array" ref="P444">MAX(IF($A444=AB_TF!F:F,AB_TF!D:D))</f>
        <v>0</v>
      </c>
      <c r="Q444" s="63" t="str">
        <f t="array" ref="Q444">INDEX(AB_TF!C:C,MATCH(1,(AB_TF!F:F=A444)*(AB_TF!D:D=P444),0))</f>
        <v/>
      </c>
      <c r="R444" s="63">
        <f>COUNTIFS(AB_TF!F:F,"="&amp;A444,AB_TF!E:E,"Small*")</f>
        <v>0</v>
      </c>
      <c r="S444" s="63">
        <f>COUNTIFS(AB_TF!F:F,"="&amp;A444,AB_TF!E:E,"Medium*")</f>
        <v>0</v>
      </c>
      <c r="T444" s="63">
        <f>COUNTIFS(AB_TF!F:F,"="&amp;A444,AB_TF!E:E,"Large*")</f>
        <v>0</v>
      </c>
      <c r="U444" s="64">
        <f t="shared" si="1"/>
        <v>0</v>
      </c>
    </row>
    <row r="445">
      <c r="P445" s="62">
        <f t="array" ref="P445">MAX(IF($A445=AB_TF!F:F,AB_TF!D:D))</f>
        <v>0</v>
      </c>
      <c r="Q445" s="63" t="str">
        <f t="array" ref="Q445">INDEX(AB_TF!C:C,MATCH(1,(AB_TF!F:F=A445)*(AB_TF!D:D=P445),0))</f>
        <v/>
      </c>
      <c r="R445" s="63">
        <f>COUNTIFS(AB_TF!F:F,"="&amp;A445,AB_TF!E:E,"Small*")</f>
        <v>0</v>
      </c>
      <c r="S445" s="63">
        <f>COUNTIFS(AB_TF!F:F,"="&amp;A445,AB_TF!E:E,"Medium*")</f>
        <v>0</v>
      </c>
      <c r="T445" s="63">
        <f>COUNTIFS(AB_TF!F:F,"="&amp;A445,AB_TF!E:E,"Large*")</f>
        <v>0</v>
      </c>
      <c r="U445" s="64">
        <f t="shared" si="1"/>
        <v>0</v>
      </c>
    </row>
    <row r="446">
      <c r="P446" s="62">
        <f t="array" ref="P446">MAX(IF($A446=AB_TF!F:F,AB_TF!D:D))</f>
        <v>0</v>
      </c>
      <c r="Q446" s="63" t="str">
        <f t="array" ref="Q446">INDEX(AB_TF!C:C,MATCH(1,(AB_TF!F:F=A446)*(AB_TF!D:D=P446),0))</f>
        <v/>
      </c>
      <c r="R446" s="63">
        <f>COUNTIFS(AB_TF!F:F,"="&amp;A446,AB_TF!E:E,"Small*")</f>
        <v>0</v>
      </c>
      <c r="S446" s="63">
        <f>COUNTIFS(AB_TF!F:F,"="&amp;A446,AB_TF!E:E,"Medium*")</f>
        <v>0</v>
      </c>
      <c r="T446" s="63">
        <f>COUNTIFS(AB_TF!F:F,"="&amp;A446,AB_TF!E:E,"Large*")</f>
        <v>0</v>
      </c>
      <c r="U446" s="64">
        <f t="shared" si="1"/>
        <v>0</v>
      </c>
    </row>
    <row r="447">
      <c r="P447" s="62">
        <f t="array" ref="P447">MAX(IF($A447=AB_TF!F:F,AB_TF!D:D))</f>
        <v>0</v>
      </c>
      <c r="Q447" s="63" t="str">
        <f t="array" ref="Q447">INDEX(AB_TF!C:C,MATCH(1,(AB_TF!F:F=A447)*(AB_TF!D:D=P447),0))</f>
        <v/>
      </c>
      <c r="R447" s="63">
        <f>COUNTIFS(AB_TF!F:F,"="&amp;A447,AB_TF!E:E,"Small*")</f>
        <v>0</v>
      </c>
      <c r="S447" s="63">
        <f>COUNTIFS(AB_TF!F:F,"="&amp;A447,AB_TF!E:E,"Medium*")</f>
        <v>0</v>
      </c>
      <c r="T447" s="63">
        <f>COUNTIFS(AB_TF!F:F,"="&amp;A447,AB_TF!E:E,"Large*")</f>
        <v>0</v>
      </c>
      <c r="U447" s="64">
        <f t="shared" si="1"/>
        <v>0</v>
      </c>
    </row>
    <row r="448">
      <c r="P448" s="62">
        <f t="array" ref="P448">MAX(IF($A448=AB_TF!F:F,AB_TF!D:D))</f>
        <v>0</v>
      </c>
      <c r="Q448" s="63" t="str">
        <f t="array" ref="Q448">INDEX(AB_TF!C:C,MATCH(1,(AB_TF!F:F=A448)*(AB_TF!D:D=P448),0))</f>
        <v/>
      </c>
      <c r="R448" s="63">
        <f>COUNTIFS(AB_TF!F:F,"="&amp;A448,AB_TF!E:E,"Small*")</f>
        <v>0</v>
      </c>
      <c r="S448" s="63">
        <f>COUNTIFS(AB_TF!F:F,"="&amp;A448,AB_TF!E:E,"Medium*")</f>
        <v>0</v>
      </c>
      <c r="T448" s="63">
        <f>COUNTIFS(AB_TF!F:F,"="&amp;A448,AB_TF!E:E,"Large*")</f>
        <v>0</v>
      </c>
      <c r="U448" s="64">
        <f t="shared" si="1"/>
        <v>0</v>
      </c>
    </row>
    <row r="449">
      <c r="P449" s="62">
        <f t="array" ref="P449">MAX(IF($A449=AB_TF!F:F,AB_TF!D:D))</f>
        <v>0</v>
      </c>
      <c r="Q449" s="63" t="str">
        <f t="array" ref="Q449">INDEX(AB_TF!C:C,MATCH(1,(AB_TF!F:F=A449)*(AB_TF!D:D=P449),0))</f>
        <v/>
      </c>
      <c r="R449" s="63">
        <f>COUNTIFS(AB_TF!F:F,"="&amp;A449,AB_TF!E:E,"Small*")</f>
        <v>0</v>
      </c>
      <c r="S449" s="63">
        <f>COUNTIFS(AB_TF!F:F,"="&amp;A449,AB_TF!E:E,"Medium*")</f>
        <v>0</v>
      </c>
      <c r="T449" s="63">
        <f>COUNTIFS(AB_TF!F:F,"="&amp;A449,AB_TF!E:E,"Large*")</f>
        <v>0</v>
      </c>
      <c r="U449" s="64">
        <f t="shared" si="1"/>
        <v>0</v>
      </c>
    </row>
    <row r="450">
      <c r="P450" s="62">
        <f t="array" ref="P450">MAX(IF($A450=AB_TF!F:F,AB_TF!D:D))</f>
        <v>0</v>
      </c>
      <c r="Q450" s="63" t="str">
        <f t="array" ref="Q450">INDEX(AB_TF!C:C,MATCH(1,(AB_TF!F:F=A450)*(AB_TF!D:D=P450),0))</f>
        <v/>
      </c>
      <c r="R450" s="63">
        <f>COUNTIFS(AB_TF!F:F,"="&amp;A450,AB_TF!E:E,"Small*")</f>
        <v>0</v>
      </c>
      <c r="S450" s="63">
        <f>COUNTIFS(AB_TF!F:F,"="&amp;A450,AB_TF!E:E,"Medium*")</f>
        <v>0</v>
      </c>
      <c r="T450" s="63">
        <f>COUNTIFS(AB_TF!F:F,"="&amp;A450,AB_TF!E:E,"Large*")</f>
        <v>0</v>
      </c>
      <c r="U450" s="64">
        <f t="shared" si="1"/>
        <v>0</v>
      </c>
    </row>
    <row r="451">
      <c r="P451" s="62">
        <f t="array" ref="P451">MAX(IF($A451=AB_TF!F:F,AB_TF!D:D))</f>
        <v>0</v>
      </c>
      <c r="Q451" s="63" t="str">
        <f t="array" ref="Q451">INDEX(AB_TF!C:C,MATCH(1,(AB_TF!F:F=A451)*(AB_TF!D:D=P451),0))</f>
        <v/>
      </c>
      <c r="R451" s="63">
        <f>COUNTIFS(AB_TF!F:F,"="&amp;A451,AB_TF!E:E,"Small*")</f>
        <v>0</v>
      </c>
      <c r="S451" s="63">
        <f>COUNTIFS(AB_TF!F:F,"="&amp;A451,AB_TF!E:E,"Medium*")</f>
        <v>0</v>
      </c>
      <c r="T451" s="63">
        <f>COUNTIFS(AB_TF!F:F,"="&amp;A451,AB_TF!E:E,"Large*")</f>
        <v>0</v>
      </c>
      <c r="U451" s="64">
        <f t="shared" si="1"/>
        <v>0</v>
      </c>
    </row>
    <row r="452">
      <c r="P452" s="62">
        <f t="array" ref="P452">MAX(IF($A452=AB_TF!F:F,AB_TF!D:D))</f>
        <v>0</v>
      </c>
      <c r="Q452" s="63" t="str">
        <f t="array" ref="Q452">INDEX(AB_TF!C:C,MATCH(1,(AB_TF!F:F=A452)*(AB_TF!D:D=P452),0))</f>
        <v/>
      </c>
      <c r="R452" s="63">
        <f>COUNTIFS(AB_TF!F:F,"="&amp;A452,AB_TF!E:E,"Small*")</f>
        <v>0</v>
      </c>
      <c r="S452" s="63">
        <f>COUNTIFS(AB_TF!F:F,"="&amp;A452,AB_TF!E:E,"Medium*")</f>
        <v>0</v>
      </c>
      <c r="T452" s="63">
        <f>COUNTIFS(AB_TF!F:F,"="&amp;A452,AB_TF!E:E,"Large*")</f>
        <v>0</v>
      </c>
      <c r="U452" s="64">
        <f t="shared" si="1"/>
        <v>0</v>
      </c>
    </row>
    <row r="453">
      <c r="P453" s="62">
        <f t="array" ref="P453">MAX(IF($A453=AB_TF!F:F,AB_TF!D:D))</f>
        <v>0</v>
      </c>
      <c r="Q453" s="63" t="str">
        <f t="array" ref="Q453">INDEX(AB_TF!C:C,MATCH(1,(AB_TF!F:F=A453)*(AB_TF!D:D=P453),0))</f>
        <v/>
      </c>
      <c r="R453" s="63">
        <f>COUNTIFS(AB_TF!F:F,"="&amp;A453,AB_TF!E:E,"Small*")</f>
        <v>0</v>
      </c>
      <c r="S453" s="63">
        <f>COUNTIFS(AB_TF!F:F,"="&amp;A453,AB_TF!E:E,"Medium*")</f>
        <v>0</v>
      </c>
      <c r="T453" s="63">
        <f>COUNTIFS(AB_TF!F:F,"="&amp;A453,AB_TF!E:E,"Large*")</f>
        <v>0</v>
      </c>
      <c r="U453" s="64">
        <f t="shared" si="1"/>
        <v>0</v>
      </c>
    </row>
    <row r="454">
      <c r="P454" s="62">
        <f t="array" ref="P454">MAX(IF($A454=AB_TF!F:F,AB_TF!D:D))</f>
        <v>0</v>
      </c>
      <c r="Q454" s="63" t="str">
        <f t="array" ref="Q454">INDEX(AB_TF!C:C,MATCH(1,(AB_TF!F:F=A454)*(AB_TF!D:D=P454),0))</f>
        <v/>
      </c>
      <c r="R454" s="63">
        <f>COUNTIFS(AB_TF!F:F,"="&amp;A454,AB_TF!E:E,"Small*")</f>
        <v>0</v>
      </c>
      <c r="S454" s="63">
        <f>COUNTIFS(AB_TF!F:F,"="&amp;A454,AB_TF!E:E,"Medium*")</f>
        <v>0</v>
      </c>
      <c r="T454" s="63">
        <f>COUNTIFS(AB_TF!F:F,"="&amp;A454,AB_TF!E:E,"Large*")</f>
        <v>0</v>
      </c>
      <c r="U454" s="64">
        <f t="shared" si="1"/>
        <v>0</v>
      </c>
    </row>
    <row r="455">
      <c r="P455" s="62">
        <f t="array" ref="P455">MAX(IF($A455=AB_TF!F:F,AB_TF!D:D))</f>
        <v>0</v>
      </c>
      <c r="Q455" s="63" t="str">
        <f t="array" ref="Q455">INDEX(AB_TF!C:C,MATCH(1,(AB_TF!F:F=A455)*(AB_TF!D:D=P455),0))</f>
        <v/>
      </c>
      <c r="R455" s="63">
        <f>COUNTIFS(AB_TF!F:F,"="&amp;A455,AB_TF!E:E,"Small*")</f>
        <v>0</v>
      </c>
      <c r="S455" s="63">
        <f>COUNTIFS(AB_TF!F:F,"="&amp;A455,AB_TF!E:E,"Medium*")</f>
        <v>0</v>
      </c>
      <c r="T455" s="63">
        <f>COUNTIFS(AB_TF!F:F,"="&amp;A455,AB_TF!E:E,"Large*")</f>
        <v>0</v>
      </c>
      <c r="U455" s="64">
        <f t="shared" si="1"/>
        <v>0</v>
      </c>
    </row>
    <row r="456">
      <c r="P456" s="62">
        <f t="array" ref="P456">MAX(IF($A456=AB_TF!F:F,AB_TF!D:D))</f>
        <v>0</v>
      </c>
      <c r="Q456" s="63" t="str">
        <f t="array" ref="Q456">INDEX(AB_TF!C:C,MATCH(1,(AB_TF!F:F=A456)*(AB_TF!D:D=P456),0))</f>
        <v/>
      </c>
      <c r="R456" s="63">
        <f>COUNTIFS(AB_TF!F:F,"="&amp;A456,AB_TF!E:E,"Small*")</f>
        <v>0</v>
      </c>
      <c r="S456" s="63">
        <f>COUNTIFS(AB_TF!F:F,"="&amp;A456,AB_TF!E:E,"Medium*")</f>
        <v>0</v>
      </c>
      <c r="T456" s="63">
        <f>COUNTIFS(AB_TF!F:F,"="&amp;A456,AB_TF!E:E,"Large*")</f>
        <v>0</v>
      </c>
      <c r="U456" s="64">
        <f t="shared" si="1"/>
        <v>0</v>
      </c>
    </row>
    <row r="457">
      <c r="P457" s="62">
        <f t="array" ref="P457">MAX(IF($A457=AB_TF!F:F,AB_TF!D:D))</f>
        <v>0</v>
      </c>
      <c r="Q457" s="63" t="str">
        <f t="array" ref="Q457">INDEX(AB_TF!C:C,MATCH(1,(AB_TF!F:F=A457)*(AB_TF!D:D=P457),0))</f>
        <v/>
      </c>
      <c r="R457" s="63">
        <f>COUNTIFS(AB_TF!F:F,"="&amp;A457,AB_TF!E:E,"Small*")</f>
        <v>0</v>
      </c>
      <c r="S457" s="63">
        <f>COUNTIFS(AB_TF!F:F,"="&amp;A457,AB_TF!E:E,"Medium*")</f>
        <v>0</v>
      </c>
      <c r="T457" s="63">
        <f>COUNTIFS(AB_TF!F:F,"="&amp;A457,AB_TF!E:E,"Large*")</f>
        <v>0</v>
      </c>
      <c r="U457" s="64">
        <f t="shared" si="1"/>
        <v>0</v>
      </c>
    </row>
    <row r="458">
      <c r="P458" s="62">
        <f t="array" ref="P458">MAX(IF($A458=AB_TF!F:F,AB_TF!D:D))</f>
        <v>0</v>
      </c>
      <c r="Q458" s="63" t="str">
        <f t="array" ref="Q458">INDEX(AB_TF!C:C,MATCH(1,(AB_TF!F:F=A458)*(AB_TF!D:D=P458),0))</f>
        <v/>
      </c>
      <c r="R458" s="63">
        <f>COUNTIFS(AB_TF!F:F,"="&amp;A458,AB_TF!E:E,"Small*")</f>
        <v>0</v>
      </c>
      <c r="S458" s="63">
        <f>COUNTIFS(AB_TF!F:F,"="&amp;A458,AB_TF!E:E,"Medium*")</f>
        <v>0</v>
      </c>
      <c r="T458" s="63">
        <f>COUNTIFS(AB_TF!F:F,"="&amp;A458,AB_TF!E:E,"Large*")</f>
        <v>0</v>
      </c>
      <c r="U458" s="64">
        <f t="shared" si="1"/>
        <v>0</v>
      </c>
    </row>
    <row r="459">
      <c r="P459" s="62">
        <f t="array" ref="P459">MAX(IF($A459=AB_TF!F:F,AB_TF!D:D))</f>
        <v>0</v>
      </c>
      <c r="Q459" s="63" t="str">
        <f t="array" ref="Q459">INDEX(AB_TF!C:C,MATCH(1,(AB_TF!F:F=A459)*(AB_TF!D:D=P459),0))</f>
        <v/>
      </c>
      <c r="R459" s="63">
        <f>COUNTIFS(AB_TF!F:F,"="&amp;A459,AB_TF!E:E,"Small*")</f>
        <v>0</v>
      </c>
      <c r="S459" s="63">
        <f>COUNTIFS(AB_TF!F:F,"="&amp;A459,AB_TF!E:E,"Medium*")</f>
        <v>0</v>
      </c>
      <c r="T459" s="63">
        <f>COUNTIFS(AB_TF!F:F,"="&amp;A459,AB_TF!E:E,"Large*")</f>
        <v>0</v>
      </c>
      <c r="U459" s="64">
        <f t="shared" si="1"/>
        <v>0</v>
      </c>
    </row>
    <row r="460">
      <c r="P460" s="62">
        <f t="array" ref="P460">MAX(IF($A460=AB_TF!F:F,AB_TF!D:D))</f>
        <v>0</v>
      </c>
      <c r="Q460" s="63" t="str">
        <f t="array" ref="Q460">INDEX(AB_TF!C:C,MATCH(1,(AB_TF!F:F=A460)*(AB_TF!D:D=P460),0))</f>
        <v/>
      </c>
      <c r="R460" s="63">
        <f>COUNTIFS(AB_TF!F:F,"="&amp;A460,AB_TF!E:E,"Small*")</f>
        <v>0</v>
      </c>
      <c r="S460" s="63">
        <f>COUNTIFS(AB_TF!F:F,"="&amp;A460,AB_TF!E:E,"Medium*")</f>
        <v>0</v>
      </c>
      <c r="T460" s="63">
        <f>COUNTIFS(AB_TF!F:F,"="&amp;A460,AB_TF!E:E,"Large*")</f>
        <v>0</v>
      </c>
      <c r="U460" s="64">
        <f t="shared" si="1"/>
        <v>0</v>
      </c>
    </row>
    <row r="461">
      <c r="P461" s="62">
        <f t="array" ref="P461">MAX(IF($A461=AB_TF!F:F,AB_TF!D:D))</f>
        <v>0</v>
      </c>
      <c r="Q461" s="63" t="str">
        <f t="array" ref="Q461">INDEX(AB_TF!C:C,MATCH(1,(AB_TF!F:F=A461)*(AB_TF!D:D=P461),0))</f>
        <v/>
      </c>
      <c r="R461" s="63">
        <f>COUNTIFS(AB_TF!F:F,"="&amp;A461,AB_TF!E:E,"Small*")</f>
        <v>0</v>
      </c>
      <c r="S461" s="63">
        <f>COUNTIFS(AB_TF!F:F,"="&amp;A461,AB_TF!E:E,"Medium*")</f>
        <v>0</v>
      </c>
      <c r="T461" s="63">
        <f>COUNTIFS(AB_TF!F:F,"="&amp;A461,AB_TF!E:E,"Large*")</f>
        <v>0</v>
      </c>
      <c r="U461" s="64">
        <f t="shared" si="1"/>
        <v>0</v>
      </c>
    </row>
    <row r="462">
      <c r="P462" s="62">
        <f t="array" ref="P462">MAX(IF($A462=AB_TF!F:F,AB_TF!D:D))</f>
        <v>0</v>
      </c>
      <c r="Q462" s="63" t="str">
        <f t="array" ref="Q462">INDEX(AB_TF!C:C,MATCH(1,(AB_TF!F:F=A462)*(AB_TF!D:D=P462),0))</f>
        <v/>
      </c>
      <c r="R462" s="63">
        <f>COUNTIFS(AB_TF!F:F,"="&amp;A462,AB_TF!E:E,"Small*")</f>
        <v>0</v>
      </c>
      <c r="S462" s="63">
        <f>COUNTIFS(AB_TF!F:F,"="&amp;A462,AB_TF!E:E,"Medium*")</f>
        <v>0</v>
      </c>
      <c r="T462" s="63">
        <f>COUNTIFS(AB_TF!F:F,"="&amp;A462,AB_TF!E:E,"Large*")</f>
        <v>0</v>
      </c>
      <c r="U462" s="64">
        <f t="shared" si="1"/>
        <v>0</v>
      </c>
    </row>
    <row r="463">
      <c r="P463" s="62">
        <f t="array" ref="P463">MAX(IF($A463=AB_TF!F:F,AB_TF!D:D))</f>
        <v>0</v>
      </c>
      <c r="Q463" s="63" t="str">
        <f t="array" ref="Q463">INDEX(AB_TF!C:C,MATCH(1,(AB_TF!F:F=A463)*(AB_TF!D:D=P463),0))</f>
        <v/>
      </c>
      <c r="R463" s="63">
        <f>COUNTIFS(AB_TF!F:F,"="&amp;A463,AB_TF!E:E,"Small*")</f>
        <v>0</v>
      </c>
      <c r="S463" s="63">
        <f>COUNTIFS(AB_TF!F:F,"="&amp;A463,AB_TF!E:E,"Medium*")</f>
        <v>0</v>
      </c>
      <c r="T463" s="63">
        <f>COUNTIFS(AB_TF!F:F,"="&amp;A463,AB_TF!E:E,"Large*")</f>
        <v>0</v>
      </c>
      <c r="U463" s="64">
        <f t="shared" si="1"/>
        <v>0</v>
      </c>
    </row>
    <row r="464">
      <c r="P464" s="62">
        <f t="array" ref="P464">MAX(IF($A464=AB_TF!F:F,AB_TF!D:D))</f>
        <v>0</v>
      </c>
      <c r="Q464" s="63" t="str">
        <f t="array" ref="Q464">INDEX(AB_TF!C:C,MATCH(1,(AB_TF!F:F=A464)*(AB_TF!D:D=P464),0))</f>
        <v/>
      </c>
      <c r="R464" s="63">
        <f>COUNTIFS(AB_TF!F:F,"="&amp;A464,AB_TF!E:E,"Small*")</f>
        <v>0</v>
      </c>
      <c r="S464" s="63">
        <f>COUNTIFS(AB_TF!F:F,"="&amp;A464,AB_TF!E:E,"Medium*")</f>
        <v>0</v>
      </c>
      <c r="T464" s="63">
        <f>COUNTIFS(AB_TF!F:F,"="&amp;A464,AB_TF!E:E,"Large*")</f>
        <v>0</v>
      </c>
      <c r="U464" s="64">
        <f t="shared" si="1"/>
        <v>0</v>
      </c>
    </row>
    <row r="465">
      <c r="P465" s="62">
        <f t="array" ref="P465">MAX(IF($A465=AB_TF!F:F,AB_TF!D:D))</f>
        <v>0</v>
      </c>
      <c r="Q465" s="63" t="str">
        <f t="array" ref="Q465">INDEX(AB_TF!C:C,MATCH(1,(AB_TF!F:F=A465)*(AB_TF!D:D=P465),0))</f>
        <v/>
      </c>
      <c r="R465" s="63">
        <f>COUNTIFS(AB_TF!F:F,"="&amp;A465,AB_TF!E:E,"Small*")</f>
        <v>0</v>
      </c>
      <c r="S465" s="63">
        <f>COUNTIFS(AB_TF!F:F,"="&amp;A465,AB_TF!E:E,"Medium*")</f>
        <v>0</v>
      </c>
      <c r="T465" s="63">
        <f>COUNTIFS(AB_TF!F:F,"="&amp;A465,AB_TF!E:E,"Large*")</f>
        <v>0</v>
      </c>
      <c r="U465" s="64">
        <f t="shared" si="1"/>
        <v>0</v>
      </c>
    </row>
    <row r="466">
      <c r="P466" s="62">
        <f t="array" ref="P466">MAX(IF($A466=AB_TF!F:F,AB_TF!D:D))</f>
        <v>0</v>
      </c>
      <c r="Q466" s="63" t="str">
        <f t="array" ref="Q466">INDEX(AB_TF!C:C,MATCH(1,(AB_TF!F:F=A466)*(AB_TF!D:D=P466),0))</f>
        <v/>
      </c>
      <c r="R466" s="63">
        <f>COUNTIFS(AB_TF!F:F,"="&amp;A466,AB_TF!E:E,"Small*")</f>
        <v>0</v>
      </c>
      <c r="S466" s="63">
        <f>COUNTIFS(AB_TF!F:F,"="&amp;A466,AB_TF!E:E,"Medium*")</f>
        <v>0</v>
      </c>
      <c r="T466" s="63">
        <f>COUNTIFS(AB_TF!F:F,"="&amp;A466,AB_TF!E:E,"Large*")</f>
        <v>0</v>
      </c>
      <c r="U466" s="64">
        <f t="shared" si="1"/>
        <v>0</v>
      </c>
    </row>
    <row r="467">
      <c r="P467" s="62">
        <f t="array" ref="P467">MAX(IF($A467=AB_TF!F:F,AB_TF!D:D))</f>
        <v>0</v>
      </c>
      <c r="Q467" s="63" t="str">
        <f t="array" ref="Q467">INDEX(AB_TF!C:C,MATCH(1,(AB_TF!F:F=A467)*(AB_TF!D:D=P467),0))</f>
        <v/>
      </c>
      <c r="R467" s="63">
        <f>COUNTIFS(AB_TF!F:F,"="&amp;A467,AB_TF!E:E,"Small*")</f>
        <v>0</v>
      </c>
      <c r="S467" s="63">
        <f>COUNTIFS(AB_TF!F:F,"="&amp;A467,AB_TF!E:E,"Medium*")</f>
        <v>0</v>
      </c>
      <c r="T467" s="63">
        <f>COUNTIFS(AB_TF!F:F,"="&amp;A467,AB_TF!E:E,"Large*")</f>
        <v>0</v>
      </c>
      <c r="U467" s="64">
        <f t="shared" si="1"/>
        <v>0</v>
      </c>
    </row>
    <row r="468">
      <c r="P468" s="62">
        <f t="array" ref="P468">MAX(IF($A468=AB_TF!F:F,AB_TF!D:D))</f>
        <v>0</v>
      </c>
      <c r="Q468" s="63" t="str">
        <f t="array" ref="Q468">INDEX(AB_TF!C:C,MATCH(1,(AB_TF!F:F=A468)*(AB_TF!D:D=P468),0))</f>
        <v/>
      </c>
      <c r="R468" s="63">
        <f>COUNTIFS(AB_TF!F:F,"="&amp;A468,AB_TF!E:E,"Small*")</f>
        <v>0</v>
      </c>
      <c r="S468" s="63">
        <f>COUNTIFS(AB_TF!F:F,"="&amp;A468,AB_TF!E:E,"Medium*")</f>
        <v>0</v>
      </c>
      <c r="T468" s="63">
        <f>COUNTIFS(AB_TF!F:F,"="&amp;A468,AB_TF!E:E,"Large*")</f>
        <v>0</v>
      </c>
      <c r="U468" s="64">
        <f t="shared" si="1"/>
        <v>0</v>
      </c>
    </row>
    <row r="469">
      <c r="P469" s="62">
        <f t="array" ref="P469">MAX(IF($A469=AB_TF!F:F,AB_TF!D:D))</f>
        <v>0</v>
      </c>
      <c r="Q469" s="63" t="str">
        <f t="array" ref="Q469">INDEX(AB_TF!C:C,MATCH(1,(AB_TF!F:F=A469)*(AB_TF!D:D=P469),0))</f>
        <v/>
      </c>
      <c r="R469" s="63">
        <f>COUNTIFS(AB_TF!F:F,"="&amp;A469,AB_TF!E:E,"Small*")</f>
        <v>0</v>
      </c>
      <c r="S469" s="63">
        <f>COUNTIFS(AB_TF!F:F,"="&amp;A469,AB_TF!E:E,"Medium*")</f>
        <v>0</v>
      </c>
      <c r="T469" s="63">
        <f>COUNTIFS(AB_TF!F:F,"="&amp;A469,AB_TF!E:E,"Large*")</f>
        <v>0</v>
      </c>
      <c r="U469" s="64">
        <f t="shared" si="1"/>
        <v>0</v>
      </c>
    </row>
    <row r="470">
      <c r="P470" s="62">
        <f t="array" ref="P470">MAX(IF($A470=AB_TF!F:F,AB_TF!D:D))</f>
        <v>0</v>
      </c>
      <c r="Q470" s="63" t="str">
        <f t="array" ref="Q470">INDEX(AB_TF!C:C,MATCH(1,(AB_TF!F:F=A470)*(AB_TF!D:D=P470),0))</f>
        <v/>
      </c>
      <c r="R470" s="63">
        <f>COUNTIFS(AB_TF!F:F,"="&amp;A470,AB_TF!E:E,"Small*")</f>
        <v>0</v>
      </c>
      <c r="S470" s="63">
        <f>COUNTIFS(AB_TF!F:F,"="&amp;A470,AB_TF!E:E,"Medium*")</f>
        <v>0</v>
      </c>
      <c r="T470" s="63">
        <f>COUNTIFS(AB_TF!F:F,"="&amp;A470,AB_TF!E:E,"Large*")</f>
        <v>0</v>
      </c>
      <c r="U470" s="64">
        <f t="shared" si="1"/>
        <v>0</v>
      </c>
    </row>
    <row r="471">
      <c r="P471" s="62">
        <f t="array" ref="P471">MAX(IF($A471=AB_TF!F:F,AB_TF!D:D))</f>
        <v>0</v>
      </c>
      <c r="Q471" s="63" t="str">
        <f t="array" ref="Q471">INDEX(AB_TF!C:C,MATCH(1,(AB_TF!F:F=A471)*(AB_TF!D:D=P471),0))</f>
        <v/>
      </c>
      <c r="R471" s="63">
        <f>COUNTIFS(AB_TF!F:F,"="&amp;A471,AB_TF!E:E,"Small*")</f>
        <v>0</v>
      </c>
      <c r="S471" s="63">
        <f>COUNTIFS(AB_TF!F:F,"="&amp;A471,AB_TF!E:E,"Medium*")</f>
        <v>0</v>
      </c>
      <c r="T471" s="63">
        <f>COUNTIFS(AB_TF!F:F,"="&amp;A471,AB_TF!E:E,"Large*")</f>
        <v>0</v>
      </c>
      <c r="U471" s="64">
        <f t="shared" si="1"/>
        <v>0</v>
      </c>
    </row>
    <row r="472">
      <c r="P472" s="62">
        <f t="array" ref="P472">MAX(IF($A472=AB_TF!F:F,AB_TF!D:D))</f>
        <v>0</v>
      </c>
      <c r="Q472" s="63" t="str">
        <f t="array" ref="Q472">INDEX(AB_TF!C:C,MATCH(1,(AB_TF!F:F=A472)*(AB_TF!D:D=P472),0))</f>
        <v/>
      </c>
      <c r="R472" s="63">
        <f>COUNTIFS(AB_TF!F:F,"="&amp;A472,AB_TF!E:E,"Small*")</f>
        <v>0</v>
      </c>
      <c r="S472" s="63">
        <f>COUNTIFS(AB_TF!F:F,"="&amp;A472,AB_TF!E:E,"Medium*")</f>
        <v>0</v>
      </c>
      <c r="T472" s="63">
        <f>COUNTIFS(AB_TF!F:F,"="&amp;A472,AB_TF!E:E,"Large*")</f>
        <v>0</v>
      </c>
      <c r="U472" s="64">
        <f t="shared" si="1"/>
        <v>0</v>
      </c>
    </row>
    <row r="473">
      <c r="P473" s="62">
        <f t="array" ref="P473">MAX(IF($A473=AB_TF!F:F,AB_TF!D:D))</f>
        <v>0</v>
      </c>
      <c r="Q473" s="63" t="str">
        <f t="array" ref="Q473">INDEX(AB_TF!C:C,MATCH(1,(AB_TF!F:F=A473)*(AB_TF!D:D=P473),0))</f>
        <v/>
      </c>
      <c r="R473" s="63">
        <f>COUNTIFS(AB_TF!F:F,"="&amp;A473,AB_TF!E:E,"Small*")</f>
        <v>0</v>
      </c>
      <c r="S473" s="63">
        <f>COUNTIFS(AB_TF!F:F,"="&amp;A473,AB_TF!E:E,"Medium*")</f>
        <v>0</v>
      </c>
      <c r="T473" s="63">
        <f>COUNTIFS(AB_TF!F:F,"="&amp;A473,AB_TF!E:E,"Large*")</f>
        <v>0</v>
      </c>
      <c r="U473" s="64">
        <f t="shared" si="1"/>
        <v>0</v>
      </c>
    </row>
    <row r="474">
      <c r="P474" s="62">
        <f t="array" ref="P474">MAX(IF($A474=AB_TF!F:F,AB_TF!D:D))</f>
        <v>0</v>
      </c>
      <c r="Q474" s="63" t="str">
        <f t="array" ref="Q474">INDEX(AB_TF!C:C,MATCH(1,(AB_TF!F:F=A474)*(AB_TF!D:D=P474),0))</f>
        <v/>
      </c>
      <c r="R474" s="63">
        <f>COUNTIFS(AB_TF!F:F,"="&amp;A474,AB_TF!E:E,"Small*")</f>
        <v>0</v>
      </c>
      <c r="S474" s="63">
        <f>COUNTIFS(AB_TF!F:F,"="&amp;A474,AB_TF!E:E,"Medium*")</f>
        <v>0</v>
      </c>
      <c r="T474" s="63">
        <f>COUNTIFS(AB_TF!F:F,"="&amp;A474,AB_TF!E:E,"Large*")</f>
        <v>0</v>
      </c>
      <c r="U474" s="64">
        <f t="shared" si="1"/>
        <v>0</v>
      </c>
    </row>
    <row r="475">
      <c r="P475" s="62">
        <f t="array" ref="P475">MAX(IF($A475=AB_TF!F:F,AB_TF!D:D))</f>
        <v>0</v>
      </c>
      <c r="Q475" s="63" t="str">
        <f t="array" ref="Q475">INDEX(AB_TF!C:C,MATCH(1,(AB_TF!F:F=A475)*(AB_TF!D:D=P475),0))</f>
        <v/>
      </c>
      <c r="R475" s="63">
        <f>COUNTIFS(AB_TF!F:F,"="&amp;A475,AB_TF!E:E,"Small*")</f>
        <v>0</v>
      </c>
      <c r="S475" s="63">
        <f>COUNTIFS(AB_TF!F:F,"="&amp;A475,AB_TF!E:E,"Medium*")</f>
        <v>0</v>
      </c>
      <c r="T475" s="63">
        <f>COUNTIFS(AB_TF!F:F,"="&amp;A475,AB_TF!E:E,"Large*")</f>
        <v>0</v>
      </c>
      <c r="U475" s="64">
        <f t="shared" si="1"/>
        <v>0</v>
      </c>
    </row>
    <row r="476">
      <c r="P476" s="62">
        <f t="array" ref="P476">MAX(IF($A476=AB_TF!F:F,AB_TF!D:D))</f>
        <v>0</v>
      </c>
      <c r="Q476" s="63" t="str">
        <f t="array" ref="Q476">INDEX(AB_TF!C:C,MATCH(1,(AB_TF!F:F=A476)*(AB_TF!D:D=P476),0))</f>
        <v/>
      </c>
      <c r="R476" s="63">
        <f>COUNTIFS(AB_TF!F:F,"="&amp;A476,AB_TF!E:E,"Small*")</f>
        <v>0</v>
      </c>
      <c r="S476" s="63">
        <f>COUNTIFS(AB_TF!F:F,"="&amp;A476,AB_TF!E:E,"Medium*")</f>
        <v>0</v>
      </c>
      <c r="T476" s="63">
        <f>COUNTIFS(AB_TF!F:F,"="&amp;A476,AB_TF!E:E,"Large*")</f>
        <v>0</v>
      </c>
      <c r="U476" s="64">
        <f t="shared" si="1"/>
        <v>0</v>
      </c>
    </row>
    <row r="477">
      <c r="P477" s="62">
        <f t="array" ref="P477">MAX(IF($A477=AB_TF!F:F,AB_TF!D:D))</f>
        <v>0</v>
      </c>
      <c r="Q477" s="63" t="str">
        <f t="array" ref="Q477">INDEX(AB_TF!C:C,MATCH(1,(AB_TF!F:F=A477)*(AB_TF!D:D=P477),0))</f>
        <v/>
      </c>
      <c r="R477" s="63">
        <f>COUNTIFS(AB_TF!F:F,"="&amp;A477,AB_TF!E:E,"Small*")</f>
        <v>0</v>
      </c>
      <c r="S477" s="63">
        <f>COUNTIFS(AB_TF!F:F,"="&amp;A477,AB_TF!E:E,"Medium*")</f>
        <v>0</v>
      </c>
      <c r="T477" s="63">
        <f>COUNTIFS(AB_TF!F:F,"="&amp;A477,AB_TF!E:E,"Large*")</f>
        <v>0</v>
      </c>
      <c r="U477" s="64">
        <f t="shared" si="1"/>
        <v>0</v>
      </c>
    </row>
    <row r="478">
      <c r="P478" s="62">
        <f t="array" ref="P478">MAX(IF($A478=AB_TF!F:F,AB_TF!D:D))</f>
        <v>0</v>
      </c>
      <c r="Q478" s="63" t="str">
        <f t="array" ref="Q478">INDEX(AB_TF!C:C,MATCH(1,(AB_TF!F:F=A478)*(AB_TF!D:D=P478),0))</f>
        <v/>
      </c>
      <c r="R478" s="63">
        <f>COUNTIFS(AB_TF!F:F,"="&amp;A478,AB_TF!E:E,"Small*")</f>
        <v>0</v>
      </c>
      <c r="S478" s="63">
        <f>COUNTIFS(AB_TF!F:F,"="&amp;A478,AB_TF!E:E,"Medium*")</f>
        <v>0</v>
      </c>
      <c r="T478" s="63">
        <f>COUNTIFS(AB_TF!F:F,"="&amp;A478,AB_TF!E:E,"Large*")</f>
        <v>0</v>
      </c>
      <c r="U478" s="64">
        <f t="shared" si="1"/>
        <v>0</v>
      </c>
    </row>
    <row r="479">
      <c r="P479" s="62">
        <f t="array" ref="P479">MAX(IF($A479=AB_TF!F:F,AB_TF!D:D))</f>
        <v>0</v>
      </c>
      <c r="Q479" s="63" t="str">
        <f t="array" ref="Q479">INDEX(AB_TF!C:C,MATCH(1,(AB_TF!F:F=A479)*(AB_TF!D:D=P479),0))</f>
        <v/>
      </c>
      <c r="R479" s="63">
        <f>COUNTIFS(AB_TF!F:F,"="&amp;A479,AB_TF!E:E,"Small*")</f>
        <v>0</v>
      </c>
      <c r="S479" s="63">
        <f>COUNTIFS(AB_TF!F:F,"="&amp;A479,AB_TF!E:E,"Medium*")</f>
        <v>0</v>
      </c>
      <c r="T479" s="63">
        <f>COUNTIFS(AB_TF!F:F,"="&amp;A479,AB_TF!E:E,"Large*")</f>
        <v>0</v>
      </c>
      <c r="U479" s="64">
        <f t="shared" si="1"/>
        <v>0</v>
      </c>
    </row>
    <row r="480">
      <c r="P480" s="62">
        <f t="array" ref="P480">MAX(IF($A480=AB_TF!F:F,AB_TF!D:D))</f>
        <v>0</v>
      </c>
      <c r="Q480" s="63" t="str">
        <f t="array" ref="Q480">INDEX(AB_TF!C:C,MATCH(1,(AB_TF!F:F=A480)*(AB_TF!D:D=P480),0))</f>
        <v/>
      </c>
      <c r="R480" s="63">
        <f>COUNTIFS(AB_TF!F:F,"="&amp;A480,AB_TF!E:E,"Small*")</f>
        <v>0</v>
      </c>
      <c r="S480" s="63">
        <f>COUNTIFS(AB_TF!F:F,"="&amp;A480,AB_TF!E:E,"Medium*")</f>
        <v>0</v>
      </c>
      <c r="T480" s="63">
        <f>COUNTIFS(AB_TF!F:F,"="&amp;A480,AB_TF!E:E,"Large*")</f>
        <v>0</v>
      </c>
      <c r="U480" s="64">
        <f t="shared" si="1"/>
        <v>0</v>
      </c>
    </row>
    <row r="481">
      <c r="P481" s="62">
        <f t="array" ref="P481">MAX(IF($A481=AB_TF!F:F,AB_TF!D:D))</f>
        <v>0</v>
      </c>
      <c r="Q481" s="63" t="str">
        <f t="array" ref="Q481">INDEX(AB_TF!C:C,MATCH(1,(AB_TF!F:F=A481)*(AB_TF!D:D=P481),0))</f>
        <v/>
      </c>
      <c r="R481" s="63">
        <f>COUNTIFS(AB_TF!F:F,"="&amp;A481,AB_TF!E:E,"Small*")</f>
        <v>0</v>
      </c>
      <c r="S481" s="63">
        <f>COUNTIFS(AB_TF!F:F,"="&amp;A481,AB_TF!E:E,"Medium*")</f>
        <v>0</v>
      </c>
      <c r="T481" s="63">
        <f>COUNTIFS(AB_TF!F:F,"="&amp;A481,AB_TF!E:E,"Large*")</f>
        <v>0</v>
      </c>
      <c r="U481" s="64">
        <f t="shared" si="1"/>
        <v>0</v>
      </c>
    </row>
    <row r="482">
      <c r="P482" s="62">
        <f t="array" ref="P482">MAX(IF($A482=AB_TF!F:F,AB_TF!D:D))</f>
        <v>0</v>
      </c>
      <c r="Q482" s="63" t="str">
        <f t="array" ref="Q482">INDEX(AB_TF!C:C,MATCH(1,(AB_TF!F:F=A482)*(AB_TF!D:D=P482),0))</f>
        <v/>
      </c>
      <c r="R482" s="63">
        <f>COUNTIFS(AB_TF!F:F,"="&amp;A482,AB_TF!E:E,"Small*")</f>
        <v>0</v>
      </c>
      <c r="S482" s="63">
        <f>COUNTIFS(AB_TF!F:F,"="&amp;A482,AB_TF!E:E,"Medium*")</f>
        <v>0</v>
      </c>
      <c r="T482" s="63">
        <f>COUNTIFS(AB_TF!F:F,"="&amp;A482,AB_TF!E:E,"Large*")</f>
        <v>0</v>
      </c>
      <c r="U482" s="64">
        <f t="shared" si="1"/>
        <v>0</v>
      </c>
    </row>
    <row r="483">
      <c r="P483" s="62">
        <f t="array" ref="P483">MAX(IF($A483=AB_TF!F:F,AB_TF!D:D))</f>
        <v>0</v>
      </c>
      <c r="Q483" s="63" t="str">
        <f t="array" ref="Q483">INDEX(AB_TF!C:C,MATCH(1,(AB_TF!F:F=A483)*(AB_TF!D:D=P483),0))</f>
        <v/>
      </c>
      <c r="R483" s="63">
        <f>COUNTIFS(AB_TF!F:F,"="&amp;A483,AB_TF!E:E,"Small*")</f>
        <v>0</v>
      </c>
      <c r="S483" s="63">
        <f>COUNTIFS(AB_TF!F:F,"="&amp;A483,AB_TF!E:E,"Medium*")</f>
        <v>0</v>
      </c>
      <c r="T483" s="63">
        <f>COUNTIFS(AB_TF!F:F,"="&amp;A483,AB_TF!E:E,"Large*")</f>
        <v>0</v>
      </c>
      <c r="U483" s="64">
        <f t="shared" si="1"/>
        <v>0</v>
      </c>
    </row>
    <row r="484">
      <c r="P484" s="62">
        <f t="array" ref="P484">MAX(IF($A484=AB_TF!F:F,AB_TF!D:D))</f>
        <v>0</v>
      </c>
      <c r="Q484" s="63" t="str">
        <f t="array" ref="Q484">INDEX(AB_TF!C:C,MATCH(1,(AB_TF!F:F=A484)*(AB_TF!D:D=P484),0))</f>
        <v/>
      </c>
      <c r="R484" s="63">
        <f>COUNTIFS(AB_TF!F:F,"="&amp;A484,AB_TF!E:E,"Small*")</f>
        <v>0</v>
      </c>
      <c r="S484" s="63">
        <f>COUNTIFS(AB_TF!F:F,"="&amp;A484,AB_TF!E:E,"Medium*")</f>
        <v>0</v>
      </c>
      <c r="T484" s="63">
        <f>COUNTIFS(AB_TF!F:F,"="&amp;A484,AB_TF!E:E,"Large*")</f>
        <v>0</v>
      </c>
      <c r="U484" s="64">
        <f t="shared" si="1"/>
        <v>0</v>
      </c>
    </row>
    <row r="485">
      <c r="P485" s="62">
        <f t="array" ref="P485">MAX(IF($A485=AB_TF!F:F,AB_TF!D:D))</f>
        <v>0</v>
      </c>
      <c r="Q485" s="63" t="str">
        <f t="array" ref="Q485">INDEX(AB_TF!C:C,MATCH(1,(AB_TF!F:F=A485)*(AB_TF!D:D=P485),0))</f>
        <v/>
      </c>
      <c r="R485" s="63">
        <f>COUNTIFS(AB_TF!F:F,"="&amp;A485,AB_TF!E:E,"Small*")</f>
        <v>0</v>
      </c>
      <c r="S485" s="63">
        <f>COUNTIFS(AB_TF!F:F,"="&amp;A485,AB_TF!E:E,"Medium*")</f>
        <v>0</v>
      </c>
      <c r="T485" s="63">
        <f>COUNTIFS(AB_TF!F:F,"="&amp;A485,AB_TF!E:E,"Large*")</f>
        <v>0</v>
      </c>
      <c r="U485" s="64">
        <f t="shared" si="1"/>
        <v>0</v>
      </c>
    </row>
    <row r="486">
      <c r="P486" s="62">
        <f t="array" ref="P486">MAX(IF($A486=AB_TF!F:F,AB_TF!D:D))</f>
        <v>0</v>
      </c>
      <c r="Q486" s="63" t="str">
        <f t="array" ref="Q486">INDEX(AB_TF!C:C,MATCH(1,(AB_TF!F:F=A486)*(AB_TF!D:D=P486),0))</f>
        <v/>
      </c>
      <c r="R486" s="63">
        <f>COUNTIFS(AB_TF!F:F,"="&amp;A486,AB_TF!E:E,"Small*")</f>
        <v>0</v>
      </c>
      <c r="S486" s="63">
        <f>COUNTIFS(AB_TF!F:F,"="&amp;A486,AB_TF!E:E,"Medium*")</f>
        <v>0</v>
      </c>
      <c r="T486" s="63">
        <f>COUNTIFS(AB_TF!F:F,"="&amp;A486,AB_TF!E:E,"Large*")</f>
        <v>0</v>
      </c>
      <c r="U486" s="64">
        <f t="shared" si="1"/>
        <v>0</v>
      </c>
    </row>
    <row r="487">
      <c r="P487" s="62">
        <f t="array" ref="P487">MAX(IF($A487=AB_TF!F:F,AB_TF!D:D))</f>
        <v>0</v>
      </c>
      <c r="Q487" s="63" t="str">
        <f t="array" ref="Q487">INDEX(AB_TF!C:C,MATCH(1,(AB_TF!F:F=A487)*(AB_TF!D:D=P487),0))</f>
        <v/>
      </c>
      <c r="R487" s="63">
        <f>COUNTIFS(AB_TF!F:F,"="&amp;A487,AB_TF!E:E,"Small*")</f>
        <v>0</v>
      </c>
      <c r="S487" s="63">
        <f>COUNTIFS(AB_TF!F:F,"="&amp;A487,AB_TF!E:E,"Medium*")</f>
        <v>0</v>
      </c>
      <c r="T487" s="63">
        <f>COUNTIFS(AB_TF!F:F,"="&amp;A487,AB_TF!E:E,"Large*")</f>
        <v>0</v>
      </c>
      <c r="U487" s="64">
        <f t="shared" si="1"/>
        <v>0</v>
      </c>
    </row>
    <row r="488">
      <c r="P488" s="62">
        <f t="array" ref="P488">MAX(IF($A488=AB_TF!F:F,AB_TF!D:D))</f>
        <v>0</v>
      </c>
      <c r="Q488" s="63" t="str">
        <f t="array" ref="Q488">INDEX(AB_TF!C:C,MATCH(1,(AB_TF!F:F=A488)*(AB_TF!D:D=P488),0))</f>
        <v/>
      </c>
      <c r="R488" s="63">
        <f>COUNTIFS(AB_TF!F:F,"="&amp;A488,AB_TF!E:E,"Small*")</f>
        <v>0</v>
      </c>
      <c r="S488" s="63">
        <f>COUNTIFS(AB_TF!F:F,"="&amp;A488,AB_TF!E:E,"Medium*")</f>
        <v>0</v>
      </c>
      <c r="T488" s="63">
        <f>COUNTIFS(AB_TF!F:F,"="&amp;A488,AB_TF!E:E,"Large*")</f>
        <v>0</v>
      </c>
      <c r="U488" s="64">
        <f t="shared" si="1"/>
        <v>0</v>
      </c>
    </row>
    <row r="489">
      <c r="P489" s="62">
        <f t="array" ref="P489">MAX(IF($A489=AB_TF!F:F,AB_TF!D:D))</f>
        <v>0</v>
      </c>
      <c r="Q489" s="63" t="str">
        <f t="array" ref="Q489">INDEX(AB_TF!C:C,MATCH(1,(AB_TF!F:F=A489)*(AB_TF!D:D=P489),0))</f>
        <v/>
      </c>
      <c r="R489" s="63">
        <f>COUNTIFS(AB_TF!F:F,"="&amp;A489,AB_TF!E:E,"Small*")</f>
        <v>0</v>
      </c>
      <c r="S489" s="63">
        <f>COUNTIFS(AB_TF!F:F,"="&amp;A489,AB_TF!E:E,"Medium*")</f>
        <v>0</v>
      </c>
      <c r="T489" s="63">
        <f>COUNTIFS(AB_TF!F:F,"="&amp;A489,AB_TF!E:E,"Large*")</f>
        <v>0</v>
      </c>
      <c r="U489" s="64">
        <f t="shared" si="1"/>
        <v>0</v>
      </c>
    </row>
    <row r="490">
      <c r="P490" s="62">
        <f t="array" ref="P490">MAX(IF($A490=AB_TF!F:F,AB_TF!D:D))</f>
        <v>0</v>
      </c>
      <c r="Q490" s="63" t="str">
        <f t="array" ref="Q490">INDEX(AB_TF!C:C,MATCH(1,(AB_TF!F:F=A490)*(AB_TF!D:D=P490),0))</f>
        <v/>
      </c>
      <c r="R490" s="63">
        <f>COUNTIFS(AB_TF!F:F,"="&amp;A490,AB_TF!E:E,"Small*")</f>
        <v>0</v>
      </c>
      <c r="S490" s="63">
        <f>COUNTIFS(AB_TF!F:F,"="&amp;A490,AB_TF!E:E,"Medium*")</f>
        <v>0</v>
      </c>
      <c r="T490" s="63">
        <f>COUNTIFS(AB_TF!F:F,"="&amp;A490,AB_TF!E:E,"Large*")</f>
        <v>0</v>
      </c>
      <c r="U490" s="64">
        <f t="shared" si="1"/>
        <v>0</v>
      </c>
    </row>
    <row r="491">
      <c r="P491" s="62">
        <f t="array" ref="P491">MAX(IF($A491=AB_TF!F:F,AB_TF!D:D))</f>
        <v>0</v>
      </c>
      <c r="Q491" s="63" t="str">
        <f t="array" ref="Q491">INDEX(AB_TF!C:C,MATCH(1,(AB_TF!F:F=A491)*(AB_TF!D:D=P491),0))</f>
        <v/>
      </c>
      <c r="R491" s="63">
        <f>COUNTIFS(AB_TF!F:F,"="&amp;A491,AB_TF!E:E,"Small*")</f>
        <v>0</v>
      </c>
      <c r="S491" s="63">
        <f>COUNTIFS(AB_TF!F:F,"="&amp;A491,AB_TF!E:E,"Medium*")</f>
        <v>0</v>
      </c>
      <c r="T491" s="63">
        <f>COUNTIFS(AB_TF!F:F,"="&amp;A491,AB_TF!E:E,"Large*")</f>
        <v>0</v>
      </c>
      <c r="U491" s="64">
        <f t="shared" si="1"/>
        <v>0</v>
      </c>
    </row>
    <row r="492">
      <c r="P492" s="62">
        <f t="array" ref="P492">MAX(IF($A492=AB_TF!F:F,AB_TF!D:D))</f>
        <v>0</v>
      </c>
      <c r="Q492" s="63" t="str">
        <f t="array" ref="Q492">INDEX(AB_TF!C:C,MATCH(1,(AB_TF!F:F=A492)*(AB_TF!D:D=P492),0))</f>
        <v/>
      </c>
      <c r="R492" s="63">
        <f>COUNTIFS(AB_TF!F:F,"="&amp;A492,AB_TF!E:E,"Small*")</f>
        <v>0</v>
      </c>
      <c r="S492" s="63">
        <f>COUNTIFS(AB_TF!F:F,"="&amp;A492,AB_TF!E:E,"Medium*")</f>
        <v>0</v>
      </c>
      <c r="T492" s="63">
        <f>COUNTIFS(AB_TF!F:F,"="&amp;A492,AB_TF!E:E,"Large*")</f>
        <v>0</v>
      </c>
      <c r="U492" s="64">
        <f t="shared" si="1"/>
        <v>0</v>
      </c>
    </row>
    <row r="493">
      <c r="P493" s="62">
        <f t="array" ref="P493">MAX(IF($A493=AB_TF!F:F,AB_TF!D:D))</f>
        <v>0</v>
      </c>
      <c r="Q493" s="63" t="str">
        <f t="array" ref="Q493">INDEX(AB_TF!C:C,MATCH(1,(AB_TF!F:F=A493)*(AB_TF!D:D=P493),0))</f>
        <v/>
      </c>
      <c r="R493" s="63">
        <f>COUNTIFS(AB_TF!F:F,"="&amp;A493,AB_TF!E:E,"Small*")</f>
        <v>0</v>
      </c>
      <c r="S493" s="63">
        <f>COUNTIFS(AB_TF!F:F,"="&amp;A493,AB_TF!E:E,"Medium*")</f>
        <v>0</v>
      </c>
      <c r="T493" s="63">
        <f>COUNTIFS(AB_TF!F:F,"="&amp;A493,AB_TF!E:E,"Large*")</f>
        <v>0</v>
      </c>
      <c r="U493" s="64">
        <f t="shared" si="1"/>
        <v>0</v>
      </c>
    </row>
    <row r="494">
      <c r="P494" s="62">
        <f t="array" ref="P494">MAX(IF($A494=AB_TF!F:F,AB_TF!D:D))</f>
        <v>0</v>
      </c>
      <c r="Q494" s="63" t="str">
        <f t="array" ref="Q494">INDEX(AB_TF!C:C,MATCH(1,(AB_TF!F:F=A494)*(AB_TF!D:D=P494),0))</f>
        <v/>
      </c>
      <c r="R494" s="63">
        <f>COUNTIFS(AB_TF!F:F,"="&amp;A494,AB_TF!E:E,"Small*")</f>
        <v>0</v>
      </c>
      <c r="S494" s="63">
        <f>COUNTIFS(AB_TF!F:F,"="&amp;A494,AB_TF!E:E,"Medium*")</f>
        <v>0</v>
      </c>
      <c r="T494" s="63">
        <f>COUNTIFS(AB_TF!F:F,"="&amp;A494,AB_TF!E:E,"Large*")</f>
        <v>0</v>
      </c>
      <c r="U494" s="64">
        <f t="shared" si="1"/>
        <v>0</v>
      </c>
    </row>
    <row r="495">
      <c r="P495" s="62">
        <f t="array" ref="P495">MAX(IF($A495=AB_TF!F:F,AB_TF!D:D))</f>
        <v>0</v>
      </c>
      <c r="Q495" s="63" t="str">
        <f t="array" ref="Q495">INDEX(AB_TF!C:C,MATCH(1,(AB_TF!F:F=A495)*(AB_TF!D:D=P495),0))</f>
        <v/>
      </c>
      <c r="R495" s="63">
        <f>COUNTIFS(AB_TF!F:F,"="&amp;A495,AB_TF!E:E,"Small*")</f>
        <v>0</v>
      </c>
      <c r="S495" s="63">
        <f>COUNTIFS(AB_TF!F:F,"="&amp;A495,AB_TF!E:E,"Medium*")</f>
        <v>0</v>
      </c>
      <c r="T495" s="63">
        <f>COUNTIFS(AB_TF!F:F,"="&amp;A495,AB_TF!E:E,"Large*")</f>
        <v>0</v>
      </c>
      <c r="U495" s="64">
        <f t="shared" si="1"/>
        <v>0</v>
      </c>
    </row>
    <row r="496">
      <c r="P496" s="62">
        <f t="array" ref="P496">MAX(IF($A496=AB_TF!F:F,AB_TF!D:D))</f>
        <v>0</v>
      </c>
      <c r="Q496" s="63" t="str">
        <f t="array" ref="Q496">INDEX(AB_TF!C:C,MATCH(1,(AB_TF!F:F=A496)*(AB_TF!D:D=P496),0))</f>
        <v/>
      </c>
      <c r="R496" s="63">
        <f>COUNTIFS(AB_TF!F:F,"="&amp;A496,AB_TF!E:E,"Small*")</f>
        <v>0</v>
      </c>
      <c r="S496" s="63">
        <f>COUNTIFS(AB_TF!F:F,"="&amp;A496,AB_TF!E:E,"Medium*")</f>
        <v>0</v>
      </c>
      <c r="T496" s="63">
        <f>COUNTIFS(AB_TF!F:F,"="&amp;A496,AB_TF!E:E,"Large*")</f>
        <v>0</v>
      </c>
      <c r="U496" s="64">
        <f t="shared" si="1"/>
        <v>0</v>
      </c>
    </row>
    <row r="497">
      <c r="P497" s="62">
        <f t="array" ref="P497">MAX(IF($A497=AB_TF!F:F,AB_TF!D:D))</f>
        <v>0</v>
      </c>
      <c r="Q497" s="63" t="str">
        <f t="array" ref="Q497">INDEX(AB_TF!C:C,MATCH(1,(AB_TF!F:F=A497)*(AB_TF!D:D=P497),0))</f>
        <v/>
      </c>
      <c r="R497" s="63">
        <f>COUNTIFS(AB_TF!F:F,"="&amp;A497,AB_TF!E:E,"Small*")</f>
        <v>0</v>
      </c>
      <c r="S497" s="63">
        <f>COUNTIFS(AB_TF!F:F,"="&amp;A497,AB_TF!E:E,"Medium*")</f>
        <v>0</v>
      </c>
      <c r="T497" s="63">
        <f>COUNTIFS(AB_TF!F:F,"="&amp;A497,AB_TF!E:E,"Large*")</f>
        <v>0</v>
      </c>
      <c r="U497" s="64">
        <f t="shared" si="1"/>
        <v>0</v>
      </c>
    </row>
    <row r="498">
      <c r="P498" s="62">
        <f t="array" ref="P498">MAX(IF($A498=AB_TF!F:F,AB_TF!D:D))</f>
        <v>0</v>
      </c>
      <c r="Q498" s="63" t="str">
        <f t="array" ref="Q498">INDEX(AB_TF!C:C,MATCH(1,(AB_TF!F:F=A498)*(AB_TF!D:D=P498),0))</f>
        <v/>
      </c>
      <c r="R498" s="63">
        <f>COUNTIFS(AB_TF!F:F,"="&amp;A498,AB_TF!E:E,"Small*")</f>
        <v>0</v>
      </c>
      <c r="S498" s="63">
        <f>COUNTIFS(AB_TF!F:F,"="&amp;A498,AB_TF!E:E,"Medium*")</f>
        <v>0</v>
      </c>
      <c r="T498" s="63">
        <f>COUNTIFS(AB_TF!F:F,"="&amp;A498,AB_TF!E:E,"Large*")</f>
        <v>0</v>
      </c>
      <c r="U498" s="64">
        <f t="shared" si="1"/>
        <v>0</v>
      </c>
    </row>
    <row r="499">
      <c r="P499" s="62">
        <f t="array" ref="P499">MAX(IF($A499=AB_TF!F:F,AB_TF!D:D))</f>
        <v>0</v>
      </c>
      <c r="Q499" s="63" t="str">
        <f t="array" ref="Q499">INDEX(AB_TF!C:C,MATCH(1,(AB_TF!F:F=A499)*(AB_TF!D:D=P499),0))</f>
        <v/>
      </c>
      <c r="R499" s="63">
        <f>COUNTIFS(AB_TF!F:F,"="&amp;A499,AB_TF!E:E,"Small*")</f>
        <v>0</v>
      </c>
      <c r="S499" s="63">
        <f>COUNTIFS(AB_TF!F:F,"="&amp;A499,AB_TF!E:E,"Medium*")</f>
        <v>0</v>
      </c>
      <c r="T499" s="63">
        <f>COUNTIFS(AB_TF!F:F,"="&amp;A499,AB_TF!E:E,"Large*")</f>
        <v>0</v>
      </c>
      <c r="U499" s="64">
        <f t="shared" si="1"/>
        <v>0</v>
      </c>
    </row>
    <row r="500">
      <c r="P500" s="62">
        <f t="array" ref="P500">MAX(IF($A500=AB_TF!F:F,AB_TF!D:D))</f>
        <v>0</v>
      </c>
      <c r="Q500" s="63" t="str">
        <f t="array" ref="Q500">INDEX(AB_TF!C:C,MATCH(1,(AB_TF!F:F=A500)*(AB_TF!D:D=P500),0))</f>
        <v/>
      </c>
      <c r="R500" s="63">
        <f>COUNTIFS(AB_TF!F:F,"="&amp;A500,AB_TF!E:E,"Small*")</f>
        <v>0</v>
      </c>
      <c r="S500" s="63">
        <f>COUNTIFS(AB_TF!F:F,"="&amp;A500,AB_TF!E:E,"Medium*")</f>
        <v>0</v>
      </c>
      <c r="T500" s="63">
        <f>COUNTIFS(AB_TF!F:F,"="&amp;A500,AB_TF!E:E,"Large*")</f>
        <v>0</v>
      </c>
      <c r="U500" s="64">
        <f t="shared" si="1"/>
        <v>0</v>
      </c>
    </row>
    <row r="501">
      <c r="P501" s="62">
        <f t="array" ref="P501">MAX(IF($A501=AB_TF!F:F,AB_TF!D:D))</f>
        <v>0</v>
      </c>
      <c r="Q501" s="63" t="str">
        <f t="array" ref="Q501">INDEX(AB_TF!C:C,MATCH(1,(AB_TF!F:F=A501)*(AB_TF!D:D=P501),0))</f>
        <v/>
      </c>
      <c r="R501" s="63">
        <f>COUNTIFS(AB_TF!F:F,"="&amp;A501,AB_TF!E:E,"Small*")</f>
        <v>0</v>
      </c>
      <c r="S501" s="63">
        <f>COUNTIFS(AB_TF!F:F,"="&amp;A501,AB_TF!E:E,"Medium*")</f>
        <v>0</v>
      </c>
      <c r="T501" s="63">
        <f>COUNTIFS(AB_TF!F:F,"="&amp;A501,AB_TF!E:E,"Large*")</f>
        <v>0</v>
      </c>
      <c r="U501" s="64">
        <f t="shared" si="1"/>
        <v>0</v>
      </c>
    </row>
    <row r="502">
      <c r="P502" s="62">
        <f t="array" ref="P502">MAX(IF($A502=AB_TF!F:F,AB_TF!D:D))</f>
        <v>0</v>
      </c>
      <c r="Q502" s="63" t="str">
        <f t="array" ref="Q502">INDEX(AB_TF!C:C,MATCH(1,(AB_TF!F:F=A502)*(AB_TF!D:D=P502),0))</f>
        <v/>
      </c>
      <c r="R502" s="63">
        <f>COUNTIFS(AB_TF!F:F,"="&amp;A502,AB_TF!E:E,"Small*")</f>
        <v>0</v>
      </c>
      <c r="S502" s="63">
        <f>COUNTIFS(AB_TF!F:F,"="&amp;A502,AB_TF!E:E,"Medium*")</f>
        <v>0</v>
      </c>
      <c r="T502" s="63">
        <f>COUNTIFS(AB_TF!F:F,"="&amp;A502,AB_TF!E:E,"Large*")</f>
        <v>0</v>
      </c>
      <c r="U502" s="64">
        <f t="shared" si="1"/>
        <v>0</v>
      </c>
    </row>
    <row r="503">
      <c r="P503" s="62">
        <f t="array" ref="P503">MAX(IF($A503=AB_TF!F:F,AB_TF!D:D))</f>
        <v>0</v>
      </c>
      <c r="Q503" s="63" t="str">
        <f t="array" ref="Q503">INDEX(AB_TF!C:C,MATCH(1,(AB_TF!F:F=A503)*(AB_TF!D:D=P503),0))</f>
        <v/>
      </c>
      <c r="R503" s="63">
        <f>COUNTIFS(AB_TF!F:F,"="&amp;A503,AB_TF!E:E,"Small*")</f>
        <v>0</v>
      </c>
      <c r="S503" s="63">
        <f>COUNTIFS(AB_TF!F:F,"="&amp;A503,AB_TF!E:E,"Medium*")</f>
        <v>0</v>
      </c>
      <c r="T503" s="63">
        <f>COUNTIFS(AB_TF!F:F,"="&amp;A503,AB_TF!E:E,"Large*")</f>
        <v>0</v>
      </c>
      <c r="U503" s="64">
        <f t="shared" si="1"/>
        <v>0</v>
      </c>
    </row>
    <row r="504">
      <c r="P504" s="62">
        <f t="array" ref="P504">MAX(IF($A504=AB_TF!F:F,AB_TF!D:D))</f>
        <v>0</v>
      </c>
      <c r="Q504" s="63" t="str">
        <f t="array" ref="Q504">INDEX(AB_TF!C:C,MATCH(1,(AB_TF!F:F=A504)*(AB_TF!D:D=P504),0))</f>
        <v/>
      </c>
      <c r="R504" s="63">
        <f>COUNTIFS(AB_TF!F:F,"="&amp;A504,AB_TF!E:E,"Small*")</f>
        <v>0</v>
      </c>
      <c r="S504" s="63">
        <f>COUNTIFS(AB_TF!F:F,"="&amp;A504,AB_TF!E:E,"Medium*")</f>
        <v>0</v>
      </c>
      <c r="T504" s="63">
        <f>COUNTIFS(AB_TF!F:F,"="&amp;A504,AB_TF!E:E,"Large*")</f>
        <v>0</v>
      </c>
      <c r="U504" s="64">
        <f t="shared" si="1"/>
        <v>0</v>
      </c>
    </row>
    <row r="505">
      <c r="P505" s="62">
        <f t="array" ref="P505">MAX(IF($A505=AB_TF!F:F,AB_TF!D:D))</f>
        <v>0</v>
      </c>
      <c r="Q505" s="63" t="str">
        <f t="array" ref="Q505">INDEX(AB_TF!C:C,MATCH(1,(AB_TF!F:F=A505)*(AB_TF!D:D=P505),0))</f>
        <v/>
      </c>
      <c r="R505" s="63">
        <f>COUNTIFS(AB_TF!F:F,"="&amp;A505,AB_TF!E:E,"Small*")</f>
        <v>0</v>
      </c>
      <c r="S505" s="63">
        <f>COUNTIFS(AB_TF!F:F,"="&amp;A505,AB_TF!E:E,"Medium*")</f>
        <v>0</v>
      </c>
      <c r="T505" s="63">
        <f>COUNTIFS(AB_TF!F:F,"="&amp;A505,AB_TF!E:E,"Large*")</f>
        <v>0</v>
      </c>
      <c r="U505" s="64">
        <f t="shared" si="1"/>
        <v>0</v>
      </c>
    </row>
    <row r="506">
      <c r="P506" s="62">
        <f t="array" ref="P506">MAX(IF($A506=AB_TF!F:F,AB_TF!D:D))</f>
        <v>0</v>
      </c>
      <c r="Q506" s="63" t="str">
        <f t="array" ref="Q506">INDEX(AB_TF!C:C,MATCH(1,(AB_TF!F:F=A506)*(AB_TF!D:D=P506),0))</f>
        <v/>
      </c>
      <c r="R506" s="63">
        <f>COUNTIFS(AB_TF!F:F,"="&amp;A506,AB_TF!E:E,"Small*")</f>
        <v>0</v>
      </c>
      <c r="S506" s="63">
        <f>COUNTIFS(AB_TF!F:F,"="&amp;A506,AB_TF!E:E,"Medium*")</f>
        <v>0</v>
      </c>
      <c r="T506" s="63">
        <f>COUNTIFS(AB_TF!F:F,"="&amp;A506,AB_TF!E:E,"Large*")</f>
        <v>0</v>
      </c>
      <c r="U506" s="64">
        <f t="shared" si="1"/>
        <v>0</v>
      </c>
    </row>
    <row r="507">
      <c r="P507" s="62">
        <f t="array" ref="P507">MAX(IF($A507=AB_TF!F:F,AB_TF!D:D))</f>
        <v>0</v>
      </c>
      <c r="Q507" s="63" t="str">
        <f t="array" ref="Q507">INDEX(AB_TF!C:C,MATCH(1,(AB_TF!F:F=A507)*(AB_TF!D:D=P507),0))</f>
        <v/>
      </c>
      <c r="R507" s="63">
        <f>COUNTIFS(AB_TF!F:F,"="&amp;A507,AB_TF!E:E,"Small*")</f>
        <v>0</v>
      </c>
      <c r="S507" s="63">
        <f>COUNTIFS(AB_TF!F:F,"="&amp;A507,AB_TF!E:E,"Medium*")</f>
        <v>0</v>
      </c>
      <c r="T507" s="63">
        <f>COUNTIFS(AB_TF!F:F,"="&amp;A507,AB_TF!E:E,"Large*")</f>
        <v>0</v>
      </c>
      <c r="U507" s="64">
        <f t="shared" si="1"/>
        <v>0</v>
      </c>
    </row>
    <row r="508">
      <c r="P508" s="62">
        <f t="array" ref="P508">MAX(IF($A508=AB_TF!F:F,AB_TF!D:D))</f>
        <v>0</v>
      </c>
      <c r="Q508" s="63" t="str">
        <f t="array" ref="Q508">INDEX(AB_TF!C:C,MATCH(1,(AB_TF!F:F=A508)*(AB_TF!D:D=P508),0))</f>
        <v/>
      </c>
      <c r="R508" s="63">
        <f>COUNTIFS(AB_TF!F:F,"="&amp;A508,AB_TF!E:E,"Small*")</f>
        <v>0</v>
      </c>
      <c r="S508" s="63">
        <f>COUNTIFS(AB_TF!F:F,"="&amp;A508,AB_TF!E:E,"Medium*")</f>
        <v>0</v>
      </c>
      <c r="T508" s="63">
        <f>COUNTIFS(AB_TF!F:F,"="&amp;A508,AB_TF!E:E,"Large*")</f>
        <v>0</v>
      </c>
      <c r="U508" s="64">
        <f t="shared" si="1"/>
        <v>0</v>
      </c>
    </row>
    <row r="509">
      <c r="P509" s="62">
        <f t="array" ref="P509">MAX(IF($A509=AB_TF!F:F,AB_TF!D:D))</f>
        <v>0</v>
      </c>
      <c r="Q509" s="63" t="str">
        <f t="array" ref="Q509">INDEX(AB_TF!C:C,MATCH(1,(AB_TF!F:F=A509)*(AB_TF!D:D=P509),0))</f>
        <v/>
      </c>
      <c r="R509" s="63">
        <f>COUNTIFS(AB_TF!F:F,"="&amp;A509,AB_TF!E:E,"Small*")</f>
        <v>0</v>
      </c>
      <c r="S509" s="63">
        <f>COUNTIFS(AB_TF!F:F,"="&amp;A509,AB_TF!E:E,"Medium*")</f>
        <v>0</v>
      </c>
      <c r="T509" s="63">
        <f>COUNTIFS(AB_TF!F:F,"="&amp;A509,AB_TF!E:E,"Large*")</f>
        <v>0</v>
      </c>
      <c r="U509" s="64">
        <f t="shared" si="1"/>
        <v>0</v>
      </c>
    </row>
    <row r="510">
      <c r="P510" s="62">
        <f t="array" ref="P510">MAX(IF($A510=AB_TF!F:F,AB_TF!D:D))</f>
        <v>0</v>
      </c>
      <c r="Q510" s="63" t="str">
        <f t="array" ref="Q510">INDEX(AB_TF!C:C,MATCH(1,(AB_TF!F:F=A510)*(AB_TF!D:D=P510),0))</f>
        <v/>
      </c>
      <c r="R510" s="63">
        <f>COUNTIFS(AB_TF!F:F,"="&amp;A510,AB_TF!E:E,"Small*")</f>
        <v>0</v>
      </c>
      <c r="S510" s="63">
        <f>COUNTIFS(AB_TF!F:F,"="&amp;A510,AB_TF!E:E,"Medium*")</f>
        <v>0</v>
      </c>
      <c r="T510" s="63">
        <f>COUNTIFS(AB_TF!F:F,"="&amp;A510,AB_TF!E:E,"Large*")</f>
        <v>0</v>
      </c>
      <c r="U510" s="64">
        <f t="shared" si="1"/>
        <v>0</v>
      </c>
    </row>
    <row r="511">
      <c r="P511" s="62">
        <f t="array" ref="P511">MAX(IF($A511=AB_TF!F:F,AB_TF!D:D))</f>
        <v>0</v>
      </c>
      <c r="Q511" s="63" t="str">
        <f t="array" ref="Q511">INDEX(AB_TF!C:C,MATCH(1,(AB_TF!F:F=A511)*(AB_TF!D:D=P511),0))</f>
        <v/>
      </c>
      <c r="R511" s="63">
        <f>COUNTIFS(AB_TF!F:F,"="&amp;A511,AB_TF!E:E,"Small*")</f>
        <v>0</v>
      </c>
      <c r="S511" s="63">
        <f>COUNTIFS(AB_TF!F:F,"="&amp;A511,AB_TF!E:E,"Medium*")</f>
        <v>0</v>
      </c>
      <c r="T511" s="63">
        <f>COUNTIFS(AB_TF!F:F,"="&amp;A511,AB_TF!E:E,"Large*")</f>
        <v>0</v>
      </c>
      <c r="U511" s="64">
        <f t="shared" si="1"/>
        <v>0</v>
      </c>
    </row>
    <row r="512">
      <c r="P512" s="62">
        <f t="array" ref="P512">MAX(IF($A512=AB_TF!F:F,AB_TF!D:D))</f>
        <v>0</v>
      </c>
      <c r="Q512" s="63" t="str">
        <f t="array" ref="Q512">INDEX(AB_TF!C:C,MATCH(1,(AB_TF!F:F=A512)*(AB_TF!D:D=P512),0))</f>
        <v/>
      </c>
      <c r="R512" s="63">
        <f>COUNTIFS(AB_TF!F:F,"="&amp;A512,AB_TF!E:E,"Small*")</f>
        <v>0</v>
      </c>
      <c r="S512" s="63">
        <f>COUNTIFS(AB_TF!F:F,"="&amp;A512,AB_TF!E:E,"Medium*")</f>
        <v>0</v>
      </c>
      <c r="T512" s="63">
        <f>COUNTIFS(AB_TF!F:F,"="&amp;A512,AB_TF!E:E,"Large*")</f>
        <v>0</v>
      </c>
      <c r="U512" s="64">
        <f t="shared" si="1"/>
        <v>0</v>
      </c>
    </row>
    <row r="513">
      <c r="P513" s="62">
        <f t="array" ref="P513">MAX(IF($A513=AB_TF!F:F,AB_TF!D:D))</f>
        <v>0</v>
      </c>
      <c r="Q513" s="63" t="str">
        <f t="array" ref="Q513">INDEX(AB_TF!C:C,MATCH(1,(AB_TF!F:F=A513)*(AB_TF!D:D=P513),0))</f>
        <v/>
      </c>
      <c r="R513" s="63">
        <f>COUNTIFS(AB_TF!F:F,"="&amp;A513,AB_TF!E:E,"Small*")</f>
        <v>0</v>
      </c>
      <c r="S513" s="63">
        <f>COUNTIFS(AB_TF!F:F,"="&amp;A513,AB_TF!E:E,"Medium*")</f>
        <v>0</v>
      </c>
      <c r="T513" s="63">
        <f>COUNTIFS(AB_TF!F:F,"="&amp;A513,AB_TF!E:E,"Large*")</f>
        <v>0</v>
      </c>
      <c r="U513" s="64">
        <f t="shared" si="1"/>
        <v>0</v>
      </c>
    </row>
    <row r="514">
      <c r="P514" s="62">
        <f t="array" ref="P514">MAX(IF($A514=AB_TF!F:F,AB_TF!D:D))</f>
        <v>0</v>
      </c>
      <c r="Q514" s="63" t="str">
        <f t="array" ref="Q514">INDEX(AB_TF!C:C,MATCH(1,(AB_TF!F:F=A514)*(AB_TF!D:D=P514),0))</f>
        <v/>
      </c>
      <c r="R514" s="63">
        <f>COUNTIFS(AB_TF!F:F,"="&amp;A514,AB_TF!E:E,"Small*")</f>
        <v>0</v>
      </c>
      <c r="S514" s="63">
        <f>COUNTIFS(AB_TF!F:F,"="&amp;A514,AB_TF!E:E,"Medium*")</f>
        <v>0</v>
      </c>
      <c r="T514" s="63">
        <f>COUNTIFS(AB_TF!F:F,"="&amp;A514,AB_TF!E:E,"Large*")</f>
        <v>0</v>
      </c>
      <c r="U514" s="64">
        <f t="shared" si="1"/>
        <v>0</v>
      </c>
    </row>
    <row r="515">
      <c r="P515" s="62">
        <f t="array" ref="P515">MAX(IF($A515=AB_TF!F:F,AB_TF!D:D))</f>
        <v>0</v>
      </c>
      <c r="Q515" s="63" t="str">
        <f t="array" ref="Q515">INDEX(AB_TF!C:C,MATCH(1,(AB_TF!F:F=A515)*(AB_TF!D:D=P515),0))</f>
        <v/>
      </c>
      <c r="R515" s="63">
        <f>COUNTIFS(AB_TF!F:F,"="&amp;A515,AB_TF!E:E,"Small*")</f>
        <v>0</v>
      </c>
      <c r="S515" s="63">
        <f>COUNTIFS(AB_TF!F:F,"="&amp;A515,AB_TF!E:E,"Medium*")</f>
        <v>0</v>
      </c>
      <c r="T515" s="63">
        <f>COUNTIFS(AB_TF!F:F,"="&amp;A515,AB_TF!E:E,"Large*")</f>
        <v>0</v>
      </c>
      <c r="U515" s="64">
        <f t="shared" si="1"/>
        <v>0</v>
      </c>
    </row>
    <row r="516">
      <c r="P516" s="62">
        <f t="array" ref="P516">MAX(IF($A516=AB_TF!F:F,AB_TF!D:D))</f>
        <v>0</v>
      </c>
      <c r="Q516" s="63" t="str">
        <f t="array" ref="Q516">INDEX(AB_TF!C:C,MATCH(1,(AB_TF!F:F=A516)*(AB_TF!D:D=P516),0))</f>
        <v/>
      </c>
      <c r="R516" s="63">
        <f>COUNTIFS(AB_TF!F:F,"="&amp;A516,AB_TF!E:E,"Small*")</f>
        <v>0</v>
      </c>
      <c r="S516" s="63">
        <f>COUNTIFS(AB_TF!F:F,"="&amp;A516,AB_TF!E:E,"Medium*")</f>
        <v>0</v>
      </c>
      <c r="T516" s="63">
        <f>COUNTIFS(AB_TF!F:F,"="&amp;A516,AB_TF!E:E,"Large*")</f>
        <v>0</v>
      </c>
      <c r="U516" s="64">
        <f t="shared" si="1"/>
        <v>0</v>
      </c>
    </row>
    <row r="517">
      <c r="P517" s="62">
        <f t="array" ref="P517">MAX(IF($A517=AB_TF!F:F,AB_TF!D:D))</f>
        <v>0</v>
      </c>
      <c r="Q517" s="63" t="str">
        <f t="array" ref="Q517">INDEX(AB_TF!C:C,MATCH(1,(AB_TF!F:F=A517)*(AB_TF!D:D=P517),0))</f>
        <v/>
      </c>
      <c r="R517" s="63">
        <f>COUNTIFS(AB_TF!F:F,"="&amp;A517,AB_TF!E:E,"Small*")</f>
        <v>0</v>
      </c>
      <c r="S517" s="63">
        <f>COUNTIFS(AB_TF!F:F,"="&amp;A517,AB_TF!E:E,"Medium*")</f>
        <v>0</v>
      </c>
      <c r="T517" s="63">
        <f>COUNTIFS(AB_TF!F:F,"="&amp;A517,AB_TF!E:E,"Large*")</f>
        <v>0</v>
      </c>
      <c r="U517" s="64">
        <f t="shared" si="1"/>
        <v>0</v>
      </c>
    </row>
    <row r="518">
      <c r="P518" s="62">
        <f t="array" ref="P518">MAX(IF($A518=AB_TF!F:F,AB_TF!D:D))</f>
        <v>0</v>
      </c>
      <c r="Q518" s="63" t="str">
        <f t="array" ref="Q518">INDEX(AB_TF!C:C,MATCH(1,(AB_TF!F:F=A518)*(AB_TF!D:D=P518),0))</f>
        <v/>
      </c>
      <c r="R518" s="63">
        <f>COUNTIFS(AB_TF!F:F,"="&amp;A518,AB_TF!E:E,"Small*")</f>
        <v>0</v>
      </c>
      <c r="S518" s="63">
        <f>COUNTIFS(AB_TF!F:F,"="&amp;A518,AB_TF!E:E,"Medium*")</f>
        <v>0</v>
      </c>
      <c r="T518" s="63">
        <f>COUNTIFS(AB_TF!F:F,"="&amp;A518,AB_TF!E:E,"Large*")</f>
        <v>0</v>
      </c>
      <c r="U518" s="64">
        <f t="shared" si="1"/>
        <v>0</v>
      </c>
    </row>
    <row r="519">
      <c r="P519" s="62">
        <f t="array" ref="P519">MAX(IF($A519=AB_TF!F:F,AB_TF!D:D))</f>
        <v>0</v>
      </c>
      <c r="Q519" s="63" t="str">
        <f t="array" ref="Q519">INDEX(AB_TF!C:C,MATCH(1,(AB_TF!F:F=A519)*(AB_TF!D:D=P519),0))</f>
        <v/>
      </c>
      <c r="R519" s="63">
        <f>COUNTIFS(AB_TF!F:F,"="&amp;A519,AB_TF!E:E,"Small*")</f>
        <v>0</v>
      </c>
      <c r="S519" s="63">
        <f>COUNTIFS(AB_TF!F:F,"="&amp;A519,AB_TF!E:E,"Medium*")</f>
        <v>0</v>
      </c>
      <c r="T519" s="63">
        <f>COUNTIFS(AB_TF!F:F,"="&amp;A519,AB_TF!E:E,"Large*")</f>
        <v>0</v>
      </c>
      <c r="U519" s="64">
        <f t="shared" si="1"/>
        <v>0</v>
      </c>
    </row>
    <row r="520">
      <c r="P520" s="62">
        <f t="array" ref="P520">MAX(IF($A520=AB_TF!F:F,AB_TF!D:D))</f>
        <v>0</v>
      </c>
      <c r="Q520" s="63" t="str">
        <f t="array" ref="Q520">INDEX(AB_TF!C:C,MATCH(1,(AB_TF!F:F=A520)*(AB_TF!D:D=P520),0))</f>
        <v/>
      </c>
      <c r="R520" s="63">
        <f>COUNTIFS(AB_TF!F:F,"="&amp;A520,AB_TF!E:E,"Small*")</f>
        <v>0</v>
      </c>
      <c r="S520" s="63">
        <f>COUNTIFS(AB_TF!F:F,"="&amp;A520,AB_TF!E:E,"Medium*")</f>
        <v>0</v>
      </c>
      <c r="T520" s="63">
        <f>COUNTIFS(AB_TF!F:F,"="&amp;A520,AB_TF!E:E,"Large*")</f>
        <v>0</v>
      </c>
      <c r="U520" s="64">
        <f t="shared" si="1"/>
        <v>0</v>
      </c>
    </row>
    <row r="521">
      <c r="P521" s="62">
        <f t="array" ref="P521">MAX(IF($A521=AB_TF!F:F,AB_TF!D:D))</f>
        <v>0</v>
      </c>
      <c r="Q521" s="63" t="str">
        <f t="array" ref="Q521">INDEX(AB_TF!C:C,MATCH(1,(AB_TF!F:F=A521)*(AB_TF!D:D=P521),0))</f>
        <v/>
      </c>
      <c r="R521" s="63">
        <f>COUNTIFS(AB_TF!F:F,"="&amp;A521,AB_TF!E:E,"Small*")</f>
        <v>0</v>
      </c>
      <c r="S521" s="63">
        <f>COUNTIFS(AB_TF!F:F,"="&amp;A521,AB_TF!E:E,"Medium*")</f>
        <v>0</v>
      </c>
      <c r="T521" s="63">
        <f>COUNTIFS(AB_TF!F:F,"="&amp;A521,AB_TF!E:E,"Large*")</f>
        <v>0</v>
      </c>
      <c r="U521" s="64">
        <f t="shared" si="1"/>
        <v>0</v>
      </c>
    </row>
    <row r="522">
      <c r="P522" s="62">
        <f t="array" ref="P522">MAX(IF($A522=AB_TF!F:F,AB_TF!D:D))</f>
        <v>0</v>
      </c>
      <c r="Q522" s="63" t="str">
        <f t="array" ref="Q522">INDEX(AB_TF!C:C,MATCH(1,(AB_TF!F:F=A522)*(AB_TF!D:D=P522),0))</f>
        <v/>
      </c>
      <c r="R522" s="63">
        <f>COUNTIFS(AB_TF!F:F,"="&amp;A522,AB_TF!E:E,"Small*")</f>
        <v>0</v>
      </c>
      <c r="S522" s="63">
        <f>COUNTIFS(AB_TF!F:F,"="&amp;A522,AB_TF!E:E,"Medium*")</f>
        <v>0</v>
      </c>
      <c r="T522" s="63">
        <f>COUNTIFS(AB_TF!F:F,"="&amp;A522,AB_TF!E:E,"Large*")</f>
        <v>0</v>
      </c>
      <c r="U522" s="64">
        <f t="shared" si="1"/>
        <v>0</v>
      </c>
    </row>
    <row r="523">
      <c r="P523" s="62">
        <f t="array" ref="P523">MAX(IF($A523=AB_TF!F:F,AB_TF!D:D))</f>
        <v>0</v>
      </c>
      <c r="Q523" s="63" t="str">
        <f t="array" ref="Q523">INDEX(AB_TF!C:C,MATCH(1,(AB_TF!F:F=A523)*(AB_TF!D:D=P523),0))</f>
        <v/>
      </c>
      <c r="R523" s="63">
        <f>COUNTIFS(AB_TF!F:F,"="&amp;A523,AB_TF!E:E,"Small*")</f>
        <v>0</v>
      </c>
      <c r="S523" s="63">
        <f>COUNTIFS(AB_TF!F:F,"="&amp;A523,AB_TF!E:E,"Medium*")</f>
        <v>0</v>
      </c>
      <c r="T523" s="63">
        <f>COUNTIFS(AB_TF!F:F,"="&amp;A523,AB_TF!E:E,"Large*")</f>
        <v>0</v>
      </c>
      <c r="U523" s="64">
        <f t="shared" si="1"/>
        <v>0</v>
      </c>
    </row>
    <row r="524">
      <c r="P524" s="62">
        <f t="array" ref="P524">MAX(IF($A524=AB_TF!F:F,AB_TF!D:D))</f>
        <v>0</v>
      </c>
      <c r="Q524" s="63" t="str">
        <f t="array" ref="Q524">INDEX(AB_TF!C:C,MATCH(1,(AB_TF!F:F=A524)*(AB_TF!D:D=P524),0))</f>
        <v/>
      </c>
      <c r="R524" s="63">
        <f>COUNTIFS(AB_TF!F:F,"="&amp;A524,AB_TF!E:E,"Small*")</f>
        <v>0</v>
      </c>
      <c r="S524" s="63">
        <f>COUNTIFS(AB_TF!F:F,"="&amp;A524,AB_TF!E:E,"Medium*")</f>
        <v>0</v>
      </c>
      <c r="T524" s="63">
        <f>COUNTIFS(AB_TF!F:F,"="&amp;A524,AB_TF!E:E,"Large*")</f>
        <v>0</v>
      </c>
      <c r="U524" s="64">
        <f t="shared" si="1"/>
        <v>0</v>
      </c>
    </row>
    <row r="525">
      <c r="P525" s="62">
        <f t="array" ref="P525">MAX(IF($A525=AB_TF!F:F,AB_TF!D:D))</f>
        <v>0</v>
      </c>
      <c r="Q525" s="63" t="str">
        <f t="array" ref="Q525">INDEX(AB_TF!C:C,MATCH(1,(AB_TF!F:F=A525)*(AB_TF!D:D=P525),0))</f>
        <v/>
      </c>
      <c r="R525" s="63">
        <f>COUNTIFS(AB_TF!F:F,"="&amp;A525,AB_TF!E:E,"Small*")</f>
        <v>0</v>
      </c>
      <c r="S525" s="63">
        <f>COUNTIFS(AB_TF!F:F,"="&amp;A525,AB_TF!E:E,"Medium*")</f>
        <v>0</v>
      </c>
      <c r="T525" s="63">
        <f>COUNTIFS(AB_TF!F:F,"="&amp;A525,AB_TF!E:E,"Large*")</f>
        <v>0</v>
      </c>
      <c r="U525" s="64">
        <f t="shared" si="1"/>
        <v>0</v>
      </c>
    </row>
    <row r="526">
      <c r="P526" s="62">
        <f t="array" ref="P526">MAX(IF($A526=AB_TF!F:F,AB_TF!D:D))</f>
        <v>0</v>
      </c>
      <c r="Q526" s="63" t="str">
        <f t="array" ref="Q526">INDEX(AB_TF!C:C,MATCH(1,(AB_TF!F:F=A526)*(AB_TF!D:D=P526),0))</f>
        <v/>
      </c>
      <c r="R526" s="63">
        <f>COUNTIFS(AB_TF!F:F,"="&amp;A526,AB_TF!E:E,"Small*")</f>
        <v>0</v>
      </c>
      <c r="S526" s="63">
        <f>COUNTIFS(AB_TF!F:F,"="&amp;A526,AB_TF!E:E,"Medium*")</f>
        <v>0</v>
      </c>
      <c r="T526" s="63">
        <f>COUNTIFS(AB_TF!F:F,"="&amp;A526,AB_TF!E:E,"Large*")</f>
        <v>0</v>
      </c>
      <c r="U526" s="64">
        <f t="shared" si="1"/>
        <v>0</v>
      </c>
    </row>
    <row r="527">
      <c r="P527" s="62">
        <f t="array" ref="P527">MAX(IF($A527=AB_TF!F:F,AB_TF!D:D))</f>
        <v>0</v>
      </c>
      <c r="Q527" s="63" t="str">
        <f t="array" ref="Q527">INDEX(AB_TF!C:C,MATCH(1,(AB_TF!F:F=A527)*(AB_TF!D:D=P527),0))</f>
        <v/>
      </c>
      <c r="R527" s="63">
        <f>COUNTIFS(AB_TF!F:F,"="&amp;A527,AB_TF!E:E,"Small*")</f>
        <v>0</v>
      </c>
      <c r="S527" s="63">
        <f>COUNTIFS(AB_TF!F:F,"="&amp;A527,AB_TF!E:E,"Medium*")</f>
        <v>0</v>
      </c>
      <c r="T527" s="63">
        <f>COUNTIFS(AB_TF!F:F,"="&amp;A527,AB_TF!E:E,"Large*")</f>
        <v>0</v>
      </c>
      <c r="U527" s="64">
        <f t="shared" si="1"/>
        <v>0</v>
      </c>
    </row>
    <row r="528">
      <c r="P528" s="62">
        <f t="array" ref="P528">MAX(IF($A528=AB_TF!F:F,AB_TF!D:D))</f>
        <v>0</v>
      </c>
      <c r="Q528" s="63" t="str">
        <f t="array" ref="Q528">INDEX(AB_TF!C:C,MATCH(1,(AB_TF!F:F=A528)*(AB_TF!D:D=P528),0))</f>
        <v/>
      </c>
      <c r="R528" s="63">
        <f>COUNTIFS(AB_TF!F:F,"="&amp;A528,AB_TF!E:E,"Small*")</f>
        <v>0</v>
      </c>
      <c r="S528" s="63">
        <f>COUNTIFS(AB_TF!F:F,"="&amp;A528,AB_TF!E:E,"Medium*")</f>
        <v>0</v>
      </c>
      <c r="T528" s="63">
        <f>COUNTIFS(AB_TF!F:F,"="&amp;A528,AB_TF!E:E,"Large*")</f>
        <v>0</v>
      </c>
      <c r="U528" s="64">
        <f t="shared" si="1"/>
        <v>0</v>
      </c>
    </row>
    <row r="529">
      <c r="P529" s="62">
        <f t="array" ref="P529">MAX(IF($A529=AB_TF!F:F,AB_TF!D:D))</f>
        <v>0</v>
      </c>
      <c r="Q529" s="63" t="str">
        <f t="array" ref="Q529">INDEX(AB_TF!C:C,MATCH(1,(AB_TF!F:F=A529)*(AB_TF!D:D=P529),0))</f>
        <v/>
      </c>
      <c r="R529" s="63">
        <f>COUNTIFS(AB_TF!F:F,"="&amp;A529,AB_TF!E:E,"Small*")</f>
        <v>0</v>
      </c>
      <c r="S529" s="63">
        <f>COUNTIFS(AB_TF!F:F,"="&amp;A529,AB_TF!E:E,"Medium*")</f>
        <v>0</v>
      </c>
      <c r="T529" s="63">
        <f>COUNTIFS(AB_TF!F:F,"="&amp;A529,AB_TF!E:E,"Large*")</f>
        <v>0</v>
      </c>
      <c r="U529" s="64">
        <f t="shared" si="1"/>
        <v>0</v>
      </c>
    </row>
    <row r="530">
      <c r="P530" s="62">
        <f t="array" ref="P530">MAX(IF($A530=AB_TF!F:F,AB_TF!D:D))</f>
        <v>0</v>
      </c>
      <c r="Q530" s="63" t="str">
        <f t="array" ref="Q530">INDEX(AB_TF!C:C,MATCH(1,(AB_TF!F:F=A530)*(AB_TF!D:D=P530),0))</f>
        <v/>
      </c>
      <c r="R530" s="63">
        <f>COUNTIFS(AB_TF!F:F,"="&amp;A530,AB_TF!E:E,"Small*")</f>
        <v>0</v>
      </c>
      <c r="S530" s="63">
        <f>COUNTIFS(AB_TF!F:F,"="&amp;A530,AB_TF!E:E,"Medium*")</f>
        <v>0</v>
      </c>
      <c r="T530" s="63">
        <f>COUNTIFS(AB_TF!F:F,"="&amp;A530,AB_TF!E:E,"Large*")</f>
        <v>0</v>
      </c>
      <c r="U530" s="64">
        <f t="shared" si="1"/>
        <v>0</v>
      </c>
    </row>
    <row r="531">
      <c r="P531" s="62">
        <f t="array" ref="P531">MAX(IF($A531=AB_TF!F:F,AB_TF!D:D))</f>
        <v>0</v>
      </c>
      <c r="Q531" s="63" t="str">
        <f t="array" ref="Q531">INDEX(AB_TF!C:C,MATCH(1,(AB_TF!F:F=A531)*(AB_TF!D:D=P531),0))</f>
        <v/>
      </c>
      <c r="R531" s="63">
        <f>COUNTIFS(AB_TF!F:F,"="&amp;A531,AB_TF!E:E,"Small*")</f>
        <v>0</v>
      </c>
      <c r="S531" s="63">
        <f>COUNTIFS(AB_TF!F:F,"="&amp;A531,AB_TF!E:E,"Medium*")</f>
        <v>0</v>
      </c>
      <c r="T531" s="63">
        <f>COUNTIFS(AB_TF!F:F,"="&amp;A531,AB_TF!E:E,"Large*")</f>
        <v>0</v>
      </c>
      <c r="U531" s="64">
        <f t="shared" si="1"/>
        <v>0</v>
      </c>
    </row>
    <row r="532">
      <c r="P532" s="62">
        <f t="array" ref="P532">MAX(IF($A532=AB_TF!F:F,AB_TF!D:D))</f>
        <v>0</v>
      </c>
      <c r="Q532" s="63" t="str">
        <f t="array" ref="Q532">INDEX(AB_TF!C:C,MATCH(1,(AB_TF!F:F=A532)*(AB_TF!D:D=P532),0))</f>
        <v/>
      </c>
      <c r="R532" s="63">
        <f>COUNTIFS(AB_TF!F:F,"="&amp;A532,AB_TF!E:E,"Small*")</f>
        <v>0</v>
      </c>
      <c r="S532" s="63">
        <f>COUNTIFS(AB_TF!F:F,"="&amp;A532,AB_TF!E:E,"Medium*")</f>
        <v>0</v>
      </c>
      <c r="T532" s="63">
        <f>COUNTIFS(AB_TF!F:F,"="&amp;A532,AB_TF!E:E,"Large*")</f>
        <v>0</v>
      </c>
      <c r="U532" s="64">
        <f t="shared" si="1"/>
        <v>0</v>
      </c>
    </row>
    <row r="533">
      <c r="P533" s="62">
        <f t="array" ref="P533">MAX(IF($A533=AB_TF!F:F,AB_TF!D:D))</f>
        <v>0</v>
      </c>
      <c r="Q533" s="63" t="str">
        <f t="array" ref="Q533">INDEX(AB_TF!C:C,MATCH(1,(AB_TF!F:F=A533)*(AB_TF!D:D=P533),0))</f>
        <v/>
      </c>
      <c r="R533" s="63">
        <f>COUNTIFS(AB_TF!F:F,"="&amp;A533,AB_TF!E:E,"Small*")</f>
        <v>0</v>
      </c>
      <c r="S533" s="63">
        <f>COUNTIFS(AB_TF!F:F,"="&amp;A533,AB_TF!E:E,"Medium*")</f>
        <v>0</v>
      </c>
      <c r="T533" s="63">
        <f>COUNTIFS(AB_TF!F:F,"="&amp;A533,AB_TF!E:E,"Large*")</f>
        <v>0</v>
      </c>
      <c r="U533" s="64">
        <f t="shared" si="1"/>
        <v>0</v>
      </c>
    </row>
    <row r="534">
      <c r="P534" s="62">
        <f t="array" ref="P534">MAX(IF($A534=AB_TF!F:F,AB_TF!D:D))</f>
        <v>0</v>
      </c>
      <c r="Q534" s="63" t="str">
        <f t="array" ref="Q534">INDEX(AB_TF!C:C,MATCH(1,(AB_TF!F:F=A534)*(AB_TF!D:D=P534),0))</f>
        <v/>
      </c>
      <c r="R534" s="63">
        <f>COUNTIFS(AB_TF!F:F,"="&amp;A534,AB_TF!E:E,"Small*")</f>
        <v>0</v>
      </c>
      <c r="S534" s="63">
        <f>COUNTIFS(AB_TF!F:F,"="&amp;A534,AB_TF!E:E,"Medium*")</f>
        <v>0</v>
      </c>
      <c r="T534" s="63">
        <f>COUNTIFS(AB_TF!F:F,"="&amp;A534,AB_TF!E:E,"Large*")</f>
        <v>0</v>
      </c>
      <c r="U534" s="64">
        <f t="shared" si="1"/>
        <v>0</v>
      </c>
    </row>
    <row r="535">
      <c r="P535" s="62">
        <f t="array" ref="P535">MAX(IF($A535=AB_TF!F:F,AB_TF!D:D))</f>
        <v>0</v>
      </c>
      <c r="Q535" s="63" t="str">
        <f t="array" ref="Q535">INDEX(AB_TF!C:C,MATCH(1,(AB_TF!F:F=A535)*(AB_TF!D:D=P535),0))</f>
        <v/>
      </c>
      <c r="R535" s="63">
        <f>COUNTIFS(AB_TF!F:F,"="&amp;A535,AB_TF!E:E,"Small*")</f>
        <v>0</v>
      </c>
      <c r="S535" s="63">
        <f>COUNTIFS(AB_TF!F:F,"="&amp;A535,AB_TF!E:E,"Medium*")</f>
        <v>0</v>
      </c>
      <c r="T535" s="63">
        <f>COUNTIFS(AB_TF!F:F,"="&amp;A535,AB_TF!E:E,"Large*")</f>
        <v>0</v>
      </c>
      <c r="U535" s="64">
        <f t="shared" si="1"/>
        <v>0</v>
      </c>
    </row>
    <row r="536">
      <c r="P536" s="62">
        <f t="array" ref="P536">MAX(IF($A536=AB_TF!F:F,AB_TF!D:D))</f>
        <v>0</v>
      </c>
      <c r="Q536" s="63" t="str">
        <f t="array" ref="Q536">INDEX(AB_TF!C:C,MATCH(1,(AB_TF!F:F=A536)*(AB_TF!D:D=P536),0))</f>
        <v/>
      </c>
      <c r="R536" s="63">
        <f>COUNTIFS(AB_TF!F:F,"="&amp;A536,AB_TF!E:E,"Small*")</f>
        <v>0</v>
      </c>
      <c r="S536" s="63">
        <f>COUNTIFS(AB_TF!F:F,"="&amp;A536,AB_TF!E:E,"Medium*")</f>
        <v>0</v>
      </c>
      <c r="T536" s="63">
        <f>COUNTIFS(AB_TF!F:F,"="&amp;A536,AB_TF!E:E,"Large*")</f>
        <v>0</v>
      </c>
      <c r="U536" s="64">
        <f t="shared" si="1"/>
        <v>0</v>
      </c>
    </row>
    <row r="537">
      <c r="P537" s="62">
        <f t="array" ref="P537">MAX(IF($A537=AB_TF!F:F,AB_TF!D:D))</f>
        <v>0</v>
      </c>
      <c r="Q537" s="63" t="str">
        <f t="array" ref="Q537">INDEX(AB_TF!C:C,MATCH(1,(AB_TF!F:F=A537)*(AB_TF!D:D=P537),0))</f>
        <v/>
      </c>
      <c r="R537" s="63">
        <f>COUNTIFS(AB_TF!F:F,"="&amp;A537,AB_TF!E:E,"Small*")</f>
        <v>0</v>
      </c>
      <c r="S537" s="63">
        <f>COUNTIFS(AB_TF!F:F,"="&amp;A537,AB_TF!E:E,"Medium*")</f>
        <v>0</v>
      </c>
      <c r="T537" s="63">
        <f>COUNTIFS(AB_TF!F:F,"="&amp;A537,AB_TF!E:E,"Large*")</f>
        <v>0</v>
      </c>
      <c r="U537" s="64">
        <f t="shared" si="1"/>
        <v>0</v>
      </c>
    </row>
    <row r="538">
      <c r="P538" s="62">
        <f t="array" ref="P538">MAX(IF($A538=AB_TF!F:F,AB_TF!D:D))</f>
        <v>0</v>
      </c>
      <c r="Q538" s="63" t="str">
        <f t="array" ref="Q538">INDEX(AB_TF!C:C,MATCH(1,(AB_TF!F:F=A538)*(AB_TF!D:D=P538),0))</f>
        <v/>
      </c>
      <c r="R538" s="63">
        <f>COUNTIFS(AB_TF!F:F,"="&amp;A538,AB_TF!E:E,"Small*")</f>
        <v>0</v>
      </c>
      <c r="S538" s="63">
        <f>COUNTIFS(AB_TF!F:F,"="&amp;A538,AB_TF!E:E,"Medium*")</f>
        <v>0</v>
      </c>
      <c r="T538" s="63">
        <f>COUNTIFS(AB_TF!F:F,"="&amp;A538,AB_TF!E:E,"Large*")</f>
        <v>0</v>
      </c>
      <c r="U538" s="64">
        <f t="shared" si="1"/>
        <v>0</v>
      </c>
    </row>
    <row r="539">
      <c r="P539" s="62">
        <f t="array" ref="P539">MAX(IF($A539=AB_TF!F:F,AB_TF!D:D))</f>
        <v>0</v>
      </c>
      <c r="Q539" s="63" t="str">
        <f t="array" ref="Q539">INDEX(AB_TF!C:C,MATCH(1,(AB_TF!F:F=A539)*(AB_TF!D:D=P539),0))</f>
        <v/>
      </c>
      <c r="R539" s="63">
        <f>COUNTIFS(AB_TF!F:F,"="&amp;A539,AB_TF!E:E,"Small*")</f>
        <v>0</v>
      </c>
      <c r="S539" s="63">
        <f>COUNTIFS(AB_TF!F:F,"="&amp;A539,AB_TF!E:E,"Medium*")</f>
        <v>0</v>
      </c>
      <c r="T539" s="63">
        <f>COUNTIFS(AB_TF!F:F,"="&amp;A539,AB_TF!E:E,"Large*")</f>
        <v>0</v>
      </c>
      <c r="U539" s="64">
        <f t="shared" si="1"/>
        <v>0</v>
      </c>
    </row>
    <row r="540">
      <c r="P540" s="62">
        <f t="array" ref="P540">MAX(IF($A540=AB_TF!F:F,AB_TF!D:D))</f>
        <v>0</v>
      </c>
      <c r="Q540" s="63" t="str">
        <f t="array" ref="Q540">INDEX(AB_TF!C:C,MATCH(1,(AB_TF!F:F=A540)*(AB_TF!D:D=P540),0))</f>
        <v/>
      </c>
      <c r="R540" s="63">
        <f>COUNTIFS(AB_TF!F:F,"="&amp;A540,AB_TF!E:E,"Small*")</f>
        <v>0</v>
      </c>
      <c r="S540" s="63">
        <f>COUNTIFS(AB_TF!F:F,"="&amp;A540,AB_TF!E:E,"Medium*")</f>
        <v>0</v>
      </c>
      <c r="T540" s="63">
        <f>COUNTIFS(AB_TF!F:F,"="&amp;A540,AB_TF!E:E,"Large*")</f>
        <v>0</v>
      </c>
      <c r="U540" s="64">
        <f t="shared" si="1"/>
        <v>0</v>
      </c>
    </row>
    <row r="541">
      <c r="P541" s="62">
        <f t="array" ref="P541">MAX(IF($A541=AB_TF!F:F,AB_TF!D:D))</f>
        <v>0</v>
      </c>
      <c r="Q541" s="63" t="str">
        <f t="array" ref="Q541">INDEX(AB_TF!C:C,MATCH(1,(AB_TF!F:F=A541)*(AB_TF!D:D=P541),0))</f>
        <v/>
      </c>
      <c r="R541" s="63">
        <f>COUNTIFS(AB_TF!F:F,"="&amp;A541,AB_TF!E:E,"Small*")</f>
        <v>0</v>
      </c>
      <c r="S541" s="63">
        <f>COUNTIFS(AB_TF!F:F,"="&amp;A541,AB_TF!E:E,"Medium*")</f>
        <v>0</v>
      </c>
      <c r="T541" s="63">
        <f>COUNTIFS(AB_TF!F:F,"="&amp;A541,AB_TF!E:E,"Large*")</f>
        <v>0</v>
      </c>
      <c r="U541" s="64">
        <f t="shared" si="1"/>
        <v>0</v>
      </c>
    </row>
    <row r="542">
      <c r="P542" s="62">
        <f t="array" ref="P542">MAX(IF($A542=AB_TF!F:F,AB_TF!D:D))</f>
        <v>0</v>
      </c>
      <c r="Q542" s="63" t="str">
        <f t="array" ref="Q542">INDEX(AB_TF!C:C,MATCH(1,(AB_TF!F:F=A542)*(AB_TF!D:D=P542),0))</f>
        <v/>
      </c>
      <c r="R542" s="63">
        <f>COUNTIFS(AB_TF!F:F,"="&amp;A542,AB_TF!E:E,"Small*")</f>
        <v>0</v>
      </c>
      <c r="S542" s="63">
        <f>COUNTIFS(AB_TF!F:F,"="&amp;A542,AB_TF!E:E,"Medium*")</f>
        <v>0</v>
      </c>
      <c r="T542" s="63">
        <f>COUNTIFS(AB_TF!F:F,"="&amp;A542,AB_TF!E:E,"Large*")</f>
        <v>0</v>
      </c>
      <c r="U542" s="64">
        <f t="shared" si="1"/>
        <v>0</v>
      </c>
    </row>
    <row r="543">
      <c r="P543" s="62">
        <f t="array" ref="P543">MAX(IF($A543=AB_TF!F:F,AB_TF!D:D))</f>
        <v>0</v>
      </c>
      <c r="Q543" s="63" t="str">
        <f t="array" ref="Q543">INDEX(AB_TF!C:C,MATCH(1,(AB_TF!F:F=A543)*(AB_TF!D:D=P543),0))</f>
        <v/>
      </c>
      <c r="R543" s="63">
        <f>COUNTIFS(AB_TF!F:F,"="&amp;A543,AB_TF!E:E,"Small*")</f>
        <v>0</v>
      </c>
      <c r="S543" s="63">
        <f>COUNTIFS(AB_TF!F:F,"="&amp;A543,AB_TF!E:E,"Medium*")</f>
        <v>0</v>
      </c>
      <c r="T543" s="63">
        <f>COUNTIFS(AB_TF!F:F,"="&amp;A543,AB_TF!E:E,"Large*")</f>
        <v>0</v>
      </c>
      <c r="U543" s="64">
        <f t="shared" si="1"/>
        <v>0</v>
      </c>
    </row>
    <row r="544">
      <c r="P544" s="62">
        <f t="array" ref="P544">MAX(IF($A544=AB_TF!F:F,AB_TF!D:D))</f>
        <v>0</v>
      </c>
      <c r="Q544" s="63" t="str">
        <f t="array" ref="Q544">INDEX(AB_TF!C:C,MATCH(1,(AB_TF!F:F=A544)*(AB_TF!D:D=P544),0))</f>
        <v/>
      </c>
      <c r="R544" s="63">
        <f>COUNTIFS(AB_TF!F:F,"="&amp;A544,AB_TF!E:E,"Small*")</f>
        <v>0</v>
      </c>
      <c r="S544" s="63">
        <f>COUNTIFS(AB_TF!F:F,"="&amp;A544,AB_TF!E:E,"Medium*")</f>
        <v>0</v>
      </c>
      <c r="T544" s="63">
        <f>COUNTIFS(AB_TF!F:F,"="&amp;A544,AB_TF!E:E,"Large*")</f>
        <v>0</v>
      </c>
      <c r="U544" s="64">
        <f t="shared" si="1"/>
        <v>0</v>
      </c>
    </row>
    <row r="545">
      <c r="P545" s="62">
        <f t="array" ref="P545">MAX(IF($A545=AB_TF!F:F,AB_TF!D:D))</f>
        <v>0</v>
      </c>
      <c r="Q545" s="63" t="str">
        <f t="array" ref="Q545">INDEX(AB_TF!C:C,MATCH(1,(AB_TF!F:F=A545)*(AB_TF!D:D=P545),0))</f>
        <v/>
      </c>
      <c r="R545" s="63">
        <f>COUNTIFS(AB_TF!F:F,"="&amp;A545,AB_TF!E:E,"Small*")</f>
        <v>0</v>
      </c>
      <c r="S545" s="63">
        <f>COUNTIFS(AB_TF!F:F,"="&amp;A545,AB_TF!E:E,"Medium*")</f>
        <v>0</v>
      </c>
      <c r="T545" s="63">
        <f>COUNTIFS(AB_TF!F:F,"="&amp;A545,AB_TF!E:E,"Large*")</f>
        <v>0</v>
      </c>
      <c r="U545" s="64">
        <f t="shared" si="1"/>
        <v>0</v>
      </c>
    </row>
    <row r="546">
      <c r="P546" s="62">
        <f t="array" ref="P546">MAX(IF($A546=AB_TF!F:F,AB_TF!D:D))</f>
        <v>0</v>
      </c>
      <c r="Q546" s="63" t="str">
        <f t="array" ref="Q546">INDEX(AB_TF!C:C,MATCH(1,(AB_TF!F:F=A546)*(AB_TF!D:D=P546),0))</f>
        <v/>
      </c>
      <c r="R546" s="63">
        <f>COUNTIFS(AB_TF!F:F,"="&amp;A546,AB_TF!E:E,"Small*")</f>
        <v>0</v>
      </c>
      <c r="S546" s="63">
        <f>COUNTIFS(AB_TF!F:F,"="&amp;A546,AB_TF!E:E,"Medium*")</f>
        <v>0</v>
      </c>
      <c r="T546" s="63">
        <f>COUNTIFS(AB_TF!F:F,"="&amp;A546,AB_TF!E:E,"Large*")</f>
        <v>0</v>
      </c>
      <c r="U546" s="64">
        <f t="shared" si="1"/>
        <v>0</v>
      </c>
    </row>
    <row r="547">
      <c r="P547" s="62">
        <f t="array" ref="P547">MAX(IF($A547=AB_TF!F:F,AB_TF!D:D))</f>
        <v>0</v>
      </c>
      <c r="Q547" s="63" t="str">
        <f t="array" ref="Q547">INDEX(AB_TF!C:C,MATCH(1,(AB_TF!F:F=A547)*(AB_TF!D:D=P547),0))</f>
        <v/>
      </c>
      <c r="R547" s="63">
        <f>COUNTIFS(AB_TF!F:F,"="&amp;A547,AB_TF!E:E,"Small*")</f>
        <v>0</v>
      </c>
      <c r="S547" s="63">
        <f>COUNTIFS(AB_TF!F:F,"="&amp;A547,AB_TF!E:E,"Medium*")</f>
        <v>0</v>
      </c>
      <c r="T547" s="63">
        <f>COUNTIFS(AB_TF!F:F,"="&amp;A547,AB_TF!E:E,"Large*")</f>
        <v>0</v>
      </c>
      <c r="U547" s="64">
        <f t="shared" si="1"/>
        <v>0</v>
      </c>
    </row>
    <row r="548">
      <c r="P548" s="62">
        <f t="array" ref="P548">MAX(IF($A548=AB_TF!F:F,AB_TF!D:D))</f>
        <v>0</v>
      </c>
      <c r="Q548" s="63" t="str">
        <f t="array" ref="Q548">INDEX(AB_TF!C:C,MATCH(1,(AB_TF!F:F=A548)*(AB_TF!D:D=P548),0))</f>
        <v/>
      </c>
      <c r="R548" s="63">
        <f>COUNTIFS(AB_TF!F:F,"="&amp;A548,AB_TF!E:E,"Small*")</f>
        <v>0</v>
      </c>
      <c r="S548" s="63">
        <f>COUNTIFS(AB_TF!F:F,"="&amp;A548,AB_TF!E:E,"Medium*")</f>
        <v>0</v>
      </c>
      <c r="T548" s="63">
        <f>COUNTIFS(AB_TF!F:F,"="&amp;A548,AB_TF!E:E,"Large*")</f>
        <v>0</v>
      </c>
      <c r="U548" s="64">
        <f t="shared" si="1"/>
        <v>0</v>
      </c>
    </row>
    <row r="549">
      <c r="P549" s="62">
        <f t="array" ref="P549">MAX(IF($A549=AB_TF!F:F,AB_TF!D:D))</f>
        <v>0</v>
      </c>
      <c r="Q549" s="63" t="str">
        <f t="array" ref="Q549">INDEX(AB_TF!C:C,MATCH(1,(AB_TF!F:F=A549)*(AB_TF!D:D=P549),0))</f>
        <v/>
      </c>
      <c r="R549" s="63">
        <f>COUNTIFS(AB_TF!F:F,"="&amp;A549,AB_TF!E:E,"Small*")</f>
        <v>0</v>
      </c>
      <c r="S549" s="63">
        <f>COUNTIFS(AB_TF!F:F,"="&amp;A549,AB_TF!E:E,"Medium*")</f>
        <v>0</v>
      </c>
      <c r="T549" s="63">
        <f>COUNTIFS(AB_TF!F:F,"="&amp;A549,AB_TF!E:E,"Large*")</f>
        <v>0</v>
      </c>
      <c r="U549" s="64">
        <f t="shared" si="1"/>
        <v>0</v>
      </c>
    </row>
    <row r="550">
      <c r="P550" s="62">
        <f t="array" ref="P550">MAX(IF($A550=AB_TF!F:F,AB_TF!D:D))</f>
        <v>0</v>
      </c>
      <c r="Q550" s="63" t="str">
        <f t="array" ref="Q550">INDEX(AB_TF!C:C,MATCH(1,(AB_TF!F:F=A550)*(AB_TF!D:D=P550),0))</f>
        <v/>
      </c>
      <c r="R550" s="63">
        <f>COUNTIFS(AB_TF!F:F,"="&amp;A550,AB_TF!E:E,"Small*")</f>
        <v>0</v>
      </c>
      <c r="S550" s="63">
        <f>COUNTIFS(AB_TF!F:F,"="&amp;A550,AB_TF!E:E,"Medium*")</f>
        <v>0</v>
      </c>
      <c r="T550" s="63">
        <f>COUNTIFS(AB_TF!F:F,"="&amp;A550,AB_TF!E:E,"Large*")</f>
        <v>0</v>
      </c>
      <c r="U550" s="64">
        <f t="shared" si="1"/>
        <v>0</v>
      </c>
    </row>
    <row r="551">
      <c r="P551" s="62">
        <f t="array" ref="P551">MAX(IF($A551=AB_TF!F:F,AB_TF!D:D))</f>
        <v>0</v>
      </c>
      <c r="Q551" s="63" t="str">
        <f t="array" ref="Q551">INDEX(AB_TF!C:C,MATCH(1,(AB_TF!F:F=A551)*(AB_TF!D:D=P551),0))</f>
        <v/>
      </c>
      <c r="R551" s="63">
        <f>COUNTIFS(AB_TF!F:F,"="&amp;A551,AB_TF!E:E,"Small*")</f>
        <v>0</v>
      </c>
      <c r="S551" s="63">
        <f>COUNTIFS(AB_TF!F:F,"="&amp;A551,AB_TF!E:E,"Medium*")</f>
        <v>0</v>
      </c>
      <c r="T551" s="63">
        <f>COUNTIFS(AB_TF!F:F,"="&amp;A551,AB_TF!E:E,"Large*")</f>
        <v>0</v>
      </c>
      <c r="U551" s="64">
        <f t="shared" si="1"/>
        <v>0</v>
      </c>
    </row>
    <row r="552">
      <c r="P552" s="62">
        <f t="array" ref="P552">MAX(IF($A552=AB_TF!F:F,AB_TF!D:D))</f>
        <v>0</v>
      </c>
      <c r="Q552" s="63" t="str">
        <f t="array" ref="Q552">INDEX(AB_TF!C:C,MATCH(1,(AB_TF!F:F=A552)*(AB_TF!D:D=P552),0))</f>
        <v/>
      </c>
      <c r="R552" s="63">
        <f>COUNTIFS(AB_TF!F:F,"="&amp;A552,AB_TF!E:E,"Small*")</f>
        <v>0</v>
      </c>
      <c r="S552" s="63">
        <f>COUNTIFS(AB_TF!F:F,"="&amp;A552,AB_TF!E:E,"Medium*")</f>
        <v>0</v>
      </c>
      <c r="T552" s="63">
        <f>COUNTIFS(AB_TF!F:F,"="&amp;A552,AB_TF!E:E,"Large*")</f>
        <v>0</v>
      </c>
      <c r="U552" s="64">
        <f t="shared" si="1"/>
        <v>0</v>
      </c>
    </row>
    <row r="553">
      <c r="P553" s="62">
        <f t="array" ref="P553">MAX(IF($A553=AB_TF!F:F,AB_TF!D:D))</f>
        <v>0</v>
      </c>
      <c r="Q553" s="63" t="str">
        <f t="array" ref="Q553">INDEX(AB_TF!C:C,MATCH(1,(AB_TF!F:F=A553)*(AB_TF!D:D=P553),0))</f>
        <v/>
      </c>
      <c r="R553" s="63">
        <f>COUNTIFS(AB_TF!F:F,"="&amp;A553,AB_TF!E:E,"Small*")</f>
        <v>0</v>
      </c>
      <c r="S553" s="63">
        <f>COUNTIFS(AB_TF!F:F,"="&amp;A553,AB_TF!E:E,"Medium*")</f>
        <v>0</v>
      </c>
      <c r="T553" s="63">
        <f>COUNTIFS(AB_TF!F:F,"="&amp;A553,AB_TF!E:E,"Large*")</f>
        <v>0</v>
      </c>
      <c r="U553" s="64">
        <f t="shared" si="1"/>
        <v>0</v>
      </c>
    </row>
    <row r="554">
      <c r="P554" s="62">
        <f t="array" ref="P554">MAX(IF($A554=AB_TF!F:F,AB_TF!D:D))</f>
        <v>0</v>
      </c>
      <c r="Q554" s="63" t="str">
        <f t="array" ref="Q554">INDEX(AB_TF!C:C,MATCH(1,(AB_TF!F:F=A554)*(AB_TF!D:D=P554),0))</f>
        <v/>
      </c>
      <c r="R554" s="63">
        <f>COUNTIFS(AB_TF!F:F,"="&amp;A554,AB_TF!E:E,"Small*")</f>
        <v>0</v>
      </c>
      <c r="S554" s="63">
        <f>COUNTIFS(AB_TF!F:F,"="&amp;A554,AB_TF!E:E,"Medium*")</f>
        <v>0</v>
      </c>
      <c r="T554" s="63">
        <f>COUNTIFS(AB_TF!F:F,"="&amp;A554,AB_TF!E:E,"Large*")</f>
        <v>0</v>
      </c>
      <c r="U554" s="64">
        <f t="shared" si="1"/>
        <v>0</v>
      </c>
    </row>
    <row r="555">
      <c r="P555" s="62">
        <f t="array" ref="P555">MAX(IF($A555=AB_TF!F:F,AB_TF!D:D))</f>
        <v>0</v>
      </c>
      <c r="Q555" s="63" t="str">
        <f t="array" ref="Q555">INDEX(AB_TF!C:C,MATCH(1,(AB_TF!F:F=A555)*(AB_TF!D:D=P555),0))</f>
        <v/>
      </c>
      <c r="R555" s="63">
        <f>COUNTIFS(AB_TF!F:F,"="&amp;A555,AB_TF!E:E,"Small*")</f>
        <v>0</v>
      </c>
      <c r="S555" s="63">
        <f>COUNTIFS(AB_TF!F:F,"="&amp;A555,AB_TF!E:E,"Medium*")</f>
        <v>0</v>
      </c>
      <c r="T555" s="63">
        <f>COUNTIFS(AB_TF!F:F,"="&amp;A555,AB_TF!E:E,"Large*")</f>
        <v>0</v>
      </c>
      <c r="U555" s="64">
        <f t="shared" si="1"/>
        <v>0</v>
      </c>
    </row>
    <row r="556">
      <c r="P556" s="62">
        <f t="array" ref="P556">MAX(IF($A556=AB_TF!F:F,AB_TF!D:D))</f>
        <v>0</v>
      </c>
      <c r="Q556" s="63" t="str">
        <f t="array" ref="Q556">INDEX(AB_TF!C:C,MATCH(1,(AB_TF!F:F=A556)*(AB_TF!D:D=P556),0))</f>
        <v/>
      </c>
      <c r="R556" s="63">
        <f>COUNTIFS(AB_TF!F:F,"="&amp;A556,AB_TF!E:E,"Small*")</f>
        <v>0</v>
      </c>
      <c r="S556" s="63">
        <f>COUNTIFS(AB_TF!F:F,"="&amp;A556,AB_TF!E:E,"Medium*")</f>
        <v>0</v>
      </c>
      <c r="T556" s="63">
        <f>COUNTIFS(AB_TF!F:F,"="&amp;A556,AB_TF!E:E,"Large*")</f>
        <v>0</v>
      </c>
      <c r="U556" s="64">
        <f t="shared" si="1"/>
        <v>0</v>
      </c>
    </row>
    <row r="557">
      <c r="P557" s="62">
        <f t="array" ref="P557">MAX(IF($A557=AB_TF!F:F,AB_TF!D:D))</f>
        <v>0</v>
      </c>
      <c r="Q557" s="63" t="str">
        <f t="array" ref="Q557">INDEX(AB_TF!C:C,MATCH(1,(AB_TF!F:F=A557)*(AB_TF!D:D=P557),0))</f>
        <v/>
      </c>
      <c r="R557" s="63">
        <f>COUNTIFS(AB_TF!F:F,"="&amp;A557,AB_TF!E:E,"Small*")</f>
        <v>0</v>
      </c>
      <c r="S557" s="63">
        <f>COUNTIFS(AB_TF!F:F,"="&amp;A557,AB_TF!E:E,"Medium*")</f>
        <v>0</v>
      </c>
      <c r="T557" s="63">
        <f>COUNTIFS(AB_TF!F:F,"="&amp;A557,AB_TF!E:E,"Large*")</f>
        <v>0</v>
      </c>
      <c r="U557" s="64">
        <f t="shared" si="1"/>
        <v>0</v>
      </c>
    </row>
    <row r="558">
      <c r="P558" s="62">
        <f t="array" ref="P558">MAX(IF($A558=AB_TF!F:F,AB_TF!D:D))</f>
        <v>0</v>
      </c>
      <c r="Q558" s="63" t="str">
        <f t="array" ref="Q558">INDEX(AB_TF!C:C,MATCH(1,(AB_TF!F:F=A558)*(AB_TF!D:D=P558),0))</f>
        <v/>
      </c>
      <c r="R558" s="63">
        <f>COUNTIFS(AB_TF!F:F,"="&amp;A558,AB_TF!E:E,"Small*")</f>
        <v>0</v>
      </c>
      <c r="S558" s="63">
        <f>COUNTIFS(AB_TF!F:F,"="&amp;A558,AB_TF!E:E,"Medium*")</f>
        <v>0</v>
      </c>
      <c r="T558" s="63">
        <f>COUNTIFS(AB_TF!F:F,"="&amp;A558,AB_TF!E:E,"Large*")</f>
        <v>0</v>
      </c>
      <c r="U558" s="64">
        <f t="shared" si="1"/>
        <v>0</v>
      </c>
    </row>
    <row r="559">
      <c r="P559" s="62">
        <f t="array" ref="P559">MAX(IF($A559=AB_TF!F:F,AB_TF!D:D))</f>
        <v>0</v>
      </c>
      <c r="Q559" s="63" t="str">
        <f t="array" ref="Q559">INDEX(AB_TF!C:C,MATCH(1,(AB_TF!F:F=A559)*(AB_TF!D:D=P559),0))</f>
        <v/>
      </c>
      <c r="R559" s="63">
        <f>COUNTIFS(AB_TF!F:F,"="&amp;A559,AB_TF!E:E,"Small*")</f>
        <v>0</v>
      </c>
      <c r="S559" s="63">
        <f>COUNTIFS(AB_TF!F:F,"="&amp;A559,AB_TF!E:E,"Medium*")</f>
        <v>0</v>
      </c>
      <c r="T559" s="63">
        <f>COUNTIFS(AB_TF!F:F,"="&amp;A559,AB_TF!E:E,"Large*")</f>
        <v>0</v>
      </c>
      <c r="U559" s="64">
        <f t="shared" si="1"/>
        <v>0</v>
      </c>
    </row>
    <row r="560">
      <c r="P560" s="62">
        <f t="array" ref="P560">MAX(IF($A560=AB_TF!F:F,AB_TF!D:D))</f>
        <v>0</v>
      </c>
      <c r="Q560" s="63" t="str">
        <f t="array" ref="Q560">INDEX(AB_TF!C:C,MATCH(1,(AB_TF!F:F=A560)*(AB_TF!D:D=P560),0))</f>
        <v/>
      </c>
      <c r="R560" s="63">
        <f>COUNTIFS(AB_TF!F:F,"="&amp;A560,AB_TF!E:E,"Small*")</f>
        <v>0</v>
      </c>
      <c r="S560" s="63">
        <f>COUNTIFS(AB_TF!F:F,"="&amp;A560,AB_TF!E:E,"Medium*")</f>
        <v>0</v>
      </c>
      <c r="T560" s="63">
        <f>COUNTIFS(AB_TF!F:F,"="&amp;A560,AB_TF!E:E,"Large*")</f>
        <v>0</v>
      </c>
      <c r="U560" s="64">
        <f t="shared" si="1"/>
        <v>0</v>
      </c>
    </row>
    <row r="561">
      <c r="P561" s="62">
        <f t="array" ref="P561">MAX(IF($A561=AB_TF!F:F,AB_TF!D:D))</f>
        <v>0</v>
      </c>
      <c r="Q561" s="63" t="str">
        <f t="array" ref="Q561">INDEX(AB_TF!C:C,MATCH(1,(AB_TF!F:F=A561)*(AB_TF!D:D=P561),0))</f>
        <v/>
      </c>
      <c r="R561" s="63">
        <f>COUNTIFS(AB_TF!F:F,"="&amp;A561,AB_TF!E:E,"Small*")</f>
        <v>0</v>
      </c>
      <c r="S561" s="63">
        <f>COUNTIFS(AB_TF!F:F,"="&amp;A561,AB_TF!E:E,"Medium*")</f>
        <v>0</v>
      </c>
      <c r="T561" s="63">
        <f>COUNTIFS(AB_TF!F:F,"="&amp;A561,AB_TF!E:E,"Large*")</f>
        <v>0</v>
      </c>
      <c r="U561" s="64">
        <f t="shared" si="1"/>
        <v>0</v>
      </c>
    </row>
    <row r="562">
      <c r="P562" s="62">
        <f t="array" ref="P562">MAX(IF($A562=AB_TF!F:F,AB_TF!D:D))</f>
        <v>0</v>
      </c>
      <c r="Q562" s="63" t="str">
        <f t="array" ref="Q562">INDEX(AB_TF!C:C,MATCH(1,(AB_TF!F:F=A562)*(AB_TF!D:D=P562),0))</f>
        <v/>
      </c>
      <c r="R562" s="63">
        <f>COUNTIFS(AB_TF!F:F,"="&amp;A562,AB_TF!E:E,"Small*")</f>
        <v>0</v>
      </c>
      <c r="S562" s="63">
        <f>COUNTIFS(AB_TF!F:F,"="&amp;A562,AB_TF!E:E,"Medium*")</f>
        <v>0</v>
      </c>
      <c r="T562" s="63">
        <f>COUNTIFS(AB_TF!F:F,"="&amp;A562,AB_TF!E:E,"Large*")</f>
        <v>0</v>
      </c>
      <c r="U562" s="64">
        <f t="shared" si="1"/>
        <v>0</v>
      </c>
    </row>
    <row r="563">
      <c r="P563" s="62">
        <f t="array" ref="P563">MAX(IF($A563=AB_TF!F:F,AB_TF!D:D))</f>
        <v>0</v>
      </c>
      <c r="Q563" s="63" t="str">
        <f t="array" ref="Q563">INDEX(AB_TF!C:C,MATCH(1,(AB_TF!F:F=A563)*(AB_TF!D:D=P563),0))</f>
        <v/>
      </c>
      <c r="R563" s="63">
        <f>COUNTIFS(AB_TF!F:F,"="&amp;A563,AB_TF!E:E,"Small*")</f>
        <v>0</v>
      </c>
      <c r="S563" s="63">
        <f>COUNTIFS(AB_TF!F:F,"="&amp;A563,AB_TF!E:E,"Medium*")</f>
        <v>0</v>
      </c>
      <c r="T563" s="63">
        <f>COUNTIFS(AB_TF!F:F,"="&amp;A563,AB_TF!E:E,"Large*")</f>
        <v>0</v>
      </c>
      <c r="U563" s="64">
        <f t="shared" si="1"/>
        <v>0</v>
      </c>
    </row>
    <row r="564">
      <c r="P564" s="62">
        <f t="array" ref="P564">MAX(IF($A564=AB_TF!F:F,AB_TF!D:D))</f>
        <v>0</v>
      </c>
      <c r="Q564" s="63" t="str">
        <f t="array" ref="Q564">INDEX(AB_TF!C:C,MATCH(1,(AB_TF!F:F=A564)*(AB_TF!D:D=P564),0))</f>
        <v/>
      </c>
      <c r="R564" s="63">
        <f>COUNTIFS(AB_TF!F:F,"="&amp;A564,AB_TF!E:E,"Small*")</f>
        <v>0</v>
      </c>
      <c r="S564" s="63">
        <f>COUNTIFS(AB_TF!F:F,"="&amp;A564,AB_TF!E:E,"Medium*")</f>
        <v>0</v>
      </c>
      <c r="T564" s="63">
        <f>COUNTIFS(AB_TF!F:F,"="&amp;A564,AB_TF!E:E,"Large*")</f>
        <v>0</v>
      </c>
      <c r="U564" s="64">
        <f t="shared" si="1"/>
        <v>0</v>
      </c>
    </row>
    <row r="565">
      <c r="P565" s="62">
        <f t="array" ref="P565">MAX(IF($A565=AB_TF!F:F,AB_TF!D:D))</f>
        <v>0</v>
      </c>
      <c r="Q565" s="63" t="str">
        <f t="array" ref="Q565">INDEX(AB_TF!C:C,MATCH(1,(AB_TF!F:F=A565)*(AB_TF!D:D=P565),0))</f>
        <v/>
      </c>
      <c r="R565" s="63">
        <f>COUNTIFS(AB_TF!F:F,"="&amp;A565,AB_TF!E:E,"Small*")</f>
        <v>0</v>
      </c>
      <c r="S565" s="63">
        <f>COUNTIFS(AB_TF!F:F,"="&amp;A565,AB_TF!E:E,"Medium*")</f>
        <v>0</v>
      </c>
      <c r="T565" s="63">
        <f>COUNTIFS(AB_TF!F:F,"="&amp;A565,AB_TF!E:E,"Large*")</f>
        <v>0</v>
      </c>
      <c r="U565" s="64">
        <f t="shared" si="1"/>
        <v>0</v>
      </c>
    </row>
    <row r="566">
      <c r="P566" s="62">
        <f t="array" ref="P566">MAX(IF($A566=AB_TF!F:F,AB_TF!D:D))</f>
        <v>0</v>
      </c>
      <c r="Q566" s="63" t="str">
        <f t="array" ref="Q566">INDEX(AB_TF!C:C,MATCH(1,(AB_TF!F:F=A566)*(AB_TF!D:D=P566),0))</f>
        <v/>
      </c>
      <c r="R566" s="63">
        <f>COUNTIFS(AB_TF!F:F,"="&amp;A566,AB_TF!E:E,"Small*")</f>
        <v>0</v>
      </c>
      <c r="S566" s="63">
        <f>COUNTIFS(AB_TF!F:F,"="&amp;A566,AB_TF!E:E,"Medium*")</f>
        <v>0</v>
      </c>
      <c r="T566" s="63">
        <f>COUNTIFS(AB_TF!F:F,"="&amp;A566,AB_TF!E:E,"Large*")</f>
        <v>0</v>
      </c>
      <c r="U566" s="64">
        <f t="shared" si="1"/>
        <v>0</v>
      </c>
    </row>
    <row r="567">
      <c r="P567" s="62">
        <f t="array" ref="P567">MAX(IF($A567=AB_TF!F:F,AB_TF!D:D))</f>
        <v>0</v>
      </c>
      <c r="Q567" s="63" t="str">
        <f t="array" ref="Q567">INDEX(AB_TF!C:C,MATCH(1,(AB_TF!F:F=A567)*(AB_TF!D:D=P567),0))</f>
        <v/>
      </c>
      <c r="R567" s="63">
        <f>COUNTIFS(AB_TF!F:F,"="&amp;A567,AB_TF!E:E,"Small*")</f>
        <v>0</v>
      </c>
      <c r="S567" s="63">
        <f>COUNTIFS(AB_TF!F:F,"="&amp;A567,AB_TF!E:E,"Medium*")</f>
        <v>0</v>
      </c>
      <c r="T567" s="63">
        <f>COUNTIFS(AB_TF!F:F,"="&amp;A567,AB_TF!E:E,"Large*")</f>
        <v>0</v>
      </c>
      <c r="U567" s="64">
        <f t="shared" si="1"/>
        <v>0</v>
      </c>
    </row>
    <row r="568">
      <c r="P568" s="62">
        <f t="array" ref="P568">MAX(IF($A568=AB_TF!F:F,AB_TF!D:D))</f>
        <v>0</v>
      </c>
      <c r="Q568" s="63" t="str">
        <f t="array" ref="Q568">INDEX(AB_TF!C:C,MATCH(1,(AB_TF!F:F=A568)*(AB_TF!D:D=P568),0))</f>
        <v/>
      </c>
      <c r="R568" s="63">
        <f>COUNTIFS(AB_TF!F:F,"="&amp;A568,AB_TF!E:E,"Small*")</f>
        <v>0</v>
      </c>
      <c r="S568" s="63">
        <f>COUNTIFS(AB_TF!F:F,"="&amp;A568,AB_TF!E:E,"Medium*")</f>
        <v>0</v>
      </c>
      <c r="T568" s="63">
        <f>COUNTIFS(AB_TF!F:F,"="&amp;A568,AB_TF!E:E,"Large*")</f>
        <v>0</v>
      </c>
      <c r="U568" s="64">
        <f t="shared" si="1"/>
        <v>0</v>
      </c>
    </row>
    <row r="569">
      <c r="P569" s="62">
        <f t="array" ref="P569">MAX(IF($A569=AB_TF!F:F,AB_TF!D:D))</f>
        <v>0</v>
      </c>
      <c r="Q569" s="63" t="str">
        <f t="array" ref="Q569">INDEX(AB_TF!C:C,MATCH(1,(AB_TF!F:F=A569)*(AB_TF!D:D=P569),0))</f>
        <v/>
      </c>
      <c r="R569" s="63">
        <f>COUNTIFS(AB_TF!F:F,"="&amp;A569,AB_TF!E:E,"Small*")</f>
        <v>0</v>
      </c>
      <c r="S569" s="63">
        <f>COUNTIFS(AB_TF!F:F,"="&amp;A569,AB_TF!E:E,"Medium*")</f>
        <v>0</v>
      </c>
      <c r="T569" s="63">
        <f>COUNTIFS(AB_TF!F:F,"="&amp;A569,AB_TF!E:E,"Large*")</f>
        <v>0</v>
      </c>
      <c r="U569" s="64">
        <f t="shared" si="1"/>
        <v>0</v>
      </c>
    </row>
    <row r="570">
      <c r="P570" s="62">
        <f t="array" ref="P570">MAX(IF($A570=AB_TF!F:F,AB_TF!D:D))</f>
        <v>0</v>
      </c>
      <c r="Q570" s="63" t="str">
        <f t="array" ref="Q570">INDEX(AB_TF!C:C,MATCH(1,(AB_TF!F:F=A570)*(AB_TF!D:D=P570),0))</f>
        <v/>
      </c>
      <c r="R570" s="63">
        <f>COUNTIFS(AB_TF!F:F,"="&amp;A570,AB_TF!E:E,"Small*")</f>
        <v>0</v>
      </c>
      <c r="S570" s="63">
        <f>COUNTIFS(AB_TF!F:F,"="&amp;A570,AB_TF!E:E,"Medium*")</f>
        <v>0</v>
      </c>
      <c r="T570" s="63">
        <f>COUNTIFS(AB_TF!F:F,"="&amp;A570,AB_TF!E:E,"Large*")</f>
        <v>0</v>
      </c>
      <c r="U570" s="64">
        <f t="shared" si="1"/>
        <v>0</v>
      </c>
    </row>
    <row r="571">
      <c r="P571" s="62">
        <f t="array" ref="P571">MAX(IF($A571=AB_TF!F:F,AB_TF!D:D))</f>
        <v>0</v>
      </c>
      <c r="Q571" s="63" t="str">
        <f t="array" ref="Q571">INDEX(AB_TF!C:C,MATCH(1,(AB_TF!F:F=A571)*(AB_TF!D:D=P571),0))</f>
        <v/>
      </c>
      <c r="R571" s="63">
        <f>COUNTIFS(AB_TF!F:F,"="&amp;A571,AB_TF!E:E,"Small*")</f>
        <v>0</v>
      </c>
      <c r="S571" s="63">
        <f>COUNTIFS(AB_TF!F:F,"="&amp;A571,AB_TF!E:E,"Medium*")</f>
        <v>0</v>
      </c>
      <c r="T571" s="63">
        <f>COUNTIFS(AB_TF!F:F,"="&amp;A571,AB_TF!E:E,"Large*")</f>
        <v>0</v>
      </c>
      <c r="U571" s="64">
        <f t="shared" si="1"/>
        <v>0</v>
      </c>
    </row>
    <row r="572">
      <c r="P572" s="62">
        <f t="array" ref="P572">MAX(IF($A572=AB_TF!F:F,AB_TF!D:D))</f>
        <v>0</v>
      </c>
      <c r="Q572" s="63" t="str">
        <f t="array" ref="Q572">INDEX(AB_TF!C:C,MATCH(1,(AB_TF!F:F=A572)*(AB_TF!D:D=P572),0))</f>
        <v/>
      </c>
      <c r="R572" s="63">
        <f>COUNTIFS(AB_TF!F:F,"="&amp;A572,AB_TF!E:E,"Small*")</f>
        <v>0</v>
      </c>
      <c r="S572" s="63">
        <f>COUNTIFS(AB_TF!F:F,"="&amp;A572,AB_TF!E:E,"Medium*")</f>
        <v>0</v>
      </c>
      <c r="T572" s="63">
        <f>COUNTIFS(AB_TF!F:F,"="&amp;A572,AB_TF!E:E,"Large*")</f>
        <v>0</v>
      </c>
      <c r="U572" s="64">
        <f t="shared" si="1"/>
        <v>0</v>
      </c>
    </row>
    <row r="573">
      <c r="P573" s="62">
        <f t="array" ref="P573">MAX(IF($A573=AB_TF!F:F,AB_TF!D:D))</f>
        <v>0</v>
      </c>
      <c r="Q573" s="63" t="str">
        <f t="array" ref="Q573">INDEX(AB_TF!C:C,MATCH(1,(AB_TF!F:F=A573)*(AB_TF!D:D=P573),0))</f>
        <v/>
      </c>
      <c r="R573" s="63">
        <f>COUNTIFS(AB_TF!F:F,"="&amp;A573,AB_TF!E:E,"Small*")</f>
        <v>0</v>
      </c>
      <c r="S573" s="63">
        <f>COUNTIFS(AB_TF!F:F,"="&amp;A573,AB_TF!E:E,"Medium*")</f>
        <v>0</v>
      </c>
      <c r="T573" s="63">
        <f>COUNTIFS(AB_TF!F:F,"="&amp;A573,AB_TF!E:E,"Large*")</f>
        <v>0</v>
      </c>
      <c r="U573" s="64">
        <f t="shared" si="1"/>
        <v>0</v>
      </c>
    </row>
    <row r="574">
      <c r="P574" s="62">
        <f t="array" ref="P574">MAX(IF($A574=AB_TF!F:F,AB_TF!D:D))</f>
        <v>0</v>
      </c>
      <c r="Q574" s="63" t="str">
        <f t="array" ref="Q574">INDEX(AB_TF!C:C,MATCH(1,(AB_TF!F:F=A574)*(AB_TF!D:D=P574),0))</f>
        <v/>
      </c>
      <c r="R574" s="63">
        <f>COUNTIFS(AB_TF!F:F,"="&amp;A574,AB_TF!E:E,"Small*")</f>
        <v>0</v>
      </c>
      <c r="S574" s="63">
        <f>COUNTIFS(AB_TF!F:F,"="&amp;A574,AB_TF!E:E,"Medium*")</f>
        <v>0</v>
      </c>
      <c r="T574" s="63">
        <f>COUNTIFS(AB_TF!F:F,"="&amp;A574,AB_TF!E:E,"Large*")</f>
        <v>0</v>
      </c>
      <c r="U574" s="64">
        <f t="shared" si="1"/>
        <v>0</v>
      </c>
    </row>
    <row r="575">
      <c r="P575" s="62">
        <f t="array" ref="P575">MAX(IF($A575=AB_TF!F:F,AB_TF!D:D))</f>
        <v>0</v>
      </c>
      <c r="Q575" s="63" t="str">
        <f t="array" ref="Q575">INDEX(AB_TF!C:C,MATCH(1,(AB_TF!F:F=A575)*(AB_TF!D:D=P575),0))</f>
        <v/>
      </c>
      <c r="R575" s="63">
        <f>COUNTIFS(AB_TF!F:F,"="&amp;A575,AB_TF!E:E,"Small*")</f>
        <v>0</v>
      </c>
      <c r="S575" s="63">
        <f>COUNTIFS(AB_TF!F:F,"="&amp;A575,AB_TF!E:E,"Medium*")</f>
        <v>0</v>
      </c>
      <c r="T575" s="63">
        <f>COUNTIFS(AB_TF!F:F,"="&amp;A575,AB_TF!E:E,"Large*")</f>
        <v>0</v>
      </c>
      <c r="U575" s="64">
        <f t="shared" si="1"/>
        <v>0</v>
      </c>
    </row>
    <row r="576">
      <c r="P576" s="62">
        <f t="array" ref="P576">MAX(IF($A576=AB_TF!F:F,AB_TF!D:D))</f>
        <v>0</v>
      </c>
      <c r="Q576" s="63" t="str">
        <f t="array" ref="Q576">INDEX(AB_TF!C:C,MATCH(1,(AB_TF!F:F=A576)*(AB_TF!D:D=P576),0))</f>
        <v/>
      </c>
      <c r="R576" s="63">
        <f>COUNTIFS(AB_TF!F:F,"="&amp;A576,AB_TF!E:E,"Small*")</f>
        <v>0</v>
      </c>
      <c r="S576" s="63">
        <f>COUNTIFS(AB_TF!F:F,"="&amp;A576,AB_TF!E:E,"Medium*")</f>
        <v>0</v>
      </c>
      <c r="T576" s="63">
        <f>COUNTIFS(AB_TF!F:F,"="&amp;A576,AB_TF!E:E,"Large*")</f>
        <v>0</v>
      </c>
      <c r="U576" s="64">
        <f t="shared" si="1"/>
        <v>0</v>
      </c>
    </row>
    <row r="577">
      <c r="P577" s="62">
        <f t="array" ref="P577">MAX(IF($A577=AB_TF!F:F,AB_TF!D:D))</f>
        <v>0</v>
      </c>
      <c r="Q577" s="63" t="str">
        <f t="array" ref="Q577">INDEX(AB_TF!C:C,MATCH(1,(AB_TF!F:F=A577)*(AB_TF!D:D=P577),0))</f>
        <v/>
      </c>
      <c r="R577" s="63">
        <f>COUNTIFS(AB_TF!F:F,"="&amp;A577,AB_TF!E:E,"Small*")</f>
        <v>0</v>
      </c>
      <c r="S577" s="63">
        <f>COUNTIFS(AB_TF!F:F,"="&amp;A577,AB_TF!E:E,"Medium*")</f>
        <v>0</v>
      </c>
      <c r="T577" s="63">
        <f>COUNTIFS(AB_TF!F:F,"="&amp;A577,AB_TF!E:E,"Large*")</f>
        <v>0</v>
      </c>
      <c r="U577" s="64">
        <f t="shared" si="1"/>
        <v>0</v>
      </c>
    </row>
    <row r="578">
      <c r="P578" s="62">
        <f t="array" ref="P578">MAX(IF($A578=AB_TF!F:F,AB_TF!D:D))</f>
        <v>0</v>
      </c>
      <c r="Q578" s="63" t="str">
        <f t="array" ref="Q578">INDEX(AB_TF!C:C,MATCH(1,(AB_TF!F:F=A578)*(AB_TF!D:D=P578),0))</f>
        <v/>
      </c>
      <c r="R578" s="63">
        <f>COUNTIFS(AB_TF!F:F,"="&amp;A578,AB_TF!E:E,"Small*")</f>
        <v>0</v>
      </c>
      <c r="S578" s="63">
        <f>COUNTIFS(AB_TF!F:F,"="&amp;A578,AB_TF!E:E,"Medium*")</f>
        <v>0</v>
      </c>
      <c r="T578" s="63">
        <f>COUNTIFS(AB_TF!F:F,"="&amp;A578,AB_TF!E:E,"Large*")</f>
        <v>0</v>
      </c>
      <c r="U578" s="64">
        <f t="shared" si="1"/>
        <v>0</v>
      </c>
    </row>
    <row r="579">
      <c r="P579" s="62">
        <f t="array" ref="P579">MAX(IF($A579=AB_TF!F:F,AB_TF!D:D))</f>
        <v>0</v>
      </c>
      <c r="Q579" s="63" t="str">
        <f t="array" ref="Q579">INDEX(AB_TF!C:C,MATCH(1,(AB_TF!F:F=A579)*(AB_TF!D:D=P579),0))</f>
        <v/>
      </c>
      <c r="R579" s="63">
        <f>COUNTIFS(AB_TF!F:F,"="&amp;A579,AB_TF!E:E,"Small*")</f>
        <v>0</v>
      </c>
      <c r="S579" s="63">
        <f>COUNTIFS(AB_TF!F:F,"="&amp;A579,AB_TF!E:E,"Medium*")</f>
        <v>0</v>
      </c>
      <c r="T579" s="63">
        <f>COUNTIFS(AB_TF!F:F,"="&amp;A579,AB_TF!E:E,"Large*")</f>
        <v>0</v>
      </c>
      <c r="U579" s="64">
        <f t="shared" si="1"/>
        <v>0</v>
      </c>
    </row>
    <row r="580">
      <c r="P580" s="62">
        <f t="array" ref="P580">MAX(IF($A580=AB_TF!F:F,AB_TF!D:D))</f>
        <v>0</v>
      </c>
      <c r="Q580" s="63" t="str">
        <f t="array" ref="Q580">INDEX(AB_TF!C:C,MATCH(1,(AB_TF!F:F=A580)*(AB_TF!D:D=P580),0))</f>
        <v/>
      </c>
      <c r="R580" s="63">
        <f>COUNTIFS(AB_TF!F:F,"="&amp;A580,AB_TF!E:E,"Small*")</f>
        <v>0</v>
      </c>
      <c r="S580" s="63">
        <f>COUNTIFS(AB_TF!F:F,"="&amp;A580,AB_TF!E:E,"Medium*")</f>
        <v>0</v>
      </c>
      <c r="T580" s="63">
        <f>COUNTIFS(AB_TF!F:F,"="&amp;A580,AB_TF!E:E,"Large*")</f>
        <v>0</v>
      </c>
      <c r="U580" s="64">
        <f t="shared" si="1"/>
        <v>0</v>
      </c>
    </row>
    <row r="581">
      <c r="P581" s="62">
        <f t="array" ref="P581">MAX(IF($A581=AB_TF!F:F,AB_TF!D:D))</f>
        <v>0</v>
      </c>
      <c r="Q581" s="63" t="str">
        <f t="array" ref="Q581">INDEX(AB_TF!C:C,MATCH(1,(AB_TF!F:F=A581)*(AB_TF!D:D=P581),0))</f>
        <v/>
      </c>
      <c r="R581" s="63">
        <f>COUNTIFS(AB_TF!F:F,"="&amp;A581,AB_TF!E:E,"Small*")</f>
        <v>0</v>
      </c>
      <c r="S581" s="63">
        <f>COUNTIFS(AB_TF!F:F,"="&amp;A581,AB_TF!E:E,"Medium*")</f>
        <v>0</v>
      </c>
      <c r="T581" s="63">
        <f>COUNTIFS(AB_TF!F:F,"="&amp;A581,AB_TF!E:E,"Large*")</f>
        <v>0</v>
      </c>
      <c r="U581" s="64">
        <f t="shared" si="1"/>
        <v>0</v>
      </c>
    </row>
    <row r="582">
      <c r="P582" s="62">
        <f t="array" ref="P582">MAX(IF($A582=AB_TF!F:F,AB_TF!D:D))</f>
        <v>0</v>
      </c>
      <c r="Q582" s="63" t="str">
        <f t="array" ref="Q582">INDEX(AB_TF!C:C,MATCH(1,(AB_TF!F:F=A582)*(AB_TF!D:D=P582),0))</f>
        <v/>
      </c>
      <c r="R582" s="63">
        <f>COUNTIFS(AB_TF!F:F,"="&amp;A582,AB_TF!E:E,"Small*")</f>
        <v>0</v>
      </c>
      <c r="S582" s="63">
        <f>COUNTIFS(AB_TF!F:F,"="&amp;A582,AB_TF!E:E,"Medium*")</f>
        <v>0</v>
      </c>
      <c r="T582" s="63">
        <f>COUNTIFS(AB_TF!F:F,"="&amp;A582,AB_TF!E:E,"Large*")</f>
        <v>0</v>
      </c>
      <c r="U582" s="64">
        <f t="shared" si="1"/>
        <v>0</v>
      </c>
    </row>
    <row r="583">
      <c r="P583" s="62">
        <f t="array" ref="P583">MAX(IF($A583=AB_TF!F:F,AB_TF!D:D))</f>
        <v>0</v>
      </c>
      <c r="Q583" s="63" t="str">
        <f t="array" ref="Q583">INDEX(AB_TF!C:C,MATCH(1,(AB_TF!F:F=A583)*(AB_TF!D:D=P583),0))</f>
        <v/>
      </c>
      <c r="R583" s="63">
        <f>COUNTIFS(AB_TF!F:F,"="&amp;A583,AB_TF!E:E,"Small*")</f>
        <v>0</v>
      </c>
      <c r="S583" s="63">
        <f>COUNTIFS(AB_TF!F:F,"="&amp;A583,AB_TF!E:E,"Medium*")</f>
        <v>0</v>
      </c>
      <c r="T583" s="63">
        <f>COUNTIFS(AB_TF!F:F,"="&amp;A583,AB_TF!E:E,"Large*")</f>
        <v>0</v>
      </c>
      <c r="U583" s="64">
        <f t="shared" si="1"/>
        <v>0</v>
      </c>
    </row>
    <row r="584">
      <c r="P584" s="62">
        <f t="array" ref="P584">MAX(IF($A584=AB_TF!F:F,AB_TF!D:D))</f>
        <v>0</v>
      </c>
      <c r="Q584" s="63" t="str">
        <f t="array" ref="Q584">INDEX(AB_TF!C:C,MATCH(1,(AB_TF!F:F=A584)*(AB_TF!D:D=P584),0))</f>
        <v/>
      </c>
      <c r="R584" s="63">
        <f>COUNTIFS(AB_TF!F:F,"="&amp;A584,AB_TF!E:E,"Small*")</f>
        <v>0</v>
      </c>
      <c r="S584" s="63">
        <f>COUNTIFS(AB_TF!F:F,"="&amp;A584,AB_TF!E:E,"Medium*")</f>
        <v>0</v>
      </c>
      <c r="T584" s="63">
        <f>COUNTIFS(AB_TF!F:F,"="&amp;A584,AB_TF!E:E,"Large*")</f>
        <v>0</v>
      </c>
      <c r="U584" s="64">
        <f t="shared" si="1"/>
        <v>0</v>
      </c>
    </row>
    <row r="585">
      <c r="P585" s="62">
        <f t="array" ref="P585">MAX(IF($A585=AB_TF!F:F,AB_TF!D:D))</f>
        <v>0</v>
      </c>
      <c r="Q585" s="63" t="str">
        <f t="array" ref="Q585">INDEX(AB_TF!C:C,MATCH(1,(AB_TF!F:F=A585)*(AB_TF!D:D=P585),0))</f>
        <v/>
      </c>
      <c r="R585" s="63">
        <f>COUNTIFS(AB_TF!F:F,"="&amp;A585,AB_TF!E:E,"Small*")</f>
        <v>0</v>
      </c>
      <c r="S585" s="63">
        <f>COUNTIFS(AB_TF!F:F,"="&amp;A585,AB_TF!E:E,"Medium*")</f>
        <v>0</v>
      </c>
      <c r="T585" s="63">
        <f>COUNTIFS(AB_TF!F:F,"="&amp;A585,AB_TF!E:E,"Large*")</f>
        <v>0</v>
      </c>
      <c r="U585" s="64">
        <f t="shared" si="1"/>
        <v>0</v>
      </c>
    </row>
    <row r="586">
      <c r="P586" s="62">
        <f t="array" ref="P586">MAX(IF($A586=AB_TF!F:F,AB_TF!D:D))</f>
        <v>0</v>
      </c>
      <c r="Q586" s="63" t="str">
        <f t="array" ref="Q586">INDEX(AB_TF!C:C,MATCH(1,(AB_TF!F:F=A586)*(AB_TF!D:D=P586),0))</f>
        <v/>
      </c>
      <c r="R586" s="63">
        <f>COUNTIFS(AB_TF!F:F,"="&amp;A586,AB_TF!E:E,"Small*")</f>
        <v>0</v>
      </c>
      <c r="S586" s="63">
        <f>COUNTIFS(AB_TF!F:F,"="&amp;A586,AB_TF!E:E,"Medium*")</f>
        <v>0</v>
      </c>
      <c r="T586" s="63">
        <f>COUNTIFS(AB_TF!F:F,"="&amp;A586,AB_TF!E:E,"Large*")</f>
        <v>0</v>
      </c>
      <c r="U586" s="64">
        <f t="shared" si="1"/>
        <v>0</v>
      </c>
    </row>
    <row r="587">
      <c r="P587" s="62">
        <f t="array" ref="P587">MAX(IF($A587=AB_TF!F:F,AB_TF!D:D))</f>
        <v>0</v>
      </c>
      <c r="Q587" s="63" t="str">
        <f t="array" ref="Q587">INDEX(AB_TF!C:C,MATCH(1,(AB_TF!F:F=A587)*(AB_TF!D:D=P587),0))</f>
        <v/>
      </c>
      <c r="R587" s="63">
        <f>COUNTIFS(AB_TF!F:F,"="&amp;A587,AB_TF!E:E,"Small*")</f>
        <v>0</v>
      </c>
      <c r="S587" s="63">
        <f>COUNTIFS(AB_TF!F:F,"="&amp;A587,AB_TF!E:E,"Medium*")</f>
        <v>0</v>
      </c>
      <c r="T587" s="63">
        <f>COUNTIFS(AB_TF!F:F,"="&amp;A587,AB_TF!E:E,"Large*")</f>
        <v>0</v>
      </c>
      <c r="U587" s="64">
        <f t="shared" si="1"/>
        <v>0</v>
      </c>
    </row>
    <row r="588">
      <c r="P588" s="62">
        <f t="array" ref="P588">MAX(IF($A588=AB_TF!F:F,AB_TF!D:D))</f>
        <v>0</v>
      </c>
      <c r="Q588" s="63" t="str">
        <f t="array" ref="Q588">INDEX(AB_TF!C:C,MATCH(1,(AB_TF!F:F=A588)*(AB_TF!D:D=P588),0))</f>
        <v/>
      </c>
      <c r="R588" s="63">
        <f>COUNTIFS(AB_TF!F:F,"="&amp;A588,AB_TF!E:E,"Small*")</f>
        <v>0</v>
      </c>
      <c r="S588" s="63">
        <f>COUNTIFS(AB_TF!F:F,"="&amp;A588,AB_TF!E:E,"Medium*")</f>
        <v>0</v>
      </c>
      <c r="T588" s="63">
        <f>COUNTIFS(AB_TF!F:F,"="&amp;A588,AB_TF!E:E,"Large*")</f>
        <v>0</v>
      </c>
      <c r="U588" s="64">
        <f t="shared" si="1"/>
        <v>0</v>
      </c>
    </row>
    <row r="589">
      <c r="P589" s="62">
        <f t="array" ref="P589">MAX(IF($A589=AB_TF!F:F,AB_TF!D:D))</f>
        <v>0</v>
      </c>
      <c r="Q589" s="63" t="str">
        <f t="array" ref="Q589">INDEX(AB_TF!C:C,MATCH(1,(AB_TF!F:F=A589)*(AB_TF!D:D=P589),0))</f>
        <v/>
      </c>
      <c r="R589" s="63">
        <f>COUNTIFS(AB_TF!F:F,"="&amp;A589,AB_TF!E:E,"Small*")</f>
        <v>0</v>
      </c>
      <c r="S589" s="63">
        <f>COUNTIFS(AB_TF!F:F,"="&amp;A589,AB_TF!E:E,"Medium*")</f>
        <v>0</v>
      </c>
      <c r="T589" s="63">
        <f>COUNTIFS(AB_TF!F:F,"="&amp;A589,AB_TF!E:E,"Large*")</f>
        <v>0</v>
      </c>
      <c r="U589" s="64">
        <f t="shared" si="1"/>
        <v>0</v>
      </c>
    </row>
    <row r="590">
      <c r="P590" s="62">
        <f t="array" ref="P590">MAX(IF($A590=AB_TF!F:F,AB_TF!D:D))</f>
        <v>0</v>
      </c>
      <c r="Q590" s="63" t="str">
        <f t="array" ref="Q590">INDEX(AB_TF!C:C,MATCH(1,(AB_TF!F:F=A590)*(AB_TF!D:D=P590),0))</f>
        <v/>
      </c>
      <c r="R590" s="63">
        <f>COUNTIFS(AB_TF!F:F,"="&amp;A590,AB_TF!E:E,"Small*")</f>
        <v>0</v>
      </c>
      <c r="S590" s="63">
        <f>COUNTIFS(AB_TF!F:F,"="&amp;A590,AB_TF!E:E,"Medium*")</f>
        <v>0</v>
      </c>
      <c r="T590" s="63">
        <f>COUNTIFS(AB_TF!F:F,"="&amp;A590,AB_TF!E:E,"Large*")</f>
        <v>0</v>
      </c>
      <c r="U590" s="64">
        <f t="shared" si="1"/>
        <v>0</v>
      </c>
    </row>
    <row r="591">
      <c r="P591" s="62">
        <f t="array" ref="P591">MAX(IF($A591=AB_TF!F:F,AB_TF!D:D))</f>
        <v>0</v>
      </c>
      <c r="Q591" s="63" t="str">
        <f t="array" ref="Q591">INDEX(AB_TF!C:C,MATCH(1,(AB_TF!F:F=A591)*(AB_TF!D:D=P591),0))</f>
        <v/>
      </c>
      <c r="R591" s="63">
        <f>COUNTIFS(AB_TF!F:F,"="&amp;A591,AB_TF!E:E,"Small*")</f>
        <v>0</v>
      </c>
      <c r="S591" s="63">
        <f>COUNTIFS(AB_TF!F:F,"="&amp;A591,AB_TF!E:E,"Medium*")</f>
        <v>0</v>
      </c>
      <c r="T591" s="63">
        <f>COUNTIFS(AB_TF!F:F,"="&amp;A591,AB_TF!E:E,"Large*")</f>
        <v>0</v>
      </c>
      <c r="U591" s="64">
        <f t="shared" si="1"/>
        <v>0</v>
      </c>
    </row>
    <row r="592">
      <c r="P592" s="62">
        <f t="array" ref="P592">MAX(IF($A592=AB_TF!F:F,AB_TF!D:D))</f>
        <v>0</v>
      </c>
      <c r="Q592" s="63" t="str">
        <f t="array" ref="Q592">INDEX(AB_TF!C:C,MATCH(1,(AB_TF!F:F=A592)*(AB_TF!D:D=P592),0))</f>
        <v/>
      </c>
      <c r="R592" s="63">
        <f>COUNTIFS(AB_TF!F:F,"="&amp;A592,AB_TF!E:E,"Small*")</f>
        <v>0</v>
      </c>
      <c r="S592" s="63">
        <f>COUNTIFS(AB_TF!F:F,"="&amp;A592,AB_TF!E:E,"Medium*")</f>
        <v>0</v>
      </c>
      <c r="T592" s="63">
        <f>COUNTIFS(AB_TF!F:F,"="&amp;A592,AB_TF!E:E,"Large*")</f>
        <v>0</v>
      </c>
      <c r="U592" s="64">
        <f t="shared" si="1"/>
        <v>0</v>
      </c>
    </row>
    <row r="593">
      <c r="P593" s="62">
        <f t="array" ref="P593">MAX(IF($A593=AB_TF!F:F,AB_TF!D:D))</f>
        <v>0</v>
      </c>
      <c r="Q593" s="63" t="str">
        <f t="array" ref="Q593">INDEX(AB_TF!C:C,MATCH(1,(AB_TF!F:F=A593)*(AB_TF!D:D=P593),0))</f>
        <v/>
      </c>
      <c r="R593" s="63">
        <f>COUNTIFS(AB_TF!F:F,"="&amp;A593,AB_TF!E:E,"Small*")</f>
        <v>0</v>
      </c>
      <c r="S593" s="63">
        <f>COUNTIFS(AB_TF!F:F,"="&amp;A593,AB_TF!E:E,"Medium*")</f>
        <v>0</v>
      </c>
      <c r="T593" s="63">
        <f>COUNTIFS(AB_TF!F:F,"="&amp;A593,AB_TF!E:E,"Large*")</f>
        <v>0</v>
      </c>
      <c r="U593" s="64">
        <f t="shared" si="1"/>
        <v>0</v>
      </c>
    </row>
    <row r="594">
      <c r="P594" s="62">
        <f t="array" ref="P594">MAX(IF($A594=AB_TF!F:F,AB_TF!D:D))</f>
        <v>0</v>
      </c>
      <c r="Q594" s="63" t="str">
        <f t="array" ref="Q594">INDEX(AB_TF!C:C,MATCH(1,(AB_TF!F:F=A594)*(AB_TF!D:D=P594),0))</f>
        <v/>
      </c>
      <c r="R594" s="63">
        <f>COUNTIFS(AB_TF!F:F,"="&amp;A594,AB_TF!E:E,"Small*")</f>
        <v>0</v>
      </c>
      <c r="S594" s="63">
        <f>COUNTIFS(AB_TF!F:F,"="&amp;A594,AB_TF!E:E,"Medium*")</f>
        <v>0</v>
      </c>
      <c r="T594" s="63">
        <f>COUNTIFS(AB_TF!F:F,"="&amp;A594,AB_TF!E:E,"Large*")</f>
        <v>0</v>
      </c>
      <c r="U594" s="64">
        <f t="shared" si="1"/>
        <v>0</v>
      </c>
    </row>
    <row r="595">
      <c r="P595" s="62">
        <f t="array" ref="P595">MAX(IF($A595=AB_TF!F:F,AB_TF!D:D))</f>
        <v>0</v>
      </c>
      <c r="Q595" s="63" t="str">
        <f t="array" ref="Q595">INDEX(AB_TF!C:C,MATCH(1,(AB_TF!F:F=A595)*(AB_TF!D:D=P595),0))</f>
        <v/>
      </c>
      <c r="R595" s="63">
        <f>COUNTIFS(AB_TF!F:F,"="&amp;A595,AB_TF!E:E,"Small*")</f>
        <v>0</v>
      </c>
      <c r="S595" s="63">
        <f>COUNTIFS(AB_TF!F:F,"="&amp;A595,AB_TF!E:E,"Medium*")</f>
        <v>0</v>
      </c>
      <c r="T595" s="63">
        <f>COUNTIFS(AB_TF!F:F,"="&amp;A595,AB_TF!E:E,"Large*")</f>
        <v>0</v>
      </c>
      <c r="U595" s="64">
        <f t="shared" si="1"/>
        <v>0</v>
      </c>
    </row>
    <row r="596">
      <c r="P596" s="62">
        <f t="array" ref="P596">MAX(IF($A596=AB_TF!F:F,AB_TF!D:D))</f>
        <v>0</v>
      </c>
      <c r="Q596" s="63" t="str">
        <f t="array" ref="Q596">INDEX(AB_TF!C:C,MATCH(1,(AB_TF!F:F=A596)*(AB_TF!D:D=P596),0))</f>
        <v/>
      </c>
      <c r="R596" s="63">
        <f>COUNTIFS(AB_TF!F:F,"="&amp;A596,AB_TF!E:E,"Small*")</f>
        <v>0</v>
      </c>
      <c r="S596" s="63">
        <f>COUNTIFS(AB_TF!F:F,"="&amp;A596,AB_TF!E:E,"Medium*")</f>
        <v>0</v>
      </c>
      <c r="T596" s="63">
        <f>COUNTIFS(AB_TF!F:F,"="&amp;A596,AB_TF!E:E,"Large*")</f>
        <v>0</v>
      </c>
      <c r="U596" s="64">
        <f t="shared" si="1"/>
        <v>0</v>
      </c>
    </row>
    <row r="597">
      <c r="P597" s="62">
        <f t="array" ref="P597">MAX(IF($A597=AB_TF!F:F,AB_TF!D:D))</f>
        <v>0</v>
      </c>
      <c r="Q597" s="63" t="str">
        <f t="array" ref="Q597">INDEX(AB_TF!C:C,MATCH(1,(AB_TF!F:F=A597)*(AB_TF!D:D=P597),0))</f>
        <v/>
      </c>
      <c r="R597" s="63">
        <f>COUNTIFS(AB_TF!F:F,"="&amp;A597,AB_TF!E:E,"Small*")</f>
        <v>0</v>
      </c>
      <c r="S597" s="63">
        <f>COUNTIFS(AB_TF!F:F,"="&amp;A597,AB_TF!E:E,"Medium*")</f>
        <v>0</v>
      </c>
      <c r="T597" s="63">
        <f>COUNTIFS(AB_TF!F:F,"="&amp;A597,AB_TF!E:E,"Large*")</f>
        <v>0</v>
      </c>
      <c r="U597" s="64">
        <f t="shared" si="1"/>
        <v>0</v>
      </c>
    </row>
    <row r="598">
      <c r="P598" s="62">
        <f t="array" ref="P598">MAX(IF($A598=AB_TF!F:F,AB_TF!D:D))</f>
        <v>0</v>
      </c>
      <c r="Q598" s="63" t="str">
        <f t="array" ref="Q598">INDEX(AB_TF!C:C,MATCH(1,(AB_TF!F:F=A598)*(AB_TF!D:D=P598),0))</f>
        <v/>
      </c>
      <c r="R598" s="63">
        <f>COUNTIFS(AB_TF!F:F,"="&amp;A598,AB_TF!E:E,"Small*")</f>
        <v>0</v>
      </c>
      <c r="S598" s="63">
        <f>COUNTIFS(AB_TF!F:F,"="&amp;A598,AB_TF!E:E,"Medium*")</f>
        <v>0</v>
      </c>
      <c r="T598" s="63">
        <f>COUNTIFS(AB_TF!F:F,"="&amp;A598,AB_TF!E:E,"Large*")</f>
        <v>0</v>
      </c>
      <c r="U598" s="64">
        <f t="shared" si="1"/>
        <v>0</v>
      </c>
    </row>
    <row r="599">
      <c r="P599" s="62">
        <f t="array" ref="P599">MAX(IF($A599=AB_TF!F:F,AB_TF!D:D))</f>
        <v>0</v>
      </c>
      <c r="Q599" s="63" t="str">
        <f t="array" ref="Q599">INDEX(AB_TF!C:C,MATCH(1,(AB_TF!F:F=A599)*(AB_TF!D:D=P599),0))</f>
        <v/>
      </c>
      <c r="R599" s="63">
        <f>COUNTIFS(AB_TF!F:F,"="&amp;A599,AB_TF!E:E,"Small*")</f>
        <v>0</v>
      </c>
      <c r="S599" s="63">
        <f>COUNTIFS(AB_TF!F:F,"="&amp;A599,AB_TF!E:E,"Medium*")</f>
        <v>0</v>
      </c>
      <c r="T599" s="63">
        <f>COUNTIFS(AB_TF!F:F,"="&amp;A599,AB_TF!E:E,"Large*")</f>
        <v>0</v>
      </c>
      <c r="U599" s="64">
        <f t="shared" si="1"/>
        <v>0</v>
      </c>
    </row>
    <row r="600">
      <c r="P600" s="62">
        <f t="array" ref="P600">MAX(IF($A600=AB_TF!F:F,AB_TF!D:D))</f>
        <v>0</v>
      </c>
      <c r="Q600" s="63" t="str">
        <f t="array" ref="Q600">INDEX(AB_TF!C:C,MATCH(1,(AB_TF!F:F=A600)*(AB_TF!D:D=P600),0))</f>
        <v/>
      </c>
      <c r="R600" s="63">
        <f>COUNTIFS(AB_TF!F:F,"="&amp;A600,AB_TF!E:E,"Small*")</f>
        <v>0</v>
      </c>
      <c r="S600" s="63">
        <f>COUNTIFS(AB_TF!F:F,"="&amp;A600,AB_TF!E:E,"Medium*")</f>
        <v>0</v>
      </c>
      <c r="T600" s="63">
        <f>COUNTIFS(AB_TF!F:F,"="&amp;A600,AB_TF!E:E,"Large*")</f>
        <v>0</v>
      </c>
      <c r="U600" s="64">
        <f t="shared" si="1"/>
        <v>0</v>
      </c>
    </row>
    <row r="601">
      <c r="P601" s="62">
        <f t="array" ref="P601">MAX(IF($A601=AB_TF!F:F,AB_TF!D:D))</f>
        <v>0</v>
      </c>
      <c r="Q601" s="63" t="str">
        <f t="array" ref="Q601">INDEX(AB_TF!C:C,MATCH(1,(AB_TF!F:F=A601)*(AB_TF!D:D=P601),0))</f>
        <v/>
      </c>
      <c r="R601" s="63">
        <f>COUNTIFS(AB_TF!F:F,"="&amp;A601,AB_TF!E:E,"Small*")</f>
        <v>0</v>
      </c>
      <c r="S601" s="63">
        <f>COUNTIFS(AB_TF!F:F,"="&amp;A601,AB_TF!E:E,"Medium*")</f>
        <v>0</v>
      </c>
      <c r="T601" s="63">
        <f>COUNTIFS(AB_TF!F:F,"="&amp;A601,AB_TF!E:E,"Large*")</f>
        <v>0</v>
      </c>
      <c r="U601" s="64">
        <f t="shared" si="1"/>
        <v>0</v>
      </c>
    </row>
    <row r="602">
      <c r="P602" s="62">
        <f t="array" ref="P602">MAX(IF($A602=AB_TF!F:F,AB_TF!D:D))</f>
        <v>0</v>
      </c>
      <c r="Q602" s="63" t="str">
        <f t="array" ref="Q602">INDEX(AB_TF!C:C,MATCH(1,(AB_TF!F:F=A602)*(AB_TF!D:D=P602),0))</f>
        <v/>
      </c>
      <c r="R602" s="63">
        <f>COUNTIFS(AB_TF!F:F,"="&amp;A602,AB_TF!E:E,"Small*")</f>
        <v>0</v>
      </c>
      <c r="S602" s="63">
        <f>COUNTIFS(AB_TF!F:F,"="&amp;A602,AB_TF!E:E,"Medium*")</f>
        <v>0</v>
      </c>
      <c r="T602" s="63">
        <f>COUNTIFS(AB_TF!F:F,"="&amp;A602,AB_TF!E:E,"Large*")</f>
        <v>0</v>
      </c>
      <c r="U602" s="64">
        <f t="shared" si="1"/>
        <v>0</v>
      </c>
    </row>
    <row r="603">
      <c r="P603" s="62">
        <f t="array" ref="P603">MAX(IF($A603=AB_TF!F:F,AB_TF!D:D))</f>
        <v>0</v>
      </c>
      <c r="Q603" s="63" t="str">
        <f t="array" ref="Q603">INDEX(AB_TF!C:C,MATCH(1,(AB_TF!F:F=A603)*(AB_TF!D:D=P603),0))</f>
        <v/>
      </c>
      <c r="R603" s="63">
        <f>COUNTIFS(AB_TF!F:F,"="&amp;A603,AB_TF!E:E,"Small*")</f>
        <v>0</v>
      </c>
      <c r="S603" s="63">
        <f>COUNTIFS(AB_TF!F:F,"="&amp;A603,AB_TF!E:E,"Medium*")</f>
        <v>0</v>
      </c>
      <c r="T603" s="63">
        <f>COUNTIFS(AB_TF!F:F,"="&amp;A603,AB_TF!E:E,"Large*")</f>
        <v>0</v>
      </c>
      <c r="U603" s="64">
        <f t="shared" si="1"/>
        <v>0</v>
      </c>
    </row>
    <row r="604">
      <c r="P604" s="62">
        <f t="array" ref="P604">MAX(IF($A604=AB_TF!F:F,AB_TF!D:D))</f>
        <v>0</v>
      </c>
      <c r="Q604" s="63" t="str">
        <f t="array" ref="Q604">INDEX(AB_TF!C:C,MATCH(1,(AB_TF!F:F=A604)*(AB_TF!D:D=P604),0))</f>
        <v/>
      </c>
      <c r="R604" s="63">
        <f>COUNTIFS(AB_TF!F:F,"="&amp;A604,AB_TF!E:E,"Small*")</f>
        <v>0</v>
      </c>
      <c r="S604" s="63">
        <f>COUNTIFS(AB_TF!F:F,"="&amp;A604,AB_TF!E:E,"Medium*")</f>
        <v>0</v>
      </c>
      <c r="T604" s="63">
        <f>COUNTIFS(AB_TF!F:F,"="&amp;A604,AB_TF!E:E,"Large*")</f>
        <v>0</v>
      </c>
      <c r="U604" s="64">
        <f t="shared" si="1"/>
        <v>0</v>
      </c>
    </row>
    <row r="605">
      <c r="P605" s="62">
        <f t="array" ref="P605">MAX(IF($A605=AB_TF!F:F,AB_TF!D:D))</f>
        <v>0</v>
      </c>
      <c r="Q605" s="63" t="str">
        <f t="array" ref="Q605">INDEX(AB_TF!C:C,MATCH(1,(AB_TF!F:F=A605)*(AB_TF!D:D=P605),0))</f>
        <v/>
      </c>
      <c r="R605" s="63">
        <f>COUNTIFS(AB_TF!F:F,"="&amp;A605,AB_TF!E:E,"Small*")</f>
        <v>0</v>
      </c>
      <c r="S605" s="63">
        <f>COUNTIFS(AB_TF!F:F,"="&amp;A605,AB_TF!E:E,"Medium*")</f>
        <v>0</v>
      </c>
      <c r="T605" s="63">
        <f>COUNTIFS(AB_TF!F:F,"="&amp;A605,AB_TF!E:E,"Large*")</f>
        <v>0</v>
      </c>
      <c r="U605" s="64">
        <f t="shared" si="1"/>
        <v>0</v>
      </c>
    </row>
    <row r="606">
      <c r="P606" s="62">
        <f t="array" ref="P606">MAX(IF($A606=AB_TF!F:F,AB_TF!D:D))</f>
        <v>0</v>
      </c>
      <c r="Q606" s="63" t="str">
        <f t="array" ref="Q606">INDEX(AB_TF!C:C,MATCH(1,(AB_TF!F:F=A606)*(AB_TF!D:D=P606),0))</f>
        <v/>
      </c>
      <c r="R606" s="63">
        <f>COUNTIFS(AB_TF!F:F,"="&amp;A606,AB_TF!E:E,"Small*")</f>
        <v>0</v>
      </c>
      <c r="S606" s="63">
        <f>COUNTIFS(AB_TF!F:F,"="&amp;A606,AB_TF!E:E,"Medium*")</f>
        <v>0</v>
      </c>
      <c r="T606" s="63">
        <f>COUNTIFS(AB_TF!F:F,"="&amp;A606,AB_TF!E:E,"Large*")</f>
        <v>0</v>
      </c>
      <c r="U606" s="64">
        <f t="shared" si="1"/>
        <v>0</v>
      </c>
    </row>
    <row r="607">
      <c r="P607" s="62">
        <f t="array" ref="P607">MAX(IF($A607=AB_TF!F:F,AB_TF!D:D))</f>
        <v>0</v>
      </c>
      <c r="Q607" s="63" t="str">
        <f t="array" ref="Q607">INDEX(AB_TF!C:C,MATCH(1,(AB_TF!F:F=A607)*(AB_TF!D:D=P607),0))</f>
        <v/>
      </c>
      <c r="R607" s="63">
        <f>COUNTIFS(AB_TF!F:F,"="&amp;A607,AB_TF!E:E,"Small*")</f>
        <v>0</v>
      </c>
      <c r="S607" s="63">
        <f>COUNTIFS(AB_TF!F:F,"="&amp;A607,AB_TF!E:E,"Medium*")</f>
        <v>0</v>
      </c>
      <c r="T607" s="63">
        <f>COUNTIFS(AB_TF!F:F,"="&amp;A607,AB_TF!E:E,"Large*")</f>
        <v>0</v>
      </c>
      <c r="U607" s="64">
        <f t="shared" si="1"/>
        <v>0</v>
      </c>
    </row>
    <row r="608">
      <c r="P608" s="62">
        <f t="array" ref="P608">MAX(IF($A608=AB_TF!F:F,AB_TF!D:D))</f>
        <v>0</v>
      </c>
      <c r="Q608" s="63" t="str">
        <f t="array" ref="Q608">INDEX(AB_TF!C:C,MATCH(1,(AB_TF!F:F=A608)*(AB_TF!D:D=P608),0))</f>
        <v/>
      </c>
      <c r="R608" s="63">
        <f>COUNTIFS(AB_TF!F:F,"="&amp;A608,AB_TF!E:E,"Small*")</f>
        <v>0</v>
      </c>
      <c r="S608" s="63">
        <f>COUNTIFS(AB_TF!F:F,"="&amp;A608,AB_TF!E:E,"Medium*")</f>
        <v>0</v>
      </c>
      <c r="T608" s="63">
        <f>COUNTIFS(AB_TF!F:F,"="&amp;A608,AB_TF!E:E,"Large*")</f>
        <v>0</v>
      </c>
      <c r="U608" s="64">
        <f t="shared" si="1"/>
        <v>0</v>
      </c>
    </row>
    <row r="609">
      <c r="P609" s="62">
        <f t="array" ref="P609">MAX(IF($A609=AB_TF!F:F,AB_TF!D:D))</f>
        <v>0</v>
      </c>
      <c r="Q609" s="63" t="str">
        <f t="array" ref="Q609">INDEX(AB_TF!C:C,MATCH(1,(AB_TF!F:F=A609)*(AB_TF!D:D=P609),0))</f>
        <v/>
      </c>
      <c r="R609" s="63">
        <f>COUNTIFS(AB_TF!F:F,"="&amp;A609,AB_TF!E:E,"Small*")</f>
        <v>0</v>
      </c>
      <c r="S609" s="63">
        <f>COUNTIFS(AB_TF!F:F,"="&amp;A609,AB_TF!E:E,"Medium*")</f>
        <v>0</v>
      </c>
      <c r="T609" s="63">
        <f>COUNTIFS(AB_TF!F:F,"="&amp;A609,AB_TF!E:E,"Large*")</f>
        <v>0</v>
      </c>
      <c r="U609" s="64">
        <f t="shared" si="1"/>
        <v>0</v>
      </c>
    </row>
  </sheetData>
  <hyperlinks>
    <hyperlink r:id="rId1" ref="K2"/>
    <hyperlink r:id="rId2" ref="O2"/>
    <hyperlink r:id="rId3" ref="K3"/>
    <hyperlink r:id="rId4" ref="K4"/>
    <hyperlink r:id="rId5" ref="L4"/>
    <hyperlink r:id="rId6" ref="O4"/>
    <hyperlink r:id="rId7" ref="K5"/>
    <hyperlink r:id="rId8" ref="L5"/>
    <hyperlink r:id="rId9" ref="O5"/>
    <hyperlink r:id="rId10" ref="L6"/>
    <hyperlink r:id="rId11" ref="O6"/>
    <hyperlink r:id="rId12" ref="K7"/>
    <hyperlink r:id="rId13" ref="L7"/>
    <hyperlink r:id="rId14" ref="O7"/>
    <hyperlink r:id="rId15" ref="K8"/>
    <hyperlink r:id="rId16" ref="L8"/>
    <hyperlink r:id="rId17" ref="O8"/>
    <hyperlink r:id="rId18" ref="K9"/>
    <hyperlink r:id="rId19" ref="L9"/>
    <hyperlink r:id="rId20" ref="O9"/>
    <hyperlink r:id="rId21" ref="K10"/>
    <hyperlink r:id="rId22" ref="L10"/>
    <hyperlink r:id="rId23" ref="O10"/>
    <hyperlink r:id="rId24" ref="K11"/>
    <hyperlink r:id="rId25" ref="L11"/>
    <hyperlink r:id="rId26" ref="O11"/>
    <hyperlink r:id="rId27" ref="K12"/>
    <hyperlink r:id="rId28" ref="L12"/>
    <hyperlink r:id="rId29" ref="O12"/>
    <hyperlink r:id="rId30" ref="K13"/>
    <hyperlink r:id="rId31" ref="L13"/>
    <hyperlink r:id="rId32" ref="O13"/>
    <hyperlink r:id="rId33" ref="K14"/>
    <hyperlink r:id="rId34" ref="L14"/>
    <hyperlink r:id="rId35" ref="M14"/>
    <hyperlink r:id="rId36" ref="O14"/>
    <hyperlink r:id="rId37" ref="K15"/>
    <hyperlink r:id="rId38" ref="L15"/>
    <hyperlink r:id="rId39" ref="O15"/>
    <hyperlink r:id="rId40" ref="K16"/>
    <hyperlink r:id="rId41" ref="L16"/>
    <hyperlink r:id="rId42" ref="O16"/>
    <hyperlink r:id="rId43" ref="K17"/>
    <hyperlink r:id="rId44" ref="L17"/>
    <hyperlink r:id="rId45" ref="O17"/>
    <hyperlink r:id="rId46" ref="L18"/>
    <hyperlink r:id="rId47" ref="O18"/>
    <hyperlink r:id="rId48" ref="K20"/>
    <hyperlink r:id="rId49" ref="L20"/>
    <hyperlink r:id="rId50" ref="O20"/>
    <hyperlink r:id="rId51" ref="L21"/>
    <hyperlink r:id="rId52" ref="O21"/>
    <hyperlink r:id="rId53" ref="O23"/>
    <hyperlink r:id="rId54" ref="O24"/>
    <hyperlink r:id="rId55" ref="K25"/>
    <hyperlink r:id="rId56" ref="L25"/>
    <hyperlink r:id="rId57" ref="O25"/>
    <hyperlink r:id="rId58" ref="K26"/>
    <hyperlink r:id="rId59" ref="L26"/>
    <hyperlink r:id="rId60" ref="O26"/>
    <hyperlink r:id="rId61" ref="K27"/>
    <hyperlink r:id="rId62" ref="L27"/>
    <hyperlink r:id="rId63" ref="N27"/>
    <hyperlink r:id="rId64" ref="O27"/>
    <hyperlink r:id="rId65" ref="K28"/>
    <hyperlink r:id="rId66" ref="L28"/>
    <hyperlink r:id="rId67" ref="O28"/>
    <hyperlink r:id="rId68" ref="L29"/>
    <hyperlink r:id="rId69" ref="O29"/>
    <hyperlink r:id="rId70" ref="K30"/>
    <hyperlink r:id="rId71" ref="L30"/>
    <hyperlink r:id="rId72" ref="O30"/>
    <hyperlink r:id="rId73" ref="K31"/>
    <hyperlink r:id="rId74" ref="L31"/>
    <hyperlink r:id="rId75" ref="O31"/>
    <hyperlink r:id="rId76" ref="K32"/>
    <hyperlink r:id="rId77" ref="L32"/>
    <hyperlink r:id="rId78" ref="O32"/>
    <hyperlink r:id="rId79" ref="K33"/>
    <hyperlink r:id="rId80" ref="L33"/>
    <hyperlink r:id="rId81" ref="O33"/>
    <hyperlink r:id="rId82" ref="K34"/>
    <hyperlink r:id="rId83" ref="L34"/>
    <hyperlink r:id="rId84" ref="O34"/>
    <hyperlink r:id="rId85" ref="K35"/>
    <hyperlink r:id="rId86" ref="L35"/>
    <hyperlink r:id="rId87" ref="O35"/>
    <hyperlink r:id="rId88" ref="K36"/>
    <hyperlink r:id="rId89" ref="L36"/>
    <hyperlink r:id="rId90" ref="O36"/>
    <hyperlink r:id="rId91" ref="K37"/>
    <hyperlink r:id="rId92" ref="L37"/>
    <hyperlink r:id="rId93" ref="O37"/>
    <hyperlink r:id="rId94" ref="O38"/>
    <hyperlink r:id="rId95" ref="K39"/>
    <hyperlink r:id="rId96" ref="L39"/>
    <hyperlink r:id="rId97" ref="O39"/>
    <hyperlink r:id="rId98" ref="K40"/>
    <hyperlink r:id="rId99" ref="L40"/>
    <hyperlink r:id="rId100" ref="O40"/>
    <hyperlink r:id="rId101" ref="K41"/>
    <hyperlink r:id="rId102" ref="L41"/>
    <hyperlink r:id="rId103" ref="O41"/>
    <hyperlink r:id="rId104" ref="K42"/>
    <hyperlink r:id="rId105" ref="O42"/>
    <hyperlink r:id="rId106" ref="K43"/>
    <hyperlink r:id="rId107" ref="L43"/>
    <hyperlink r:id="rId108" ref="O43"/>
    <hyperlink r:id="rId109" ref="K44"/>
    <hyperlink r:id="rId110" ref="O44"/>
    <hyperlink r:id="rId111" ref="L45"/>
    <hyperlink r:id="rId112" ref="O45"/>
    <hyperlink r:id="rId113" ref="K46"/>
    <hyperlink r:id="rId114" ref="L46"/>
    <hyperlink r:id="rId115" ref="O46"/>
    <hyperlink r:id="rId116" ref="K47"/>
    <hyperlink r:id="rId117" ref="L47"/>
    <hyperlink r:id="rId118" ref="O47"/>
    <hyperlink r:id="rId119" ref="K48"/>
    <hyperlink r:id="rId120" ref="L48"/>
    <hyperlink r:id="rId121" ref="O48"/>
    <hyperlink r:id="rId122" ref="K49"/>
    <hyperlink r:id="rId123" ref="L49"/>
    <hyperlink r:id="rId124" ref="M49"/>
    <hyperlink r:id="rId125" ref="N49"/>
    <hyperlink r:id="rId126" ref="O49"/>
    <hyperlink r:id="rId127" ref="K50"/>
    <hyperlink r:id="rId128" ref="L50"/>
    <hyperlink r:id="rId129" ref="N50"/>
    <hyperlink r:id="rId130" ref="O50"/>
    <hyperlink r:id="rId131" ref="N51"/>
    <hyperlink r:id="rId132" ref="O51"/>
    <hyperlink r:id="rId133" ref="K52"/>
    <hyperlink r:id="rId134" ref="L52"/>
    <hyperlink r:id="rId135" ref="O52"/>
    <hyperlink r:id="rId136" ref="K53"/>
    <hyperlink r:id="rId137" ref="O53"/>
    <hyperlink r:id="rId138" ref="K54"/>
    <hyperlink r:id="rId139" ref="L54"/>
    <hyperlink r:id="rId140" ref="N54"/>
    <hyperlink r:id="rId141" ref="O54"/>
    <hyperlink r:id="rId142" ref="K55"/>
    <hyperlink r:id="rId143" ref="O55"/>
    <hyperlink r:id="rId144" ref="K56"/>
    <hyperlink r:id="rId145" ref="L56"/>
    <hyperlink r:id="rId146" ref="O56"/>
    <hyperlink r:id="rId147" ref="K57"/>
    <hyperlink r:id="rId148" ref="L57"/>
    <hyperlink r:id="rId149" ref="O57"/>
    <hyperlink r:id="rId150" ref="K58"/>
    <hyperlink r:id="rId151" ref="L58"/>
    <hyperlink r:id="rId152" ref="O58"/>
    <hyperlink r:id="rId153" ref="K59"/>
    <hyperlink r:id="rId154" ref="O59"/>
    <hyperlink r:id="rId155" ref="L60"/>
    <hyperlink r:id="rId156" ref="N60"/>
    <hyperlink r:id="rId157" ref="O60"/>
    <hyperlink r:id="rId158" ref="K116"/>
    <hyperlink r:id="rId159" ref="L116"/>
    <hyperlink r:id="rId160" ref="B124"/>
    <hyperlink r:id="rId161" ref="K201"/>
    <hyperlink r:id="rId162" ref="L201"/>
    <hyperlink r:id="rId163" ref="K202"/>
    <hyperlink r:id="rId164" ref="L202"/>
    <hyperlink r:id="rId165" ref="K203"/>
    <hyperlink r:id="rId166" ref="O203"/>
    <hyperlink r:id="rId167" ref="K204"/>
    <hyperlink r:id="rId168" ref="K205"/>
    <hyperlink r:id="rId169" ref="K206"/>
    <hyperlink r:id="rId170" ref="L206"/>
    <hyperlink r:id="rId171" ref="M206"/>
    <hyperlink r:id="rId172" ref="K207"/>
    <hyperlink r:id="rId173" ref="L207"/>
    <hyperlink r:id="rId174" ref="K208"/>
    <hyperlink r:id="rId175" ref="K213"/>
    <hyperlink r:id="rId176" ref="O213"/>
    <hyperlink r:id="rId177" ref="K216"/>
    <hyperlink r:id="rId178" ref="O216"/>
    <hyperlink r:id="rId179" ref="K217"/>
    <hyperlink r:id="rId180" ref="O217"/>
    <hyperlink r:id="rId181" ref="K218"/>
    <hyperlink r:id="rId182" ref="K219"/>
    <hyperlink r:id="rId183" ref="O219"/>
    <hyperlink r:id="rId184" ref="K220"/>
    <hyperlink r:id="rId185" ref="O220"/>
    <hyperlink r:id="rId186" ref="K221"/>
    <hyperlink r:id="rId187" ref="K222"/>
    <hyperlink r:id="rId188" ref="O222"/>
    <hyperlink r:id="rId189" ref="K223"/>
    <hyperlink r:id="rId190" ref="O223"/>
    <hyperlink r:id="rId191" ref="L224"/>
    <hyperlink r:id="rId192" ref="M224"/>
    <hyperlink r:id="rId193" ref="K225"/>
    <hyperlink r:id="rId194" ref="L225"/>
    <hyperlink r:id="rId195" ref="N225"/>
    <hyperlink r:id="rId196" ref="O225"/>
    <hyperlink r:id="rId197" ref="K226"/>
    <hyperlink r:id="rId198" ref="L226"/>
    <hyperlink r:id="rId199" ref="O226"/>
    <hyperlink r:id="rId200" ref="L227"/>
    <hyperlink r:id="rId201" ref="M227"/>
    <hyperlink r:id="rId202" ref="K228"/>
    <hyperlink r:id="rId203" ref="L228"/>
    <hyperlink r:id="rId204" ref="M228"/>
    <hyperlink r:id="rId205" ref="K229"/>
    <hyperlink r:id="rId206" ref="L229"/>
    <hyperlink r:id="rId207" ref="N229"/>
    <hyperlink r:id="rId208" ref="L230"/>
    <hyperlink r:id="rId209" ref="O230"/>
    <hyperlink r:id="rId210" ref="L231"/>
    <hyperlink r:id="rId211" ref="O231"/>
    <hyperlink r:id="rId212" ref="K232"/>
    <hyperlink r:id="rId213" ref="L232"/>
    <hyperlink r:id="rId214" ref="M232"/>
    <hyperlink r:id="rId215" ref="N232"/>
    <hyperlink r:id="rId216" ref="O232"/>
    <hyperlink r:id="rId217" ref="K233"/>
    <hyperlink r:id="rId218" ref="M233"/>
    <hyperlink r:id="rId219" ref="N233"/>
    <hyperlink r:id="rId220" ref="K234"/>
    <hyperlink r:id="rId221" ref="L234"/>
    <hyperlink r:id="rId222" ref="N234"/>
    <hyperlink r:id="rId223" ref="L235"/>
    <hyperlink r:id="rId224" ref="K237"/>
    <hyperlink r:id="rId225" ref="L237"/>
    <hyperlink r:id="rId226" ref="O237"/>
    <hyperlink r:id="rId227" ref="L238"/>
    <hyperlink r:id="rId228" ref="O238"/>
    <hyperlink r:id="rId229" ref="L239"/>
    <hyperlink r:id="rId230" ref="M239"/>
    <hyperlink r:id="rId231" ref="L241"/>
    <hyperlink r:id="rId232" ref="M241"/>
    <hyperlink r:id="rId233" ref="K242"/>
    <hyperlink r:id="rId234" ref="L242"/>
    <hyperlink r:id="rId235" ref="L243"/>
    <hyperlink r:id="rId236" ref="N243"/>
    <hyperlink r:id="rId237" ref="O243"/>
    <hyperlink r:id="rId238" ref="L244"/>
    <hyperlink r:id="rId239" ref="O244"/>
    <hyperlink r:id="rId240" ref="L246"/>
    <hyperlink r:id="rId241" ref="O246"/>
    <hyperlink r:id="rId242" ref="K247"/>
    <hyperlink r:id="rId243" ref="L247"/>
    <hyperlink r:id="rId244" ref="M247"/>
    <hyperlink r:id="rId245" ref="N247"/>
    <hyperlink r:id="rId246" ref="O247"/>
    <hyperlink r:id="rId247" ref="L248"/>
    <hyperlink r:id="rId248" ref="N248"/>
    <hyperlink r:id="rId249" ref="O248"/>
    <hyperlink r:id="rId250" ref="L249"/>
    <hyperlink r:id="rId251" ref="M249"/>
    <hyperlink r:id="rId252" ref="N249"/>
    <hyperlink r:id="rId253" ref="L250"/>
    <hyperlink r:id="rId254" ref="O250"/>
    <hyperlink r:id="rId255" ref="K251"/>
    <hyperlink r:id="rId256" ref="L251"/>
    <hyperlink r:id="rId257" ref="M251"/>
    <hyperlink r:id="rId258" ref="O251"/>
    <hyperlink r:id="rId259" ref="O252"/>
    <hyperlink r:id="rId260" ref="K253"/>
    <hyperlink r:id="rId261" ref="N253"/>
    <hyperlink r:id="rId262" ref="O253"/>
    <hyperlink r:id="rId263" ref="K254"/>
    <hyperlink r:id="rId264" ref="L254"/>
    <hyperlink r:id="rId265" ref="M254"/>
    <hyperlink r:id="rId266" ref="N254"/>
    <hyperlink r:id="rId267" ref="O254"/>
    <hyperlink r:id="rId268" ref="L255"/>
    <hyperlink r:id="rId269" ref="O255"/>
    <hyperlink r:id="rId270" ref="K256"/>
    <hyperlink r:id="rId271" ref="L256"/>
    <hyperlink r:id="rId272" ref="N256"/>
    <hyperlink r:id="rId273" ref="O257"/>
    <hyperlink r:id="rId274" ref="O258"/>
    <hyperlink r:id="rId275" ref="O259"/>
    <hyperlink r:id="rId276" ref="J260"/>
    <hyperlink r:id="rId277" ref="L260"/>
    <hyperlink r:id="rId278" ref="O260"/>
    <hyperlink r:id="rId279" ref="O262"/>
    <hyperlink r:id="rId280" ref="J263"/>
    <hyperlink r:id="rId281" ref="J264"/>
    <hyperlink r:id="rId282" ref="O264"/>
    <hyperlink r:id="rId283" ref="L270"/>
    <hyperlink r:id="rId284" ref="O270"/>
    <hyperlink r:id="rId285" ref="L271"/>
    <hyperlink r:id="rId286" ref="M271"/>
    <hyperlink r:id="rId287" ref="L273"/>
    <hyperlink r:id="rId288" ref="O273"/>
    <hyperlink r:id="rId289" ref="L274"/>
    <hyperlink r:id="rId290" ref="O274"/>
    <hyperlink r:id="rId291" ref="N275"/>
    <hyperlink r:id="rId292" ref="O275"/>
  </hyperlinks>
  <drawing r:id="rId293"/>
  <tableParts count="1">
    <tablePart r:id="rId295"/>
  </tableParts>
</worksheet>
</file>